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구분" sheetId="1" r:id="rId5"/>
    <sheet state="hidden" name="▧ 26년 휴가대장" sheetId="2" r:id="rId6"/>
    <sheet state="visible" name="▧ 26년 퍼블대장" sheetId="3" r:id="rId7"/>
    <sheet state="visible" name="시트46" sheetId="4" r:id="rId8"/>
    <sheet state="visible" name="시트43" sheetId="5" r:id="rId9"/>
  </sheets>
  <definedNames>
    <definedName localSheetId="1" name="이름이지정된범위1">'▧ 26년 휴가대장'!$1:$52</definedName>
    <definedName name="이름이지정된범위1">#REF!</definedName>
    <definedName localSheetId="1" name="휴가_월_1">'▧ 26년 휴가대장'!$A$2</definedName>
    <definedName localSheetId="2" name="퍼블_월_1">'▧ 26년 퍼블대장'!$B$3</definedName>
    <definedName name="퍼블_월_6">#REF!</definedName>
    <definedName localSheetId="2" name="퍼블_년">'▧ 26년 퍼블대장'!$B$2</definedName>
    <definedName name="휴가_월_1">#REF!</definedName>
    <definedName name="공휴일">#REF!</definedName>
    <definedName name="퍼블_월_1">#REF!</definedName>
    <definedName localSheetId="2" name="공휴일">'▧ 26년 퍼블대장'!$D$5:$D$27</definedName>
    <definedName name="휴가_월_6">#REF!</definedName>
    <definedName name="휴가_년">#REF!</definedName>
    <definedName localSheetId="1" name="휴가_년">'▧ 26년 휴가대장'!$A$1</definedName>
    <definedName name="퍼블_년">#REF!</definedName>
    <definedName localSheetId="2" name="퍼블_월_6">'▧ 26년 퍼블대장'!$B$4</definedName>
    <definedName localSheetId="1" name="휴가_월_6">'▧ 26년 휴가대장'!$A$3</definedName>
    <definedName hidden="1" localSheetId="2" name="Z_92AA7D3B_5D19_4974_BB09_5B6B38E6ABC9_.wvu.FilterData">'▧ 26년 퍼블대장'!$A$31:$E$292</definedName>
  </definedNames>
  <calcPr/>
  <customWorkbookViews>
    <customWorkbookView activeSheetId="0" maximized="1" windowHeight="0" windowWidth="0" guid="{92AA7D3B-5D19-4974-BB09-5B6B38E6ABC9}" name="필터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5">
      <text>
        <t xml:space="preserve">1일 -&gt; ?</t>
      </text>
    </comment>
  </commentList>
</comments>
</file>

<file path=xl/sharedStrings.xml><?xml version="1.0" encoding="utf-8"?>
<sst xmlns="http://schemas.openxmlformats.org/spreadsheetml/2006/main" count="891" uniqueCount="458">
  <si>
    <t>대분류</t>
  </si>
  <si>
    <t>이미지 대체 텍스트</t>
  </si>
  <si>
    <t>통이미지로 된 콘텐츠는 상세 정보를 alt 속성에 명확하게 작성해야 합니다.</t>
  </si>
  <si>
    <t>중분류</t>
  </si>
  <si>
    <t>진행현황</t>
  </si>
  <si>
    <t>구분</t>
  </si>
  <si>
    <t>배포/반영</t>
  </si>
  <si>
    <t>퍼블진행형황</t>
  </si>
  <si>
    <t>기업/글로벌로밍 소분류</t>
  </si>
  <si>
    <t>SP1</t>
  </si>
  <si>
    <t>ex) 20대 20.2%, 30대 31.4%, 40대 24.1%, 50대 11.8%, 60대 5.4%</t>
  </si>
  <si>
    <t>공통</t>
  </si>
  <si>
    <t>예정</t>
  </si>
  <si>
    <t>신규</t>
  </si>
  <si>
    <t>배포</t>
  </si>
  <si>
    <t>화면에 표시된 이미지의 텍스트 정보와 대체 텍스트가 동일하지 않더라도 해당 콘텐츠를 인식하는 데 큰 문제가 없을 경우, 접근성이 있는 것으로 판단</t>
  </si>
  <si>
    <t>기업</t>
  </si>
  <si>
    <t>이미지의 시각적 정보와 대체 텍스트가 100% 일치하지 않더라도, 해당 콘텐츠가 전달하고자 하는 의미(목적)를 사용자가 충분히 이해할 수 있다면 접근성이 준수된 것으로 간주합니다.
ex) 지도 이미지 내에 "주차장 입구는 건물 뒤편에 있습니다"라는 텍스트가 이미지에 포함된 경우
alt="우리 회사 찾아오시는 길 지도"</t>
  </si>
  <si>
    <t>SP2</t>
  </si>
  <si>
    <t>메인</t>
  </si>
  <si>
    <t>접수</t>
  </si>
  <si>
    <t>수정</t>
  </si>
  <si>
    <t>반영</t>
  </si>
  <si>
    <t>소상공인</t>
  </si>
  <si>
    <t>키보드 접근성</t>
  </si>
  <si>
    <t>진행</t>
  </si>
  <si>
    <t>키보드 Tab 키만으로 상세페이지 내 모든 링크와 버튼에 접근해야 합니다.</t>
  </si>
  <si>
    <t>상품서비스</t>
  </si>
  <si>
    <t>SP3</t>
  </si>
  <si>
    <t>모바일기기</t>
  </si>
  <si>
    <t>검토</t>
  </si>
  <si>
    <t>기타</t>
  </si>
  <si>
    <t>이미지만</t>
  </si>
  <si>
    <t>글로벌로밍</t>
  </si>
  <si>
    <t>보류</t>
  </si>
  <si>
    <t>진행중인 이벤트</t>
  </si>
  <si>
    <t>이모지 정보 전달용 or 장식용</t>
  </si>
  <si>
    <t>유심/eSIM</t>
  </si>
  <si>
    <t>이모지는 내용 전달에 필수가 아니라면 스크린 리더가 이모지를 읽지 않도록 숨겨야 합니다.</t>
  </si>
  <si>
    <t>대기</t>
  </si>
  <si>
    <t>검수요청</t>
  </si>
  <si>
    <t>비즈인사이트</t>
  </si>
  <si>
    <t>액세서리</t>
  </si>
  <si>
    <t>반영대기</t>
  </si>
  <si>
    <t>마이페이지</t>
  </si>
  <si>
    <t>유플러스 LIVE</t>
  </si>
  <si>
    <t>검수</t>
  </si>
  <si>
    <t>완료</t>
  </si>
  <si>
    <t>고객지원</t>
  </si>
  <si>
    <t>모바일요금제</t>
  </si>
  <si>
    <t>SOHO 메인</t>
  </si>
  <si>
    <t>인터넷/IPTV</t>
  </si>
  <si>
    <t>SOHO 상세</t>
  </si>
  <si>
    <t>MY</t>
  </si>
  <si>
    <t>취소</t>
  </si>
  <si>
    <t>자사채널배너</t>
  </si>
  <si>
    <t>혜택</t>
  </si>
  <si>
    <t>외부채널</t>
  </si>
  <si>
    <t>이벤트</t>
  </si>
  <si>
    <t>▧ 2026년 퍼블대장</t>
  </si>
  <si>
    <t>개인화마케팅</t>
  </si>
  <si>
    <t>이벤트(모바일/홈)</t>
  </si>
  <si>
    <t>사장님광장</t>
  </si>
  <si>
    <t>인바운드로밍</t>
  </si>
  <si>
    <t>회사소개</t>
  </si>
  <si>
    <t>아웃바운드로밍</t>
  </si>
  <si>
    <t>고객센터(앱)</t>
  </si>
  <si>
    <t>로밍상품권</t>
  </si>
  <si>
    <t>개인화</t>
  </si>
  <si>
    <t>외국인페이지</t>
  </si>
  <si>
    <t>분석</t>
  </si>
  <si>
    <t>임직원 몰</t>
  </si>
  <si>
    <t>예약 판매(가입)</t>
  </si>
  <si>
    <t>개선</t>
  </si>
  <si>
    <t>다이렉트</t>
  </si>
  <si>
    <t>유쓰</t>
  </si>
  <si>
    <t>SI지원</t>
  </si>
  <si>
    <t>관리</t>
  </si>
  <si>
    <t>서비스 파트 1 : 신태민 님 담당 파트</t>
  </si>
  <si>
    <t>서비스 파트 2 : 조두환 님 담당 파트</t>
  </si>
  <si>
    <t>서비스 파트 3 : 도현진 님 담당 파트 (개인화)</t>
  </si>
  <si>
    <t>GNB, 로그인, 장바구니, 검색, 푸터</t>
  </si>
  <si>
    <t>5G/4G 휴대폰, 태블릿, 스마트워치, 노트북, 중고/자급제폰, 간편기기변경, 모델별지원금, 가입예판</t>
  </si>
  <si>
    <t>유심</t>
  </si>
  <si>
    <t>이벤트 외 혜택 메뉴</t>
  </si>
  <si>
    <t>디지털CX 담당, 전사 요청</t>
  </si>
  <si>
    <t>디지털커머스사업 담당 요청</t>
  </si>
  <si>
    <t>개인화(기획, 배너, 이벤트 제작)</t>
  </si>
  <si>
    <t>예약 판매</t>
  </si>
  <si>
    <t>미 가입 예판</t>
  </si>
  <si>
    <t>UI/UX, 기능, Pain Point 개선 등</t>
  </si>
  <si>
    <t>SI개선</t>
  </si>
  <si>
    <t>중분류 외 업무, 기타 등등</t>
  </si>
  <si>
    <t>PM/PL 보고 등</t>
  </si>
  <si>
    <t>신규페이지제작, 신규이벤트, 기능 등 신규요청건 (new)</t>
  </si>
  <si>
    <t>기존내용 수정</t>
  </si>
  <si>
    <t>산출물 관리, 소스현행화, 기타 등등</t>
  </si>
  <si>
    <t>신정</t>
  </si>
  <si>
    <t>설날</t>
  </si>
  <si>
    <t>삼일절</t>
  </si>
  <si>
    <t>창립기념일</t>
  </si>
  <si>
    <t>근로자의날</t>
  </si>
  <si>
    <t>어린이날</t>
  </si>
  <si>
    <t>석가탄신일</t>
  </si>
  <si>
    <t>현충일</t>
  </si>
  <si>
    <t>광복절</t>
  </si>
  <si>
    <t>추석</t>
  </si>
  <si>
    <t>개천절</t>
  </si>
  <si>
    <t>한글날</t>
  </si>
  <si>
    <t>크리스마스</t>
  </si>
  <si>
    <t>2026년 휴가대장</t>
  </si>
  <si>
    <t>★ 휴가는 해당일에 '휴'로 표시 합니다. 반차는 '전, 후' 반반차는 '반'으로 적으세요.</t>
  </si>
  <si>
    <t>지방선거</t>
  </si>
  <si>
    <t>최종</t>
  </si>
  <si>
    <t>● 문서 관리자 : (현장대리인) 한수빈, 홍성호, 최정규</t>
  </si>
  <si>
    <r>
      <rPr>
        <rFont val="Arial"/>
        <b/>
        <color theme="1"/>
      </rPr>
      <t>조윤영</t>
    </r>
    <r>
      <rPr>
        <rFont val="Arial"/>
        <b/>
        <color rgb="FFFF9900"/>
      </rPr>
      <t xml:space="preserve"> ★</t>
    </r>
  </si>
  <si>
    <t>목표</t>
  </si>
  <si>
    <t>세부추진계획</t>
  </si>
  <si>
    <t>목표수준</t>
  </si>
  <si>
    <t>평가지표</t>
  </si>
  <si>
    <t>기한</t>
  </si>
  <si>
    <t>비중</t>
  </si>
  <si>
    <t>운영업무 만족도 향상 및 실무 전문성 강화</t>
  </si>
  <si>
    <t>- Google Docs 를 활용한 프로젝트 이슈관리 
- 고객과의 적극 소통 및 협업부서와 협력 및 소통을 통한 불만 제로
- JS 숙련도 향상을 통한 퍼블리싱 업무 효율화</t>
  </si>
  <si>
    <t>- 업무 일정 준수율 90% 이상
- 팀원 및 협업부서와 원활한 협업 및 불만 제로
- 고객 칭찬 및 만족도 향상</t>
  </si>
  <si>
    <t>- 일정 준수율 100%
- 협업 파트 및 고객 불만 제로
- 고객 불만 제로</t>
  </si>
  <si>
    <t>정성</t>
  </si>
  <si>
    <t>유플러스 운영 메뉴얼 상시 현행화</t>
  </si>
  <si>
    <t xml:space="preserve">- BO모듈의 개발상황 체크 및 사용 메뉴얼 현행화 관리
  플러스탭외 상시 이벤트 </t>
  </si>
  <si>
    <t>운영 메뉴얼 최신화 유지를 하며 팀원과 인력교체시 활용</t>
  </si>
  <si>
    <t>현행화 수준 및 실무 활용도</t>
  </si>
  <si>
    <t>정량</t>
  </si>
  <si>
    <t>유플러스 플러스탭 안정화 및 모듈화</t>
  </si>
  <si>
    <t xml:space="preserve">- 플러스탭 코드를 재사용가능한 수준으로 컴포넌트화 </t>
  </si>
  <si>
    <t>- 운영 소스 기반 소스로 표준화 
- 스타일 커스터마이징으로 실무 적용 가능한 수준</t>
  </si>
  <si>
    <t>레포지토리에 배포후 실무 적용회수 3회 이상</t>
  </si>
  <si>
    <t>AX활용한 업무효율향상</t>
  </si>
  <si>
    <t>- AI도구를 활용한 이벤트 페이지 자동화 테스트</t>
  </si>
  <si>
    <t>- 이미지 입력 → 운영용 HTML/CSS 자동 변환 및 실무 적용으로 업무시간 단축</t>
  </si>
  <si>
    <t>- 실무 활용 최소 3회 이상
- 솔루션 사용 전후 업무효율 전후 시간 비교 증빙</t>
  </si>
  <si>
    <t>노코드 기반 어플리케이션 개발</t>
  </si>
  <si>
    <t>- Cursor 및 Figma Maker 등 AI 툴을 활용한 앱 기획
- 실무 보조용 노코드 앱(예: 점심 메뉴 추천 등) 구현
- AI 툴을 활용한 기획-디자인-개발 통합 프로세스 검증</t>
  </si>
  <si>
    <t>- 실제 구동 가능한 노코드 기반 앱 1건 완성 및 시연
- 단순 반복 업무 지원 또는 내부 테스트용 결과물 도출</t>
  </si>
  <si>
    <t>어플리케이션 결과물 제출 및 기술 검증</t>
  </si>
  <si>
    <t>10월</t>
  </si>
  <si>
    <t>조윤영</t>
  </si>
  <si>
    <t xml:space="preserve">- 담당 프로젝트 업무 수행
- Google Docs 업무 관리
- 고객과의 적극 소통 및 협업부서와 협력 및 소통을 통한 불만 제로 </t>
  </si>
  <si>
    <t>- 담당 업무 매뉴얼(UI 컴포넌트 포함) 최신 상태 유지
- 협업 부서 만족도 향상</t>
  </si>
  <si>
    <t>- 일정 준수율 100%
- 협업 파트 및 고객 불만 제로</t>
  </si>
  <si>
    <t xml:space="preserve">유플러스 운영 메뉴얼 상시 현행화 </t>
  </si>
  <si>
    <t xml:space="preserve">AX활용한 업무효율향상 </t>
  </si>
  <si>
    <t xml:space="preserve">- AI도구를 활용한 이벤트 페이지 자동화 테스트 </t>
  </si>
  <si>
    <t>- 실무 활용 최소 3회 이상</t>
  </si>
  <si>
    <t>- 실제 구동 가능한 노코드 기반 앱 1건 완성 및 시연
- 단순 반복 업무 지원 또는 내부 테스트용 결과물 도출</t>
  </si>
  <si>
    <t xml:space="preserve">운영 메뉴얼 상시 현행화 </t>
  </si>
  <si>
    <t>플러스탭 안정화 및 모듈화</t>
  </si>
  <si>
    <r>
      <rPr>
        <rFont val="Arial"/>
        <b/>
        <color theme="1"/>
      </rPr>
      <t>조윤영</t>
    </r>
    <r>
      <rPr>
        <rFont val="Arial"/>
        <b/>
        <color rgb="FFFF9900"/>
      </rPr>
      <t xml:space="preserve"> ★</t>
    </r>
  </si>
  <si>
    <t>제헌절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</si>
  <si>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</si>
  <si>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</si>
  <si>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</si>
  <si>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</si>
  <si>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</si>
  <si>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</si>
  <si>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</si>
  <si>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</si>
  <si>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</si>
  <si>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11월</t>
  </si>
  <si>
    <t>12월</t>
  </si>
  <si>
    <t>주요일정</t>
  </si>
  <si>
    <t>▼새해</t>
  </si>
  <si>
    <t>▼설날</t>
  </si>
  <si>
    <t>▼3.1절</t>
  </si>
  <si>
    <t>▼창립기념일</t>
  </si>
  <si>
    <t>▼근로자의날</t>
  </si>
  <si>
    <t>▼어린이날</t>
  </si>
  <si>
    <t>▼부처님오신날</t>
  </si>
  <si>
    <t>▼지방선거</t>
  </si>
  <si>
    <t>▼현충일</t>
  </si>
  <si>
    <t>▼광복절</t>
  </si>
  <si>
    <t>▼추석</t>
  </si>
  <si>
    <t>▼개천절</t>
  </si>
  <si>
    <t>▼한글날</t>
  </si>
  <si>
    <t>▼크리스마스</t>
  </si>
  <si>
    <t>NO</t>
  </si>
  <si>
    <t>이름</t>
  </si>
  <si>
    <t>합계</t>
  </si>
  <si>
    <t>반영일 컬러</t>
  </si>
  <si>
    <t>우승연</t>
  </si>
  <si>
    <t>김정주</t>
  </si>
  <si>
    <t>RMS</t>
  </si>
  <si>
    <t>반영일</t>
  </si>
  <si>
    <t>업무명</t>
  </si>
  <si>
    <t>조아해</t>
  </si>
  <si>
    <t>박중현</t>
  </si>
  <si>
    <t>장원희</t>
  </si>
  <si>
    <t>한수빈팀장</t>
  </si>
  <si>
    <t>[DCBGIT-32743] [공통] 챗봇 : 팝업 크기 조정 관련 검토 요청의 건</t>
  </si>
  <si>
    <t>김아랑책임</t>
  </si>
  <si>
    <t>이현미책임</t>
  </si>
  <si>
    <t>[메인][플러스탭] 콘텐츠 긴급 수정_궁금했던 긴 문장, 심플하게 번역해 보세요</t>
  </si>
  <si>
    <t>안혜지선임</t>
  </si>
  <si>
    <t>김수진주임</t>
  </si>
  <si>
    <t>김도연선임</t>
  </si>
  <si>
    <t>[DCBGIT-33006] [플러스탭] [진행중이벤트] 생일 파티-26년 1월</t>
  </si>
  <si>
    <t>홍성호팀장</t>
  </si>
  <si>
    <t>박수영책임</t>
  </si>
  <si>
    <t>[메인][플러스탭] 생일 파티-26년 1월</t>
  </si>
  <si>
    <t>홍수지선임</t>
  </si>
  <si>
    <t>[DCBGIT-32503] [검색]플러스링크 : &lt;무너폰2&gt; 관련 플러스링크 배너 신규 제작 요청의 건</t>
  </si>
  <si>
    <t>류소윤선임</t>
  </si>
  <si>
    <t>[메인][플러스탭] 우리 아이 '무너폰2' 지켜줘요</t>
  </si>
  <si>
    <t>조윤영선임</t>
  </si>
  <si>
    <t>최정규차장</t>
  </si>
  <si>
    <t>[DCBGIT-33381] [닷컴개발요청SR] [운영업무] 닷컴 페이지 내 랜딩 변경 요청_유독1종</t>
  </si>
  <si>
    <t>백소영과장</t>
  </si>
  <si>
    <t>[DCBGIT-33526] [메인] 메인KV배너(PC) : local 테스트시와 stg 환경에서 메인 배너 너비가 다르게 노출되는 건 수정 요청의 건</t>
  </si>
  <si>
    <t>김태리대리</t>
  </si>
  <si>
    <t>[메인][플러스탭] 1월 생일 파티 이벤트 - 종료 건 딤처리 및 썸네일 타이틀 변경</t>
  </si>
  <si>
    <t>유세린대리</t>
  </si>
  <si>
    <t>[DCBGIT-33562] [닷컴개발요청SR] 카테고리팩 신규가입제한(AI전화팩)</t>
  </si>
  <si>
    <t>[DCBGIT-33918] [닷컴개발요청SR] [홈페이지 작업 요청] Mass, 너겟 콜라보팩 내 샥즈 오픈런 프로2 비노출 요청의건</t>
  </si>
  <si>
    <t>[메인][플러스탭] 1월 생일 파티 이벤트 - 당첨자 발표 썸네일 및 컨텐츠 교체</t>
  </si>
  <si>
    <t>[메인][플러스탭] 이달의 주제 아이디어내고 달항아리 받자</t>
  </si>
  <si>
    <t>[메인][플러스탭] Simple. Lab Story U+ 직원이 직접 쓴 답장</t>
  </si>
  <si>
    <t>[메인][플러스탭] 내 차로 떠나는 일본 아웃캠핑 여행</t>
  </si>
  <si>
    <t>[메인][플러스탭] 로밍 2편</t>
  </si>
  <si>
    <t>[메인][플러스탭] 경찰청 X LG U+ 보이스피싱범 잡기 이벤트</t>
  </si>
  <si>
    <t>[메인][플러스탭] 2월 생일 파티 이벤트 새해 행운을 올려줄 선물</t>
  </si>
  <si>
    <t>[메인][플러스탭] 심플랩 2월 아이디어</t>
  </si>
  <si>
    <t>[메인][플러스탭] 2월 전시 초대 ’SIMPLEXITY’(권오상 전시)</t>
  </si>
  <si>
    <t>[메인][플러스탭] 경찰청 X LG U+ 보이스피싱범 잡기 이벤트(수정)</t>
  </si>
  <si>
    <t>[메인][플러스탭] 에도 시대 건축 정원 투어 가이드_로밍 3편</t>
  </si>
  <si>
    <t>[메인][플러스탭] 시모노세키 여행_로밍 4번</t>
  </si>
  <si>
    <t>운</t>
  </si>
  <si>
    <t>[메인][플러스탭] 쉽고 혜택 가득한 유플생활 활용.zip_취소건</t>
  </si>
  <si>
    <t>[메인][플러스탭] 우리 아이 통신 생활 U+one에 맡기세요_연기건</t>
  </si>
  <si>
    <t>[메인][플러스탭] 커피 이상의 경험 Café SWAROVSKI</t>
  </si>
  <si>
    <t>[메인][플러스탭] Simple.Lab 리포트 3개월의 기록</t>
  </si>
  <si>
    <t>[메인][플러스탭] 현대카드 트렌드 DEEP DIVE! 웰컴이벤트</t>
  </si>
  <si>
    <t>[메인][플러스탭] 커피 이상의 경험 Café SWAROVSKI - 러닝체인지</t>
  </si>
  <si>
    <t>[메인][플러스탭] 감성 세 스푼 담은 무료 전시</t>
  </si>
  <si>
    <t>[메인][플러스탭] AI로 쉬운 영상 만드는 법</t>
  </si>
  <si>
    <t>[메인][플러스탭] 2026년을 지배할 패션 트렌드</t>
  </si>
  <si>
    <t>[메인][플러스탭] 로밍 속도 비교 후쿠오카 승자는?</t>
  </si>
  <si>
    <t>[메인][플러스탭] [맛집 모음zip] 지역별 특별한 탕집 8</t>
  </si>
  <si>
    <t>[메인][플러스탭] 내가 꿈꾸는 굿즈 아이디어 이벤트</t>
  </si>
  <si>
    <t>[메인][플러스탭] 얼룩진 피겨 스케이터 빙판 위의 악녀 이야기</t>
  </si>
  <si>
    <t>[DCBGIT-35095] 레고런 이벤트</t>
  </si>
  <si>
    <t>[DCBGIT-35160] 뮤지컬 전관 행상 이벤트</t>
  </si>
  <si>
    <t>[메인][플러스탭] Simple. Lab Story 담당자가 직접 답해드려요</t>
  </si>
  <si>
    <t>[메인][플러스탭] 나마스테 제주, 요가 투어 코스</t>
  </si>
  <si>
    <t>[메인][플러스탭] OpenAI를 활용한 유플러스 AI 상담원</t>
  </si>
  <si>
    <t>[메인][플러스탭] 출발 시네마 여행</t>
  </si>
  <si>
    <t>[메인][플러스탭] 선착순 쿠폰 당첨도 내 모든 혜택도 쉽게!</t>
  </si>
  <si>
    <t>ㄴ[메인][플러스탭] 10대부터 50대까지 연령별 추천작 9가지_티빙OTT</t>
  </si>
  <si>
    <t>ㄴ[메인][플러스탭] 봄바람 따라 별자리 따라 3월 생일 파티 이벤트</t>
  </si>
  <si>
    <t>ㄴ[메인][플러스탭] AI가 살림하는 미래 모습은?</t>
  </si>
  <si>
    <t>ㄴ[메인][플러스탭] Simple. Lab 3월 참여 이벤트!</t>
  </si>
  <si>
    <t>ㄴ[메인][플러스탭] 이 음식엔 어떤 와인? 실패 없는 조합</t>
  </si>
  <si>
    <t>ㄴ[메인][플러스탭] 가구 좋아한다면 꼭 봐야할 전시</t>
  </si>
  <si>
    <t>ㄴ[메인][플러스탭] 두쫀쿠도 울고 갈 K-쫀득 간식</t>
  </si>
  <si>
    <t>ㄴ[메인][플러스탭] 기술이 예술이 되는 갤럭시 S26 콜라보 전시</t>
  </si>
  <si>
    <t>ㄴ[메인][플러스탭] 꺼도 꺼도 켜지는 아이폰 Wi-Fi의 비밀</t>
  </si>
  <si>
    <t>ㄴ[메인][플러스탭] 특수 공백 삽입 컨텐츠 수정 (U+00A0 유니코드 삭제)</t>
  </si>
  <si>
    <t>ㄴ[메인][플러스탭] MWC 시리즈 vol.1</t>
  </si>
  <si>
    <t>ㄴ[메인][플러스탭] 자꾸 요리하고 싶은 도파민 주방 만드는 법</t>
  </si>
  <si>
    <t>ㄴ[메인][플러스탭] 지금 눈앞에서 가격이 사라집니다</t>
  </si>
  <si>
    <t>ㄴ[메인][플러스탭] 혜택/이벤트 종료에 따른 러닝체인지 - 보이스피싱, AI, 스와로브스키</t>
  </si>
  <si>
    <t>ㄴ[메인][플러스탭] 현대카드 콘텐츠(총 7건) 내 이벤트 영역 삭제</t>
  </si>
  <si>
    <t>ㄴ[메인][플러스탭] 지루한 출근길 소소한 행복을 줄 아이템</t>
  </si>
  <si>
    <t>ㄴ[메인][플러스탭] 갤럭시 S26 샀다면 꼭 써봐야 할 AI 기능</t>
  </si>
  <si>
    <t>ㄴ[메인][플러스탭] 익시오 러닝체인지 - 랜딩 링크/영상</t>
  </si>
  <si>
    <t>ㄴ[메인][플러스탭] 시간 순삭 주의! 설치없는 중독성 게임</t>
  </si>
  <si>
    <t>ㄴ[메인][플러스탭] 진짜 나를 찾아서 GO! #유쓰피릿 #요즘20대</t>
  </si>
  <si>
    <t>ㄴ[메인][플러스탭] MWC 시리즈 vol.2</t>
  </si>
  <si>
    <t>ㄴ[메인][플러스탭] 내 취향저격은? 투표 이벤트</t>
  </si>
  <si>
    <t>ㄴ[메인][플러스탭] 배고프면 클릭 금지! 전국 치킨 찐맛집</t>
  </si>
  <si>
    <t>ㄴ[메인][플러스탭] Simple. Lab 3월 월간 리포트</t>
  </si>
  <si>
    <t>ㄴ[메인][플러스탭] 요즘 신혼부부들은 뭘 살까?</t>
  </si>
  <si>
    <t>ㄴ[메인][플러스탭] U+one 100일 어워즈 결과 리포트</t>
  </si>
  <si>
    <t>[개인화][메인]공지팝업</t>
  </si>
  <si>
    <t>ㄴ[메인][플러스탭] 수정_Simple.Lap 3월 월간 리포트</t>
  </si>
  <si>
    <t>ㄴ[메인][플러스탭] ‘사랑해’ 대신 ‘동결건조해’ 4월 생일 파티 이벤트</t>
  </si>
  <si>
    <t>ㄴ[메인][플러스탭] 낭만 넘치는 봄 피크닉을 위한 가이드</t>
  </si>
  <si>
    <t>(유플투쁠) 26년 4월 유플투쁠 캘린더, 혜택 페이지 제작 요청의 건</t>
  </si>
  <si>
    <t>ㄴ[메인][플러스탭] 보는 재미, 쓰는 맛 갤럭시 S26</t>
  </si>
  <si>
    <t>ㄴ[메인][플러스탭] Simple. Lab 첫 번째 아이디어가 실현되었어요</t>
  </si>
  <si>
    <t>ㄴ[메인][플러스탭] 봄내음 듬뿍담긴 향기로운 뷰티템</t>
  </si>
  <si>
    <t>ㄴ[메인][플러스탭] 돌아온 시즌! 야구, 어떻게 보세요?</t>
  </si>
  <si>
    <t>ㄴ[메인][플러스탭] Simple. Lab 4월 참여 이벤트유플러스 이야기_해외로밍 아이디어</t>
  </si>
  <si>
    <t>ㄴ[메인][플러스탭] 봄꽃 만발하는 천국같은 국내 여행지</t>
  </si>
  <si>
    <t xml:space="preserve">ㄴ[메인][플러스탭] 안심을 위한 일에 나중은 없기에_IMSI 유심 교체 </t>
  </si>
  <si>
    <t>ㄴ[메인][플러스탭] 쉿, VIP콕은 안 비밀 VVIP·VIP라면 이 혜택을 콕</t>
  </si>
  <si>
    <t>ㄴ[메인][플러스탭] Simple. Lab '즐겨찾기 설정'</t>
  </si>
  <si>
    <t>ㄴ[메인][플러스탭] 현대카드 4건 이벤트 종료건</t>
  </si>
  <si>
    <t>ㄴ[메인][플러스탭] (K사)내가 잘 쓰던 서비스, U+에선 이렇게 !</t>
  </si>
  <si>
    <t>ㄴ[메인][플러스탭] (S사)내가 잘 쓰던 서비스, U+에선 이렇게 !</t>
  </si>
  <si>
    <t>ㄴ[메인][플러스탭] 둘 중 하나가 평생 무료라면? 매일 커피 vs 매주 영화</t>
  </si>
  <si>
    <t>ㄴ[메인][플러스탭]환율 출렁~ 올해 해외여행 갈까 말까?</t>
  </si>
  <si>
    <t>ㄴ[메인][플러스탭] phase2 수정사항 반영</t>
  </si>
  <si>
    <t>ㄴ[메인][플러스탭] 최신 로봇청소기 비교 모음.zip</t>
  </si>
  <si>
    <t>ㄴ[메인][플러스탭] 유플러스에 도착한 9,567개의 이야기</t>
  </si>
  <si>
    <t>ㄴ[메인][플러스탭] 너와 나의 연결고리 퀵 쉐어 X 에어드랍</t>
  </si>
  <si>
    <t>ㄴ[메인][플러스탭] 바쁜 일상을 덜어주고 싶은 아빠의 조용한 응원</t>
  </si>
  <si>
    <t>ㄴ[메인][플러스탭] Simple. Lab 4월 월간 리포트</t>
  </si>
  <si>
    <t>ㄴ[메인][플러스탭] 친구에겐 진짜 번호 회사엔 부캐 번호</t>
  </si>
  <si>
    <t>ㄴ[메인][플러스탭] 오늘 저녁 삼겹살이 땡기게 될거에요</t>
  </si>
  <si>
    <t>ㄴ[메인][플러스탭] 고객님의 믿음이 만든 감사한 1위</t>
  </si>
  <si>
    <t>ㄴ[메인][플러스탭] 이벤트 종료 3건 - 러닝체인지</t>
  </si>
  <si>
    <t>ㄴ[메인][플러스탭] 영화보다 더 영화 같은 영월</t>
  </si>
  <si>
    <t>ㄴ[메인][플러스탭] 유플러스 매장을 위한 아이디어를 들려주세요!_심플랩 5월 주제</t>
  </si>
  <si>
    <t>ㄴ[메인][플러스탭] 비싼 유류비 걱정된다면? 한국에서 세계여행</t>
  </si>
  <si>
    <t>ㄴ[메인][플러스탭] 고객님의 믿음이 만든 감사한 1위_이벤트 삭제 요청 건(러닝체인지)</t>
  </si>
  <si>
    <t>ㄴ[메인][플러스탭] 밸런스게임_5월 생일 파티</t>
  </si>
  <si>
    <t>ㄴ[메인][플러스탭] 인테리어 고수들의 컬러 사용법</t>
  </si>
  <si>
    <t>ㄴ[메인][플러스탭] 한국인의 소울푸드 떡볶이 맛집 최강자는?</t>
  </si>
  <si>
    <t>ㄴ[메인][플러스탭] 이번 휴가는 온전히 푹-쉬고 싶다면</t>
  </si>
  <si>
    <t>ㄴ[메인][플러스탭] 5월 세금 신고의 달 사업자 세금계산서</t>
  </si>
  <si>
    <t>ㄴ[메인][플러스탭] 너와 나의 연결고리 퀵 쉐어 X 에어드랍_러닝체인지</t>
  </si>
  <si>
    <t>ㄴ[메인][플러스탭] 가정의 달, 가족에게 따뜻한 한마디 어때요?</t>
  </si>
  <si>
    <t>ㄴ[메인][플러스탭] 안심을 위한 일에 나중은 없기에_러닝체인지</t>
  </si>
  <si>
    <t>ㄴ[메인][플러스탭] 2주간 펼쳐질 플러스 페스타!</t>
  </si>
  <si>
    <t>ㄴ[메인][플러스탭] 앱 청구서, 나와 지구를 위한 습관</t>
  </si>
  <si>
    <t>ㄴ[메인][플러스탭]테마파크 양대산맥, 당신의 선택은?_밸런스 게임</t>
  </si>
  <si>
    <t>ㄴ[메인][플러스탭]내일은 혜택 빵빵한, 0000데이!_밸런스게임</t>
  </si>
  <si>
    <t>ㄴ[메인][플러스탭]요즘엔 빵보다 떡이 대세! 쫜득 쫄깃 떡 맛집</t>
  </si>
  <si>
    <t>ㄴ[메인][플러스탭] 글로벌이 주목하는 우리나라의 딥 테크</t>
  </si>
  <si>
    <t>ㄴ[메인][플러스탭] 쉿, ‘VIP콕’은 안 비밀 VVIP·VIP라면 이 혜택을 콕_러닝체인지</t>
  </si>
  <si>
    <t>ㄴ[메인][플러스탭] 유플투쁠이 뭐길래! 선착순 쿠폰 드려요</t>
  </si>
  <si>
    <t>ㄴ[메인][플러스탭]똑똑해진 전화 기능 갤럭시 통화 스크리닝</t>
  </si>
  <si>
    <t>ㄴ[메인][플러스탭](심플랩)숨겨왔던 아이디어, 다 꺼내보세요</t>
  </si>
  <si>
    <t>ㄴ[메인][플러스탭]휴대폰이 정지돼도 119 신고를 할 수 있다?[밸런스게임]</t>
  </si>
  <si>
    <t>ㄴ[메인][플러스탭]휴대폰이 정지돼도 119 신고를 할 수 있다?</t>
  </si>
  <si>
    <t>ㄴ[메인][플러스탭]이제는 주식도 AI와 함께(투표형)</t>
  </si>
  <si>
    <t>ㄴ[메인][플러스탭]요즘 핫한 주식, 할 말 많으신 분?(일반형)</t>
  </si>
  <si>
    <t>ㄴ[메인][플러스탭]“여보세요” 한 마디에 내 목소리가 복제돼요</t>
  </si>
  <si>
    <t>ㄴ[메인][플러스탭]안심을 위한 일에 나중은 없기에_러닝체인지(추가 변경)</t>
  </si>
  <si>
    <t>ㄴ[메인][플러스탭]내 SNS 영상 때문에 보이스피싱이 올 수 있다?</t>
  </si>
  <si>
    <t>ㄴ[메인][플러스탭](투표형)2026 백상예술대상 내 마음속 대상은?</t>
  </si>
  <si>
    <t>ㄴ[메인][플러스탭](밸런스형)아이폰의 에어드롭, 갤럭시에서도 된다?</t>
  </si>
  <si>
    <t>ㄴ[메인][플러스탭](투표형)오늘 가장 땡기는 음식은? 떡볶이 VS 삼겹살 VS 치킨</t>
  </si>
  <si>
    <t>ㄴ[메인][플러스탭](밸런스형)왔어요!신규 멤버십 혜택이 왔어요!</t>
  </si>
  <si>
    <t>ㄴ[메인][플러스탭]유튜브 즐겨 본다면 갤럭시 화면 설정 TIP</t>
  </si>
  <si>
    <t>ㄴ[메인][플러스탭]똑똑똑, 어서 와 BOYNEXTDOOR</t>
  </si>
  <si>
    <t>ㄴ[메인][플러스탭](투표형)한명에게 몰빵 VS 여러명이 나눠갖기</t>
  </si>
  <si>
    <t>ㄴ[메인][플러스탭](AI 퍼블)2년 차부터 시작! 장기고객 혜택</t>
  </si>
  <si>
    <t>ㄴ[메인][플러스탭](밸런스형)내가 만약 혼성그룹의 멤버라면?</t>
  </si>
  <si>
    <t>ㄴ[메인][플러스탭]통신의 기본, 유플러스가 가장 먼저</t>
  </si>
  <si>
    <t>ㄴ[메인][플러스탭]Simple. Lab 5월 월간 리포트</t>
  </si>
  <si>
    <t>ㄴ[메인][플러스탭](투표형)휴대폰 번호는 한 개만 가능할까?</t>
  </si>
  <si>
    <t>ㄴ[메인][플러스탭](AI 퍼블)피자 혜택 한판 요약! 6만원 할인 토핑 필수</t>
  </si>
  <si>
    <t>ㄴ[메인][플러스탭](밸런스형)피자에 파인애플, 어떻게 생각하시나요?</t>
  </si>
  <si>
    <t>ㄴ[메인][플러스탭](투표형)2주간의 플러스 페스타 어땠나요?</t>
  </si>
  <si>
    <t>ㄴ[메인][플러스탭](AI 퍼블)통신에 가장 필요한 AI 아이디어 제안하기</t>
  </si>
  <si>
    <t>[DCBGIT-39318] [유심 교체 - 중앙 팝업] 6/1업데이트 요청 건_pc/mw/app(메인중앙팝업)*08:00반영</t>
  </si>
  <si>
    <t>[DCBGIT-39578] [플러스탭][통신의 기본, 유플러스가 가장 먼저] 콘텐츠 러닝체인지 요청 (6/1)</t>
  </si>
  <si>
    <t>[DCBGIT-39580] [플러스탭] 6월 생일 파티 이벤트 (6/1)</t>
  </si>
  <si>
    <t>[DCBGIT-39581] [플러스탭][소설 속 그 장소로 해외여행 떠나볼까요?] stg 검수 및 운영 편성 요청 (6/2)</t>
  </si>
  <si>
    <t>[DCBGIT-39611] [플러스탭] 콘텐츠 GA 태깅 요청</t>
  </si>
  <si>
    <t>[DCBGIT-39609] [플러스탭][따뜻한 응원 메시지 전화로 남겨보세요] 콘텐츠 퍼블/발행 요청 (6/8)</t>
  </si>
  <si>
    <t>[DCBGIT-39649] [플러스탭] 6월 폰 분실하면 어떻게 해야 할까</t>
  </si>
  <si>
    <t>[DCBGIT-39803] [플러스탭] 6월 유심 콘텐츠 이미지 1건 교체</t>
  </si>
  <si>
    <t>[DCBGIT-39747] [플러스탭] 6월 일본 로밍 여행 준비편 - 통신서비스</t>
  </si>
  <si>
    <t>[DCBGIT-39720] [플러스탭][롱블랙의 콘텐츠, 이제 플러스에서 즐겨요] 퍼블/발행 요청 (6/4 목)</t>
  </si>
  <si>
    <t>[DCBGIT-39894] [플러스탭] 6월 아이폰, 터치 실수로 전화가 걸렸다면</t>
  </si>
  <si>
    <t>[DCBGIT-39899] [플러스탭][미쉐린 가이드 2026 속 제철 재료 다이닝] 퍼블 검수 및 운영 발행 요청 (6/9)</t>
  </si>
  <si>
    <t>[DCBGIT-39936] [플러스탭] VIP콕 러닝체인지(순서 변경: 할리스, 스타벅스)</t>
  </si>
  <si>
    <t>[DCBGIT-39915] [플러스탭] [위클리 챌린지] 6월 WAKE UP -허브콘텐츠(예고편)</t>
  </si>
  <si>
    <t>[DCBGIT-40037] [플러스탭] ixi 승부 예측 이벤트 안내_밸런스게임(5/9 11시)</t>
  </si>
  <si>
    <t>[DCBGIT-40040] [플러스탭] [위클리 챌린지] 6월 WAKE UP - #1 본편(출근길)</t>
  </si>
  <si>
    <t>확</t>
  </si>
  <si>
    <t>[DCBGIT-40023] [플러스탭][플러스 페스타 그 뜨거웠던 기록] 퍼블/발행 요청 (6/9 화)</t>
  </si>
  <si>
    <t>[DCBGIT-40168] [플러스탭][영국 3대 그림책 거장이 한국에!] 퍼블/발행 요청 (6/10 수)</t>
  </si>
  <si>
    <t>[DCBGIT-40236] [플러스탭] 착신전환 서비스 이럴 때 진짜 유용해요</t>
  </si>
  <si>
    <t>[DCBGIT-40212] [플러스탭][매일 1초와 싸우는 사람들] 퍼블 및 발행요청 (6/11 목)</t>
  </si>
  <si>
    <t>[DCBGIT-40383] [플러스탭][왜 가장 가까운 사람을 가장 미워하게 될까?] 퍼블/발행 요청 (6/11 목)</t>
  </si>
  <si>
    <t>[DCBGIT-40243] 진단 1차, 앱_iOS 3 - [초점] 플러스(상세), 홈&gt;플러스 탭&gt;목록선택 - p61</t>
  </si>
  <si>
    <t>2026년 접근성 인증</t>
  </si>
  <si>
    <t>[DCBGIT-40407] [플러스탭][U+ iPhone 앰배서더 BOYNEXTDOOR] 퍼블/발행 요청 (6/12 금)</t>
  </si>
  <si>
    <t>[DCBGIT-40423] [플러스탭][자연미를 만끽할 수 있는 한국 사찰 다섯 곳] STG퍼블 검수/발행 요청 (6/16 화)</t>
  </si>
  <si>
    <t>[DCBGIT-40626] [플러스탭][위로가 필요할 때 무조건 공감 VS 현실적 조언] 퍼블 및 발행 요청 (6/18 목)</t>
  </si>
  <si>
    <t>[DCBGIT-40665] [플러스탭][이걸 음식으로 만든다고? 푸드 아트의 세계] stg검수 및 발행 요청 (6/23 화)</t>
  </si>
  <si>
    <t>[DCBGIT-40760] [플러스탭][내 취향에 맞는 AI 비서는?] 퍼블 및 발행 요청 (6/23 화)</t>
  </si>
  <si>
    <t>[DCBGIT-40801] [플러스탭] [AI퍼블] 가족이랑 지인이랑 자유롭게 결합 할인</t>
  </si>
  <si>
    <t>[DCBGIT-40799] [플러스탭] [위클리 챌린지] [AI퍼블] 6월 WAKE UP - #2 본편(연애)</t>
  </si>
  <si>
    <t>[DCBGIT-40807] [플러스탭] [위클리 챌린지] [AI퍼블] 6월 WAKE UP - #1 당첨자 발표-콘텐츠</t>
  </si>
  <si>
    <t>[DCBGIT-40892] [플러스탭][현대카드 쿠킹 라이브러리 셀프 쿠킹 단독 이벤트] 퍼블 검수 및 발행 요청 (6/26 금)</t>
  </si>
  <si>
    <t>[DCBGIT-40910] [플러스탭] [위클리 챌린지] [AI퍼블] 6월 WAKE UP - #3 밸런스게임</t>
  </si>
  <si>
    <t>[DCBGIT-40950] [플러스탭][대전 빵티칸 순례 '빵택시'를 아시나요?] STG검수 및 발행 요청 (6/25 목)</t>
  </si>
  <si>
    <t>[DCBGIT-40949] [플러스탭][Simple.Lab  6월 월간 리포트] 퍼블 및 발행 요청 (6/29 월)</t>
  </si>
  <si>
    <t>[DCBGIT-40948] [플러스탭][익시오 로밍콜로 해외에서 무료로 통화해요] 퍼블 및 발행요청 (6/29 월)</t>
  </si>
  <si>
    <t>[DCBGIT-40941] [플러스탭][해외 여행 준비할 때 계획철저 VS 여유만만] STG 검수 및 발행 요청</t>
  </si>
  <si>
    <t>[DCBGIT-40940] [플러스탭][심플하게 바뀐 통신 요금 함께 알아볼까요?] 퍼블 및 발행 요청 (6/26 금)</t>
  </si>
  <si>
    <t>[DCBGIT-41182] [플러스탭][내 일상에 꼭 필요한 AI 아이디어] STG 검수 및 발행 요청</t>
  </si>
  <si>
    <t>[DCBGIT-41199] [플러스탭][습하고 꿉꿉한 여름을 산뜻하게 만들어줄 아이템] STG 검수 및 발행 요청</t>
  </si>
  <si>
    <t>[DCBGIT-41227] [플러스탭] [AI퍼블] 여름 혜택 16가지 SUMMER IS HERE!</t>
  </si>
  <si>
    <t>[DCBGIT-41261] [플러스][플러스에 당신의 이야기를 들려주세요!] STG 검수 및 발행 요청 (7/1 수)</t>
  </si>
  <si>
    <t>[DCBGIT-41278] [플러스탭] 이벤트 종료 콘텐츠 러닝체인지 요청 (7/1 금일 중)</t>
  </si>
  <si>
    <t>[DCBGIT-41292] [플러스] 7월 플러스 페스타 1주차</t>
  </si>
  <si>
    <t>[DCBGIT-41467] [플러스탭][시원한 여름을 위한 숲캉스 숙소 추천] STG 검수 및 발행 요청 (7/7 화)</t>
  </si>
  <si>
    <t>[DCBGIT-41485] [플러스탭][장마철 몰아보기 좋은 판타지 초능력 로맨스] STG 검수 및 발행 요청 (7/10 금)</t>
  </si>
  <si>
    <t>[DCBGIT-41533] [플러스탭][내가 보낸 응원이 광화문에 뜬다! ] STG 검수 및 발행요청 (7/8 수)</t>
  </si>
  <si>
    <t>[DCBGIT-41579] [AI 퍼블] 웹접근성 검수 요청-멤버십 바코드 달라진 포인트 3가지</t>
  </si>
  <si>
    <t>[DCBGIT-41603] [플러스탭][발뮤다의 감각은 어디서 올까?] STG 검수 및 발행요청 (7/9 목)</t>
  </si>
  <si>
    <t>[DCBGIT-41722] [플러스탭] 신규 가입 고객용 온보딩 허브 페이지</t>
  </si>
  <si>
    <t>[DCBGIT-41780] [플러스탭] 2년 차부터 시작! 장기고객 혜택 - 이벤트 버튼 딤드 처리</t>
  </si>
  <si>
    <t>[DCBGIT-41793] [플러스탭][여름 제철 토마토 어디까지 먹어봤나요?] stg 검수 및 발행요청 (7/14 화)</t>
  </si>
  <si>
    <t>[DCBGIT-41797] [플러스탭][월급은 그대로인데 자꾸 돈이 샌다면?] stg 검수 및 발행 요청 (7/16 목)</t>
  </si>
  <si>
    <t>[DCBGIT-41853] [플러스탭][해외 여행 준비할 때 여유만만 VS 계획철저] stg 검수 및 발행 요청 (7/16 목)</t>
  </si>
  <si>
    <t>[DCBGIT-41854] [플러스탭][무더위는 잊고 판타지 세계로 출발!] stg 검수 및 발행 요청 (7/17 금)</t>
  </si>
  <si>
    <t>[DCBGIT-42042] [플러스탭][전 세계가 사랑한 거장 보테로를 만날 기회!] stg 검수 및 발행 요청 (7/22 수)</t>
  </si>
  <si>
    <t>[DCBGIT-42255] [플러스탭][푹 자고 잘 일어나는 여름밤을 위해] stg 검수 및 발행 요청 (7/21 화)</t>
  </si>
  <si>
    <t>[DCBGIT-42270] [플러스탭[꾸덕-한 하이그릭부터 고소-한 치즈 선물까지] 퍼블 및 발행 요청 (7/23 목)</t>
  </si>
  <si>
    <t>[DCBGIT-42334] [플러스탭] 7월 27일 로미지안 콘텐츠 발행</t>
  </si>
  <si>
    <t>[DCBGIT-42347] [플러스탭][Simple.Lab  7월 월간 리포트] 퍼블 및 발행 요청 (7/24 금)</t>
  </si>
  <si>
    <t>[DCBGIT-42412] [플러스탭][공룡 좋아하는 우리 아이 취향 저격 영화!] 퍼블 및 발행 요청 (7/27 월)</t>
  </si>
  <si>
    <t>[DCBGIT-42413] [플러스탭][4시간 기다리는 화제의 밀크티?] stg 검수 및 발행 요청 (7/23 목)</t>
  </si>
  <si>
    <t>[DCBGIT-42495] [플러스탭][오싹함 한 스푼 더한 공포 코미디 추천작] stg 검수 및 발행 요청 7/24(금)</t>
  </si>
  <si>
    <t>[DCBGIT-42549] [플러스탭] 멤버십 영수증에 나이가 찍혀 있다?</t>
  </si>
  <si>
    <t>[DCBGIT-42627] [플러스탭][평양냉면 마니아를 위한 저장 필수 맛집] stg 검수 및 발행 요청 (7/28 화)</t>
  </si>
  <si>
    <t>[DCBGIT-42685] [플러스탭][수세미 하나로 연매출 5,000억] stg 검수 및 발행 요청 (7/30 목)</t>
  </si>
  <si>
    <t>[DCBGIT-42687] [플러스탭][스파이더맨, 신작 보기 전 정주행 가보자고!] 퍼블 및 발행 요청 (7/31 금)</t>
  </si>
  <si>
    <t>[DCBGIT-42723] [플러스탭][심플랩 8월 이달의 주제] 퍼블 및 발행 요청 (8/3 월)</t>
  </si>
  <si>
    <t>[DCBGIT-42945] [플러스탭][완벽한 여름휴가를 위한 국내 풀 빌라] stg 검수 및 발행 요청 (8/4 화)</t>
  </si>
  <si>
    <t>[DCBGIT-42987] [플러스탭][요즘 완전 대세 스마트 글라스] stg 검수 및 발행 요청 (8/11 화)</t>
  </si>
  <si>
    <t>[DCBGIT-43031] [플러스탭][당신의 투자에는 기준이 있나요?] stg 검수 및 발행 요청 8/6(목)</t>
  </si>
  <si>
    <t>[DCBGIT-43036] [플러스탭][국내 최대 광화문 사이니지에 내 편지를 띄워보세요!] stg 검수 및 발행 요청 (8/7 금)</t>
  </si>
  <si>
    <t>[DCBGIT-43083] [플러스탭] 퇴근 후 나의 힐링스타일‌ OTT 집콕파 VS 에너지파‌</t>
  </si>
  <si>
    <t>[DCBGIT-43202] [플러스탭][실컷 웃고, 산책하고 힐링하는 대학로 추천코스] stg 검수 및 발행 요청</t>
  </si>
  <si>
    <t>[DCBGIT-43207] [플러스탭] 7월 플러스 페스타 후기 및 당첨자 발표 콘텐츠 발행 (8월 13일)</t>
  </si>
  <si>
    <t>[DCBGIT-43214] [플러스탭][9월이 기다려지는 두근두근 소원상점 OPEN] 퍼블 및 발행 요청 (8/13 목)</t>
  </si>
  <si>
    <t>[DCBGIT-43337] [플러스탭][스토리텔러와 읽는 오디세이아] stg 검수 및 발행 요청</t>
  </si>
  <si>
    <t>[DCBGIT-43338] [플러스탭][아는 사람은 다 아는 그 서비스, 알고 계셨나요?] 퍼블 및 발행 요청</t>
  </si>
  <si>
    <t>[DCBGIT-43365] [플러스탭][두쫀쿠, 버터떡, 그 다음은 초코 바게트?] stg 검수 및 발행 요청 (8/18 화)</t>
  </si>
  <si>
    <t>[DCBGIT-43369] [플러스탭] 이벤트DB 연동 콘텐츠 발행 - 내 아이폰 취향</t>
  </si>
  <si>
    <t>[DCBGIT-43482] [플러스탭][성수동을 사로잡은 ‘바이닐 성수’ 이야기] stg 검수 및 발행 요청 (8/20 목)</t>
  </si>
  <si>
    <t>[DCBGIT-43500] [플러스탭][Simple. Lab 8월 월간 리포트] stg 검수 및 발행 요청 (8/21 금)</t>
  </si>
  <si>
    <t>[DCBGIT-43610] [플러스탭][NHN 콘텐츠] TBD stg 검수 및 발행 요청 (8/24 월)</t>
  </si>
  <si>
    <t>[DCBGIT-43784] [플러스탭][뮤지컬, 페스티벌, 전시까지 취향대로 골라봐요] 퍼블 및 발행 요청 (8/24 월)</t>
  </si>
  <si>
    <t>[DCBGIT-44141] [플러스탭][요즘 로컬 맛집 투어는 재래시장으로!] stg 검수 및 발행 요청 (8/25 화)</t>
  </si>
  <si>
    <t>[DCBGIT-44168] [플러스탭][바세린이 힙해졌다? 150살 브랜드의 회춘 비결] stg 검수 및 발행 요청 (8/27 목)</t>
  </si>
  <si>
    <t>[DCBGIT-44192] [플러스탭][새로워진 U+ 로밍패스와 함께 여행을 심플하게] stg 검수 및 발행 요청 (8/28 금)</t>
  </si>
  <si>
    <t>[DCBGIT-44276] [플러스탭][AI시대에는 반려동물 대신 반려로봇!] STG 검수 및 발행 요청 (9/1 화)</t>
  </si>
  <si>
    <t>[DCBGIT-44279] [플러스탭][플로팅 버튼 수정 요청] ~9/4(금)</t>
  </si>
  <si>
    <t>[DCBGIT-44334] [플러스탭] 갤럭시 폴더블8</t>
  </si>
  <si>
    <t>[DCBGIT-44414] [플러스탭][Simply. U+ 1주년엔 뭘 해볼까요?] STG 검수 및 발행 요청 (9/4 금)</t>
  </si>
  <si>
    <t>[DCBGIT-44442] [플러스탭][현대카드 쿠킹 라이브러리 셀프 쿠킹 is BACK!] STG 검수 및 발행 요청 (9/7 월)</t>
  </si>
  <si>
    <t>[DCBGIT-44503] [플러스탭][가우디 수업: AI시대의 교훈] stg 검수 및 발행 요청 (9/3 목)</t>
  </si>
  <si>
    <t>[DCBGIT-44590] [플러스탭][당신도 혹시 AI와 사랑에 빠지지는 않았나요?] STG 검수 및 발행 요청 (9/10 목)</t>
  </si>
  <si>
    <t>휴가 합계</t>
  </si>
  <si>
    <t>근무일 수</t>
  </si>
  <si>
    <t>최소 시간</t>
  </si>
  <si>
    <t>최대 시간</t>
  </si>
  <si>
    <t>연차</t>
  </si>
  <si>
    <t>반차</t>
  </si>
  <si>
    <t>반반차</t>
  </si>
  <si>
    <t>대체휴가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</si>
</sst>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yyyy&quot;-&quot;mm&quot;-&quot;dd"/>
    <numFmt numFmtId="166" formatCode="m/d"/>
    <numFmt numFmtId="167" formatCode="d"/>
    <numFmt numFmtId="168" formatCode="ddd"/>
  </numFmts>
  <fonts count="47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Nanum Gothic"/>
    </font>
    <font>
      <sz val="9.0"/>
      <color theme="1"/>
      <name val="Nanum Gothic"/>
    </font>
    <font>
      <sz val="9.0"/>
      <color rgb="FF000000"/>
      <name val="Noto Sans KR"/>
    </font>
    <font>
      <sz val="9.0"/>
      <color theme="1"/>
      <name val="Noto Sans KR"/>
    </font>
    <font>
      <sz val="9.0"/>
      <color rgb="FF000000"/>
      <name val="Roboto"/>
    </font>
    <font>
      <sz val="9.0"/>
      <color rgb="FF4285F4"/>
      <name val="Roboto"/>
    </font>
    <font>
      <sz val="9.0"/>
      <color theme="1"/>
      <name val="Roboto"/>
    </font>
    <font>
      <sz val="9.0"/>
      <color rgb="FF000000"/>
      <name val="Nanum Gothic"/>
    </font>
    <font/>
    <font>
      <b/>
      <sz val="9.0"/>
      <color rgb="FF000000"/>
      <name val="Noto Sans KR"/>
    </font>
    <font>
      <b/>
      <sz val="9.0"/>
      <color theme="1"/>
      <name val="Noto Sans KR"/>
    </font>
    <font>
      <b/>
      <sz val="9.0"/>
      <color rgb="FFFFFFFF"/>
      <name val="Noto Sans KR"/>
    </font>
    <font>
      <color theme="1"/>
      <name val="Arial"/>
    </font>
    <font>
      <b/>
      <sz val="9.0"/>
      <color rgb="FF000000"/>
      <name val="Roboto"/>
    </font>
    <font>
      <color theme="1"/>
      <name val="Roboto"/>
    </font>
    <font>
      <b/>
      <sz val="15.0"/>
      <color rgb="FF000000"/>
      <name val="Noto Sans KR"/>
    </font>
    <font>
      <sz val="9.0"/>
      <color rgb="FFFFFFFF"/>
      <name val="Noto Sans KR"/>
    </font>
    <font>
      <b/>
      <color theme="1"/>
      <name val="Arial"/>
    </font>
    <font>
      <b/>
      <sz val="9.0"/>
      <color rgb="FFEA4335"/>
      <name val="Noto Sans KR"/>
    </font>
    <font>
      <b/>
      <sz val="9.0"/>
      <color theme="5"/>
      <name val="Noto Sans KR"/>
    </font>
    <font>
      <b/>
      <sz val="9.0"/>
      <color rgb="FFFF9900"/>
      <name val="Noto Sans KR"/>
    </font>
    <font>
      <color theme="1"/>
      <name val="Noto Sans KR"/>
    </font>
    <font>
      <sz val="9.0"/>
      <color rgb="FFEA4335"/>
      <name val="Roboto"/>
    </font>
    <font>
      <b/>
      <sz val="9.0"/>
      <color rgb="FFEA4335"/>
      <name val="Roboto"/>
    </font>
    <font>
      <b/>
      <sz val="9.0"/>
      <color theme="5"/>
      <name val="Roboto"/>
    </font>
    <font>
      <b/>
      <sz val="9.0"/>
      <color rgb="FFFF9900"/>
      <name val="Roboto"/>
    </font>
    <font>
      <b/>
      <sz val="9.0"/>
      <color theme="1"/>
      <name val="Roboto"/>
    </font>
    <font>
      <sz val="9.0"/>
      <color rgb="FFFFFFFF"/>
      <name val="Roboto"/>
    </font>
    <font>
      <sz val="10.0"/>
      <color rgb="FF000000"/>
      <name val="Roboto"/>
    </font>
    <font>
      <u/>
      <color rgb="FF0000FF"/>
      <name val="Roboto"/>
    </font>
    <font>
      <sz val="10.0"/>
      <color theme="1"/>
      <name val="Roboto"/>
    </font>
    <font>
      <u/>
      <color rgb="FF999999"/>
      <name val="Roboto"/>
    </font>
    <font>
      <u/>
      <color rgb="FF0000FF"/>
      <name val="Roboto"/>
    </font>
    <font>
      <color rgb="FFCC0000"/>
      <name val="Roboto"/>
    </font>
    <font>
      <u/>
      <sz val="10.0"/>
      <color rgb="FF000000"/>
      <name val="Roboto"/>
    </font>
    <font>
      <u/>
      <color rgb="FF999999"/>
      <name val="Roboto"/>
    </font>
    <font>
      <u/>
      <color rgb="FF0000FF"/>
      <name val="Roboto"/>
    </font>
    <font>
      <u/>
      <sz val="10.0"/>
      <color rgb="FF999999"/>
      <name val="Roboto"/>
    </font>
    <font>
      <u/>
      <sz val="10.0"/>
      <color rgb="FF000000"/>
      <name val="Roboto"/>
    </font>
    <font>
      <u/>
      <sz val="10.0"/>
      <color rgb="FF999999"/>
      <name val="Roboto"/>
    </font>
    <font>
      <u/>
      <sz val="10.0"/>
      <color rgb="FF0000FF"/>
      <name val="Roboto"/>
    </font>
    <font>
      <u/>
      <sz val="10.0"/>
      <color rgb="FF000000"/>
      <name val="Roboto"/>
    </font>
    <font>
      <u/>
      <color rgb="FF0000FF"/>
      <name val="Roboto"/>
    </font>
    <font>
      <u/>
      <color rgb="FF000000"/>
      <name val="Roboto"/>
    </font>
    <font>
      <u/>
      <color rgb="FF0000FF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C27BA0"/>
        <bgColor rgb="FFC27BA0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FFE0E0"/>
        <bgColor rgb="FFFFE0E0"/>
      </patternFill>
    </fill>
    <fill>
      <patternFill patternType="solid">
        <fgColor rgb="FFFFEAEA"/>
        <bgColor rgb="FFFFEAEA"/>
      </patternFill>
    </fill>
    <fill>
      <patternFill patternType="solid">
        <fgColor rgb="FFFFFF00"/>
        <bgColor rgb="FFFFFF00"/>
      </patternFill>
    </fill>
  </fills>
  <borders count="39">
    <border/>
    <border>
      <left style="thin">
        <color rgb="FF000000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D9D9D9"/>
      </bottom>
    </border>
    <border>
      <left style="thin">
        <color rgb="FFCCCCCC"/>
      </left>
      <top style="thin">
        <color rgb="FFCCCCCC"/>
      </top>
      <bottom style="thin">
        <color rgb="FFD9D9D9"/>
      </bottom>
    </border>
    <border>
      <left style="thin">
        <color rgb="FF000000"/>
      </left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3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Font="1"/>
    <xf borderId="0" fillId="4" fontId="4" numFmtId="0" xfId="0" applyAlignment="1" applyFill="1" applyFont="1">
      <alignment horizontal="center" readingOrder="0" vertical="bottom"/>
    </xf>
    <xf borderId="0" fillId="0" fontId="3" numFmtId="0" xfId="0" applyAlignment="1" applyFont="1">
      <alignment readingOrder="0"/>
    </xf>
    <xf borderId="0" fillId="4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4" fontId="3" numFmtId="0" xfId="0" applyAlignment="1" applyFill="1" applyFont="1">
      <alignment readingOrder="0" vertical="center"/>
    </xf>
    <xf borderId="0" fillId="0" fontId="5" numFmtId="0" xfId="0" applyAlignment="1" applyFont="1">
      <alignment vertical="bottom"/>
    </xf>
    <xf borderId="0" fillId="0" fontId="5" numFmtId="0" xfId="0" applyFont="1"/>
    <xf borderId="0" fillId="0" fontId="3" numFmtId="0" xfId="0" applyAlignment="1" applyFont="1">
      <alignment readingOrder="0" vertical="bottom"/>
    </xf>
    <xf borderId="1" fillId="0" fontId="5" numFmtId="0" xfId="0" applyAlignment="1" applyBorder="1" applyFont="1">
      <alignment vertical="bottom"/>
    </xf>
    <xf borderId="2" fillId="4" fontId="6" numFmtId="0" xfId="0" applyAlignment="1" applyBorder="1" applyFill="1" applyFont="1">
      <alignment horizontal="left" readingOrder="0" vertical="center"/>
    </xf>
    <xf borderId="2" fillId="4" fontId="6" numFmtId="0" xfId="0" applyAlignment="1" applyBorder="1" applyFill="1" applyFont="1">
      <alignment horizontal="center" readingOrder="0" vertical="center"/>
    </xf>
    <xf borderId="2" fillId="4" fontId="7" numFmtId="0" xfId="0" applyAlignment="1" applyBorder="1" applyFill="1" applyFont="1">
      <alignment horizontal="center" readingOrder="0" shrinkToFit="0" vertical="center" wrapText="0"/>
    </xf>
    <xf borderId="2" fillId="4" fontId="8" numFmtId="0" xfId="0" applyAlignment="1" applyBorder="1" applyFill="1" applyFont="1">
      <alignment horizontal="center" shrinkToFit="0" vertical="center" wrapText="0"/>
    </xf>
    <xf borderId="2" fillId="4" fontId="8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vertical="bottom"/>
    </xf>
    <xf borderId="2" fillId="4" fontId="8" numFmtId="0" xfId="0" applyAlignment="1" applyBorder="1" applyFill="1" applyFont="1">
      <alignment horizontal="center" vertical="center"/>
    </xf>
    <xf borderId="0" fillId="3" fontId="3" numFmtId="0" xfId="0" applyFill="1" applyFont="1"/>
    <xf borderId="3" fillId="0" fontId="3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left" readingOrder="0" shrinkToFit="0" wrapText="0"/>
    </xf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0" fontId="9" numFmtId="0" xfId="0" applyAlignment="1" applyBorder="1" applyFont="1">
      <alignment horizontal="center" readingOrder="0" shrinkToFit="0" vertical="center" wrapText="0"/>
    </xf>
    <xf borderId="11" fillId="0" fontId="9" numFmtId="0" xfId="0" applyAlignment="1" applyBorder="1" applyFont="1">
      <alignment horizontal="left" readingOrder="0" shrinkToFit="0" wrapText="0"/>
    </xf>
    <xf borderId="12" fillId="0" fontId="10" numFmtId="0" xfId="0" applyBorder="1" applyFont="1"/>
    <xf borderId="13" fillId="0" fontId="10" numFmtId="0" xfId="0" applyBorder="1" applyFont="1"/>
    <xf borderId="8" fillId="0" fontId="3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left" readingOrder="0" shrinkToFit="0" wrapText="0"/>
    </xf>
    <xf borderId="16" fillId="0" fontId="10" numFmtId="0" xfId="0" applyBorder="1" applyFont="1"/>
    <xf borderId="17" fillId="0" fontId="10" numFmtId="0" xfId="0" applyBorder="1" applyFont="1"/>
    <xf borderId="4" fillId="0" fontId="3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left" shrinkToFit="0" wrapText="0"/>
    </xf>
    <xf borderId="0" fillId="4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10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readingOrder="0"/>
    </xf>
    <xf borderId="0" fillId="4" fontId="6" numFmtId="0" xfId="0" applyAlignment="1" applyFill="1" applyFont="1">
      <alignment horizontal="center" readingOrder="0" vertical="bottom"/>
    </xf>
    <xf borderId="5" fillId="0" fontId="3" numFmtId="0" xfId="0" applyAlignment="1" applyBorder="1" applyFont="1">
      <alignment readingOrder="0"/>
    </xf>
    <xf borderId="0" fillId="4" fontId="8" numFmtId="0" xfId="0" applyAlignment="1" applyFill="1" applyFont="1">
      <alignment vertical="bottom"/>
    </xf>
    <xf borderId="14" fillId="0" fontId="10" numFmtId="0" xfId="0" applyBorder="1" applyFont="1"/>
    <xf borderId="2" fillId="0" fontId="8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horizontal="center" shrinkToFit="0" vertical="center" wrapText="0"/>
    </xf>
    <xf borderId="0" fillId="4" fontId="11" numFmtId="0" xfId="0" applyAlignment="1" applyFill="1" applyFont="1">
      <alignment readingOrder="0"/>
    </xf>
    <xf borderId="0" fillId="4" fontId="11" numFmtId="0" xfId="0" applyAlignment="1" applyFill="1" applyFont="1">
      <alignment readingOrder="0"/>
    </xf>
    <xf borderId="0" fillId="4" fontId="12" numFmtId="0" xfId="0" applyAlignment="1" applyFill="1" applyFont="1">
      <alignment horizontal="center" readingOrder="0"/>
    </xf>
    <xf borderId="0" fillId="4" fontId="13" numFmtId="0" xfId="0" applyAlignment="1" applyFill="1" applyFont="1">
      <alignment horizontal="center" readingOrder="0" vertical="center"/>
    </xf>
    <xf borderId="0" fillId="0" fontId="12" numFmtId="0" xfId="0" applyAlignment="1" applyFont="1">
      <alignment horizontal="right" readingOrder="0"/>
    </xf>
    <xf borderId="1" fillId="0" fontId="12" numFmtId="0" xfId="0" applyAlignment="1" applyBorder="1" applyFont="1">
      <alignment horizontal="right" readingOrder="0"/>
    </xf>
    <xf borderId="0" fillId="0" fontId="12" numFmtId="0" xfId="0" applyAlignment="1" applyFont="1">
      <alignment horizontal="right" readingOrder="0"/>
    </xf>
    <xf borderId="1" fillId="0" fontId="12" numFmtId="0" xfId="0" applyAlignment="1" applyBorder="1" applyFont="1">
      <alignment horizontal="right" readingOrder="0"/>
    </xf>
    <xf borderId="0" fillId="0" fontId="3" numFmtId="164" xfId="0" applyAlignment="1" applyFont="1" applyNumberFormat="1">
      <alignment horizontal="right" vertical="bottom"/>
    </xf>
    <xf borderId="0" fillId="4" fontId="6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2" fillId="0" fontId="8" numFmtId="165" xfId="0" applyAlignment="1" applyBorder="1" applyFont="1" applyNumberFormat="1">
      <alignment horizontal="center" readingOrder="0" shrinkToFit="0" vertical="center" wrapText="0"/>
    </xf>
    <xf borderId="2" fillId="0" fontId="8" numFmtId="0" xfId="0" applyAlignment="1" applyBorder="1" applyFont="1">
      <alignment horizontal="center" readingOrder="0"/>
    </xf>
    <xf borderId="0" fillId="0" fontId="14" numFmtId="0" xfId="0" applyAlignment="1" applyFont="1">
      <alignment vertical="bottom"/>
    </xf>
    <xf borderId="0" fillId="4" fontId="15" numFmtId="0" xfId="0" applyAlignment="1" applyFill="1" applyFont="1">
      <alignment readingOrder="0"/>
    </xf>
    <xf borderId="2" fillId="0" fontId="15" numFmtId="0" xfId="0" applyAlignment="1" applyBorder="1" applyFont="1">
      <alignment readingOrder="0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horizontal="right" vertical="bottom"/>
    </xf>
    <xf borderId="2" fillId="0" fontId="8" numFmtId="164" xfId="0" applyAlignment="1" applyBorder="1" applyFont="1" applyNumberFormat="1">
      <alignment horizontal="right" readingOrder="0" vertical="bottom"/>
    </xf>
    <xf borderId="0" fillId="0" fontId="16" numFmtId="0" xfId="0" applyAlignment="1" applyFont="1">
      <alignment vertical="bottom"/>
    </xf>
    <xf borderId="0" fillId="0" fontId="16" numFmtId="0" xfId="0" applyFont="1"/>
    <xf borderId="2" fillId="4" fontId="8" numFmtId="165" xfId="0" applyAlignment="1" applyBorder="1" applyFill="1" applyFont="1" applyNumberFormat="1">
      <alignment horizontal="center" readingOrder="0" shrinkToFit="0" vertical="center" wrapText="0"/>
    </xf>
    <xf borderId="0" fillId="4" fontId="17" numFmtId="0" xfId="0" applyAlignment="1" applyFill="1" applyFont="1">
      <alignment readingOrder="0" vertical="center"/>
    </xf>
    <xf borderId="2" fillId="4" fontId="8" numFmtId="0" xfId="0" applyAlignment="1" applyBorder="1" applyFill="1" applyFont="1">
      <alignment horizontal="center" readingOrder="0" shrinkToFit="0" vertical="center" wrapText="0"/>
    </xf>
    <xf borderId="0" fillId="4" fontId="4" numFmtId="0" xfId="0" applyAlignment="1" applyFill="1" applyFont="1">
      <alignment readingOrder="0"/>
    </xf>
    <xf borderId="0" fillId="4" fontId="5" numFmtId="0" xfId="0" applyAlignment="1" applyFill="1" applyFont="1">
      <alignment horizontal="center" readingOrder="0"/>
    </xf>
    <xf borderId="0" fillId="4" fontId="18" numFmtId="0" xfId="0" applyAlignment="1" applyFill="1" applyFont="1">
      <alignment horizontal="center" readingOrder="0" vertical="center"/>
    </xf>
    <xf borderId="18" fillId="4" fontId="11" numFmtId="0" xfId="0" applyAlignment="1" applyBorder="1" applyFill="1" applyFont="1">
      <alignment readingOrder="0"/>
    </xf>
    <xf borderId="0" fillId="4" fontId="5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4" fontId="12" numFmtId="0" xfId="0" applyAlignment="1" applyFill="1" applyFont="1">
      <alignment readingOrder="0"/>
    </xf>
    <xf borderId="1" fillId="4" fontId="12" numFmtId="0" xfId="0" applyAlignment="1" applyBorder="1" applyFill="1" applyFont="1">
      <alignment readingOrder="0"/>
    </xf>
    <xf borderId="0" fillId="4" fontId="12" numFmtId="0" xfId="0" applyAlignment="1" applyFill="1" applyFont="1">
      <alignment readingOrder="0"/>
    </xf>
    <xf borderId="1" fillId="4" fontId="12" numFmtId="0" xfId="0" applyAlignment="1" applyBorder="1" applyFill="1" applyFont="1">
      <alignment readingOrder="0"/>
    </xf>
    <xf borderId="0" fillId="0" fontId="8" numFmtId="0" xfId="0" applyAlignment="1" applyFont="1">
      <alignment readingOrder="0" vertical="bottom"/>
    </xf>
    <xf borderId="0" fillId="0" fontId="8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/>
    </xf>
    <xf borderId="0" fillId="0" fontId="19" numFmtId="0" xfId="0" applyFont="1"/>
    <xf borderId="0" fillId="0" fontId="14" numFmtId="0" xfId="0" applyFont="1"/>
    <xf borderId="0" fillId="0" fontId="14" numFmtId="0" xfId="0" applyAlignment="1" applyFont="1">
      <alignment vertical="bottom"/>
    </xf>
    <xf borderId="4" fillId="5" fontId="19" numFmtId="0" xfId="0" applyAlignment="1" applyBorder="1" applyFill="1" applyFont="1">
      <alignment horizontal="center"/>
    </xf>
    <xf borderId="4" fillId="5" fontId="14" numFmtId="0" xfId="0" applyBorder="1" applyFill="1" applyFont="1"/>
    <xf borderId="4" fillId="0" fontId="14" numFmtId="0" xfId="0" applyBorder="1" applyFont="1"/>
    <xf borderId="4" fillId="0" fontId="14" numFmtId="166" xfId="0" applyAlignment="1" applyBorder="1" applyFont="1" applyNumberFormat="1">
      <alignment horizontal="center"/>
    </xf>
    <xf borderId="4" fillId="0" fontId="14" numFmtId="0" xfId="0" applyAlignment="1" applyBorder="1" applyFont="1">
      <alignment horizontal="center"/>
    </xf>
    <xf borderId="4" fillId="4" fontId="14" numFmtId="0" xfId="0" applyBorder="1" applyFill="1" applyFont="1"/>
    <xf borderId="4" fillId="4" fontId="14" numFmtId="9" xfId="0" applyAlignment="1" applyBorder="1" applyFill="1" applyFont="1" applyNumberFormat="1">
      <alignment horizontal="center"/>
    </xf>
    <xf borderId="4" fillId="4" fontId="14" numFmtId="0" xfId="0" applyAlignment="1" applyBorder="1" applyFill="1" applyFont="1">
      <alignment horizontal="center"/>
    </xf>
    <xf borderId="4" fillId="0" fontId="14" numFmtId="0" xfId="0" applyAlignment="1" applyBorder="1" applyFont="1">
      <alignment vertical="center"/>
    </xf>
    <xf borderId="4" fillId="0" fontId="14" numFmtId="166" xfId="0" applyAlignment="1" applyBorder="1" applyFont="1" applyNumberFormat="1">
      <alignment horizontal="center" vertical="center"/>
    </xf>
    <xf borderId="4" fillId="0" fontId="14" numFmtId="0" xfId="0" applyAlignment="1" applyBorder="1" applyFont="1">
      <alignment horizontal="center" vertical="center"/>
    </xf>
    <xf borderId="4" fillId="3" fontId="14" numFmtId="0" xfId="0" applyAlignment="1" applyBorder="1" applyFill="1" applyFont="1">
      <alignment vertical="center"/>
    </xf>
    <xf borderId="0" fillId="3" fontId="11" numFmtId="0" xfId="0" applyAlignment="1" applyFill="1" applyFont="1">
      <alignment horizontal="center" readingOrder="0"/>
    </xf>
    <xf borderId="4" fillId="3" fontId="14" numFmtId="9" xfId="0" applyAlignment="1" applyBorder="1" applyFill="1" applyFont="1" applyNumberFormat="1">
      <alignment horizontal="center" vertical="center"/>
    </xf>
    <xf borderId="4" fillId="0" fontId="14" numFmtId="0" xfId="0" applyAlignment="1" applyBorder="1" applyFont="1">
      <alignment readingOrder="0"/>
    </xf>
    <xf borderId="1" fillId="3" fontId="11" numFmtId="0" xfId="0" applyAlignment="1" applyBorder="1" applyFill="1" applyFont="1">
      <alignment horizontal="center" readingOrder="0"/>
    </xf>
    <xf borderId="2" fillId="0" fontId="11" numFmtId="0" xfId="0" applyAlignment="1" applyBorder="1" applyFont="1">
      <alignment horizontal="center" readingOrder="0" vertical="center"/>
    </xf>
    <xf borderId="19" fillId="4" fontId="11" numFmtId="0" xfId="0" applyAlignment="1" applyBorder="1" applyFill="1" applyFont="1">
      <alignment horizontal="center" readingOrder="0" vertical="center"/>
    </xf>
    <xf borderId="0" fillId="6" fontId="11" numFmtId="0" xfId="0" applyAlignment="1" applyFill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6" fontId="11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9" fillId="0" fontId="11" numFmtId="0" xfId="0" applyAlignment="1" applyBorder="1" applyFont="1">
      <alignment horizontal="center" readingOrder="0" vertical="center"/>
    </xf>
    <xf borderId="20" fillId="0" fontId="10" numFmtId="0" xfId="0" applyBorder="1" applyFont="1"/>
    <xf borderId="21" fillId="0" fontId="10" numFmtId="0" xfId="0" applyBorder="1" applyFont="1"/>
    <xf borderId="0" fillId="4" fontId="20" numFmtId="0" xfId="0" applyAlignment="1" applyFill="1" applyFont="1">
      <alignment horizontal="left" readingOrder="0" vertical="center"/>
    </xf>
    <xf borderId="0" fillId="4" fontId="11" numFmtId="167" xfId="0" applyAlignment="1" applyFill="1" applyFont="1" applyNumberFormat="1">
      <alignment horizontal="center" readingOrder="0" vertical="center"/>
    </xf>
    <xf borderId="0" fillId="4" fontId="21" numFmtId="0" xfId="0" applyAlignment="1" applyFill="1" applyFont="1">
      <alignment horizontal="left" readingOrder="0" vertical="center"/>
    </xf>
    <xf borderId="0" fillId="4" fontId="22" numFmtId="0" xfId="0" applyAlignment="1" applyFill="1" applyFont="1">
      <alignment horizontal="left" readingOrder="0" vertical="center"/>
    </xf>
    <xf borderId="0" fillId="0" fontId="23" numFmtId="0" xfId="0" applyFont="1"/>
    <xf borderId="1" fillId="4" fontId="20" numFmtId="0" xfId="0" applyAlignment="1" applyBorder="1" applyFill="1" applyFont="1">
      <alignment horizontal="left" readingOrder="0" vertical="center"/>
    </xf>
    <xf borderId="1" fillId="4" fontId="11" numFmtId="167" xfId="0" applyAlignment="1" applyBorder="1" applyFill="1" applyFont="1" applyNumberFormat="1">
      <alignment horizontal="center" readingOrder="0" vertical="center"/>
    </xf>
    <xf borderId="0" fillId="4" fontId="20" numFmtId="0" xfId="0" applyAlignment="1" applyFill="1" applyFont="1">
      <alignment horizontal="left" readingOrder="0" vertical="center"/>
    </xf>
    <xf borderId="0" fillId="4" fontId="11" numFmtId="167" xfId="0" applyAlignment="1" applyFill="1" applyFont="1" applyNumberFormat="1">
      <alignment horizontal="left" readingOrder="0" vertical="center"/>
    </xf>
    <xf borderId="0" fillId="4" fontId="11" numFmtId="167" xfId="0" applyAlignment="1" applyFill="1" applyFont="1" applyNumberFormat="1">
      <alignment horizontal="center" readingOrder="0" vertical="center"/>
    </xf>
    <xf borderId="1" fillId="4" fontId="21" numFmtId="0" xfId="0" applyAlignment="1" applyBorder="1" applyFill="1" applyFont="1">
      <alignment horizontal="left" readingOrder="0" vertical="center"/>
    </xf>
    <xf borderId="1" fillId="4" fontId="11" numFmtId="167" xfId="0" applyAlignment="1" applyBorder="1" applyFill="1" applyFont="1" applyNumberFormat="1">
      <alignment horizontal="center" readingOrder="0" vertical="center"/>
    </xf>
    <xf borderId="0" fillId="4" fontId="11" numFmtId="0" xfId="0" applyAlignment="1" applyFill="1" applyFont="1">
      <alignment horizontal="left" readingOrder="0" vertical="center"/>
    </xf>
    <xf borderId="0" fillId="4" fontId="11" numFmtId="0" xfId="0" applyAlignment="1" applyFill="1" applyFont="1">
      <alignment readingOrder="0" vertical="center"/>
    </xf>
    <xf borderId="0" fillId="0" fontId="5" numFmtId="0" xfId="0" applyFont="1"/>
    <xf borderId="22" fillId="0" fontId="11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horizontal="center" readingOrder="0" vertical="center"/>
    </xf>
    <xf borderId="24" fillId="0" fontId="10" numFmtId="0" xfId="0" applyBorder="1" applyFont="1"/>
    <xf borderId="25" fillId="0" fontId="10" numFmtId="0" xfId="0" applyBorder="1" applyFont="1"/>
    <xf borderId="23" fillId="4" fontId="11" numFmtId="0" xfId="0" applyAlignment="1" applyBorder="1" applyFill="1" applyFont="1">
      <alignment horizontal="center" readingOrder="0" vertical="center"/>
    </xf>
    <xf borderId="2" fillId="0" fontId="8" numFmtId="0" xfId="0" applyAlignment="1" applyBorder="1" applyFont="1">
      <alignment vertical="bottom"/>
    </xf>
    <xf borderId="2" fillId="0" fontId="24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0" fontId="24" numFmtId="0" xfId="0" applyAlignment="1" applyBorder="1" applyFont="1">
      <alignment shrinkToFit="0" vertical="center" wrapText="0"/>
    </xf>
    <xf borderId="19" fillId="4" fontId="8" numFmtId="0" xfId="0" applyAlignment="1" applyBorder="1" applyFill="1" applyFon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0" fillId="4" fontId="25" numFmtId="0" xfId="0" applyAlignment="1" applyFill="1" applyFont="1">
      <alignment horizontal="left" readingOrder="0" vertical="center"/>
    </xf>
    <xf borderId="0" fillId="4" fontId="15" numFmtId="167" xfId="0" applyAlignment="1" applyFill="1" applyFont="1" applyNumberFormat="1">
      <alignment horizontal="center" readingOrder="0" vertical="center"/>
    </xf>
    <xf borderId="0" fillId="4" fontId="26" numFmtId="0" xfId="0" applyAlignment="1" applyFill="1" applyFont="1">
      <alignment horizontal="left" readingOrder="0" vertical="center"/>
    </xf>
    <xf borderId="0" fillId="4" fontId="27" numFmtId="0" xfId="0" applyAlignment="1" applyFill="1" applyFont="1">
      <alignment horizontal="left" readingOrder="0" vertical="center"/>
    </xf>
    <xf borderId="1" fillId="4" fontId="25" numFmtId="0" xfId="0" applyAlignment="1" applyBorder="1" applyFill="1" applyFont="1">
      <alignment horizontal="left" readingOrder="0" vertical="center"/>
    </xf>
    <xf borderId="1" fillId="4" fontId="15" numFmtId="167" xfId="0" applyAlignment="1" applyBorder="1" applyFill="1" applyFont="1" applyNumberFormat="1">
      <alignment horizontal="center" readingOrder="0" vertical="center"/>
    </xf>
    <xf borderId="0" fillId="4" fontId="25" numFmtId="0" xfId="0" applyAlignment="1" applyFill="1" applyFont="1">
      <alignment horizontal="left" readingOrder="0" vertical="center"/>
    </xf>
    <xf borderId="0" fillId="4" fontId="15" numFmtId="167" xfId="0" applyAlignment="1" applyFill="1" applyFont="1" applyNumberFormat="1">
      <alignment horizontal="left" readingOrder="0" vertical="center"/>
    </xf>
    <xf borderId="0" fillId="4" fontId="15" numFmtId="167" xfId="0" applyAlignment="1" applyFill="1" applyFont="1" applyNumberFormat="1">
      <alignment horizontal="center" readingOrder="0" vertical="center"/>
    </xf>
    <xf borderId="1" fillId="4" fontId="26" numFmtId="0" xfId="0" applyAlignment="1" applyBorder="1" applyFill="1" applyFont="1">
      <alignment horizontal="left" readingOrder="0" vertical="center"/>
    </xf>
    <xf borderId="1" fillId="4" fontId="15" numFmtId="167" xfId="0" applyAlignment="1" applyBorder="1" applyFill="1" applyFont="1" applyNumberFormat="1">
      <alignment horizontal="center" readingOrder="0" vertical="center"/>
    </xf>
    <xf borderId="0" fillId="4" fontId="15" numFmtId="0" xfId="0" applyAlignment="1" applyFill="1" applyFont="1">
      <alignment horizontal="left" readingOrder="0" vertical="center"/>
    </xf>
    <xf borderId="0" fillId="4" fontId="15" numFmtId="0" xfId="0" applyAlignment="1" applyFill="1" applyFont="1">
      <alignment readingOrder="0" vertical="center"/>
    </xf>
    <xf borderId="0" fillId="0" fontId="8" numFmtId="0" xfId="0" applyFont="1"/>
    <xf borderId="2" fillId="7" fontId="8" numFmtId="0" xfId="0" applyAlignment="1" applyBorder="1" applyFill="1" applyFont="1">
      <alignment horizontal="center" readingOrder="0" vertical="center"/>
    </xf>
    <xf borderId="2" fillId="0" fontId="8" numFmtId="0" xfId="0" applyAlignment="1" applyBorder="1" applyFont="1">
      <alignment horizontal="right" readingOrder="0" shrinkToFit="0" vertical="center" wrapText="0"/>
    </xf>
    <xf borderId="0" fillId="3" fontId="11" numFmtId="167" xfId="0" applyAlignment="1" applyFill="1" applyFont="1" applyNumberFormat="1">
      <alignment horizontal="center" readingOrder="0" vertical="center"/>
    </xf>
    <xf borderId="26" fillId="4" fontId="15" numFmtId="167" xfId="0" applyAlignment="1" applyBorder="1" applyFill="1" applyFont="1" applyNumberFormat="1">
      <alignment horizontal="center" readingOrder="0" vertical="center"/>
    </xf>
    <xf borderId="1" fillId="4" fontId="28" numFmtId="167" xfId="0" applyAlignment="1" applyBorder="1" applyFill="1" applyFont="1" applyNumberFormat="1">
      <alignment horizontal="center" readingOrder="0" vertical="center"/>
    </xf>
    <xf borderId="0" fillId="4" fontId="28" numFmtId="167" xfId="0" applyAlignment="1" applyFill="1" applyFont="1" applyNumberFormat="1">
      <alignment horizontal="center" readingOrder="0" vertical="center"/>
    </xf>
    <xf borderId="27" fillId="0" fontId="10" numFmtId="0" xfId="0" applyBorder="1" applyFont="1"/>
    <xf borderId="28" fillId="0" fontId="10" numFmtId="0" xfId="0" applyBorder="1" applyFont="1"/>
    <xf borderId="29" fillId="0" fontId="10" numFmtId="0" xfId="0" applyBorder="1" applyFont="1"/>
    <xf borderId="30" fillId="0" fontId="10" numFmtId="0" xfId="0" applyBorder="1" applyFont="1"/>
    <xf borderId="0" fillId="4" fontId="11" numFmtId="168" xfId="0" applyAlignment="1" applyFill="1" applyFont="1" applyNumberFormat="1">
      <alignment horizontal="center" readingOrder="0" vertical="center"/>
    </xf>
    <xf borderId="1" fillId="4" fontId="11" numFmtId="168" xfId="0" applyAlignment="1" applyBorder="1" applyFill="1" applyFont="1" applyNumberFormat="1">
      <alignment horizontal="center" readingOrder="0" vertical="center"/>
    </xf>
    <xf borderId="0" fillId="4" fontId="11" numFmtId="168" xfId="0" applyAlignment="1" applyFill="1" applyFont="1" applyNumberFormat="1">
      <alignment horizontal="center" readingOrder="0" vertical="center"/>
    </xf>
    <xf borderId="1" fillId="4" fontId="11" numFmtId="168" xfId="0" applyAlignment="1" applyBorder="1" applyFill="1" applyFont="1" applyNumberFormat="1">
      <alignment horizontal="center" readingOrder="0" vertical="center"/>
    </xf>
    <xf borderId="0" fillId="0" fontId="11" numFmtId="168" xfId="0" applyAlignment="1" applyFont="1" applyNumberFormat="1">
      <alignment horizontal="center" readingOrder="0" vertical="center"/>
    </xf>
    <xf borderId="0" fillId="3" fontId="11" numFmtId="168" xfId="0" applyAlignment="1" applyFill="1" applyFont="1" applyNumberFormat="1">
      <alignment horizontal="center" readingOrder="0" vertical="center"/>
    </xf>
    <xf borderId="0" fillId="8" fontId="11" numFmtId="168" xfId="0" applyAlignment="1" applyFill="1" applyFont="1" applyNumberForma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19" fillId="4" fontId="12" numFmtId="0" xfId="0" applyAlignment="1" applyBorder="1" applyFill="1" applyFont="1">
      <alignment horizontal="center" readingOrder="0" vertical="center"/>
    </xf>
    <xf borderId="0" fillId="8" fontId="4" numFmtId="0" xfId="0" applyAlignment="1" applyFill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readingOrder="0"/>
    </xf>
    <xf borderId="1" fillId="0" fontId="13" numFmtId="0" xfId="0" applyAlignment="1" applyBorder="1" applyFont="1">
      <alignment horizontal="center" readingOrder="0" vertical="center"/>
    </xf>
    <xf borderId="26" fillId="0" fontId="13" numFmtId="0" xfId="0" applyAlignment="1" applyBorder="1" applyFont="1">
      <alignment horizontal="center" vertical="center"/>
    </xf>
    <xf borderId="0" fillId="4" fontId="12" numFmtId="0" xfId="0" applyAlignment="1" applyFill="1" applyFont="1">
      <alignment horizontal="center" readingOrder="0" vertical="center"/>
    </xf>
    <xf borderId="2" fillId="9" fontId="29" numFmtId="0" xfId="0" applyAlignment="1" applyBorder="1" applyFill="1" applyFont="1">
      <alignment horizontal="center" readingOrder="0" vertical="center"/>
    </xf>
    <xf borderId="2" fillId="9" fontId="29" numFmtId="0" xfId="0" applyAlignment="1" applyBorder="1" applyFill="1" applyFont="1">
      <alignment horizontal="center" readingOrder="0" shrinkToFit="0" vertical="center" wrapText="0"/>
    </xf>
    <xf borderId="28" fillId="8" fontId="4" numFmtId="0" xfId="0" applyAlignment="1" applyBorder="1" applyFill="1" applyFont="1">
      <alignment horizontal="center" readingOrder="0" vertical="center"/>
    </xf>
    <xf borderId="0" fillId="0" fontId="23" numFmtId="0" xfId="0" applyAlignment="1" applyFont="1">
      <alignment vertical="center"/>
    </xf>
    <xf borderId="0" fillId="4" fontId="15" numFmtId="168" xfId="0" applyAlignment="1" applyFill="1" applyFont="1" applyNumberFormat="1">
      <alignment horizontal="center" readingOrder="0" vertical="center"/>
    </xf>
    <xf borderId="0" fillId="0" fontId="23" numFmtId="0" xfId="0" applyAlignment="1" applyFont="1">
      <alignment vertical="center"/>
    </xf>
    <xf borderId="1" fillId="0" fontId="23" numFmtId="0" xfId="0" applyAlignment="1" applyBorder="1" applyFont="1">
      <alignment vertical="center"/>
    </xf>
    <xf borderId="0" fillId="0" fontId="23" numFmtId="0" xfId="0" applyAlignment="1" applyFont="1">
      <alignment readingOrder="0" vertical="center"/>
    </xf>
    <xf borderId="1" fillId="4" fontId="15" numFmtId="168" xfId="0" applyAlignment="1" applyBorder="1" applyFill="1" applyFont="1" applyNumberFormat="1">
      <alignment horizontal="center" readingOrder="0" vertical="center"/>
    </xf>
    <xf borderId="26" fillId="0" fontId="23" numFmtId="0" xfId="0" applyAlignment="1" applyBorder="1" applyFont="1">
      <alignment vertical="center"/>
    </xf>
    <xf borderId="0" fillId="4" fontId="15" numFmtId="168" xfId="0" applyAlignment="1" applyFill="1" applyFont="1" applyNumberFormat="1">
      <alignment horizontal="center" readingOrder="0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vertical="center"/>
    </xf>
    <xf borderId="1" fillId="0" fontId="12" numFmtId="0" xfId="0" applyAlignment="1" applyBorder="1" applyFont="1">
      <alignment vertical="center"/>
    </xf>
    <xf borderId="0" fillId="0" fontId="12" numFmtId="0" xfId="0" applyAlignment="1" applyFont="1">
      <alignment horizontal="center" readingOrder="0" vertical="center"/>
    </xf>
    <xf borderId="31" fillId="4" fontId="12" numFmtId="0" xfId="0" applyAlignment="1" applyBorder="1" applyFill="1" applyFont="1">
      <alignment horizontal="center" readingOrder="0" vertical="center"/>
    </xf>
    <xf borderId="31" fillId="0" fontId="10" numFmtId="0" xfId="0" applyBorder="1" applyFont="1"/>
    <xf borderId="1" fillId="4" fontId="15" numFmtId="168" xfId="0" applyAlignment="1" applyBorder="1" applyFill="1" applyFont="1" applyNumberFormat="1">
      <alignment horizontal="center" readingOrder="0" vertical="center"/>
    </xf>
    <xf borderId="32" fillId="8" fontId="4" numFmtId="0" xfId="0" applyAlignment="1" applyBorder="1" applyFill="1" applyFont="1">
      <alignment horizontal="center" readingOrder="0" vertical="center"/>
    </xf>
    <xf borderId="31" fillId="0" fontId="13" numFmtId="0" xfId="0" applyAlignment="1" applyBorder="1" applyFont="1">
      <alignment horizontal="center" vertical="center"/>
    </xf>
    <xf borderId="31" fillId="0" fontId="13" numFmtId="0" xfId="0" applyAlignment="1" applyBorder="1" applyFont="1">
      <alignment horizontal="center" readingOrder="0" vertical="center"/>
    </xf>
    <xf borderId="31" fillId="0" fontId="13" numFmtId="0" xfId="0" applyAlignment="1" applyBorder="1" applyFont="1">
      <alignment horizontal="center" vertical="center"/>
    </xf>
    <xf borderId="31" fillId="0" fontId="23" numFmtId="0" xfId="0" applyBorder="1" applyFont="1"/>
    <xf borderId="33" fillId="0" fontId="13" numFmtId="0" xfId="0" applyAlignment="1" applyBorder="1" applyFont="1">
      <alignment horizontal="center" vertical="center"/>
    </xf>
    <xf borderId="31" fillId="0" fontId="13" numFmtId="0" xfId="0" applyAlignment="1" applyBorder="1" applyFont="1">
      <alignment horizontal="center" readingOrder="0" vertical="center"/>
    </xf>
    <xf borderId="33" fillId="0" fontId="13" numFmtId="0" xfId="0" applyAlignment="1" applyBorder="1" applyFont="1">
      <alignment horizontal="center" vertical="center"/>
    </xf>
    <xf borderId="31" fillId="0" fontId="13" numFmtId="0" xfId="0" applyAlignment="1" applyBorder="1" applyFont="1">
      <alignment horizontal="center" readingOrder="0"/>
    </xf>
    <xf borderId="31" fillId="0" fontId="13" numFmtId="0" xfId="0" applyAlignment="1" applyBorder="1" applyFont="1">
      <alignment horizontal="center" readingOrder="0" vertical="center"/>
    </xf>
    <xf borderId="34" fillId="0" fontId="13" numFmtId="0" xfId="0" applyAlignment="1" applyBorder="1" applyFont="1">
      <alignment horizontal="center" readingOrder="0" vertical="center"/>
    </xf>
    <xf borderId="0" fillId="0" fontId="15" numFmtId="168" xfId="0" applyAlignment="1" applyFont="1" applyNumberFormat="1">
      <alignment horizontal="center" readingOrder="0" vertical="center"/>
    </xf>
    <xf borderId="33" fillId="0" fontId="13" numFmtId="0" xfId="0" applyAlignment="1" applyBorder="1" applyFont="1">
      <alignment horizontal="center" readingOrder="0" vertical="center"/>
    </xf>
    <xf borderId="0" fillId="3" fontId="15" numFmtId="168" xfId="0" applyAlignment="1" applyFill="1" applyFont="1" applyNumberFormat="1">
      <alignment horizontal="center" readingOrder="0" vertical="center"/>
    </xf>
    <xf borderId="0" fillId="0" fontId="1" numFmtId="0" xfId="0" applyFont="1"/>
    <xf borderId="35" fillId="0" fontId="4" numFmtId="0" xfId="0" applyAlignment="1" applyBorder="1" applyFont="1">
      <alignment horizontal="center" readingOrder="0" vertical="center"/>
    </xf>
    <xf borderId="16" fillId="4" fontId="12" numFmtId="0" xfId="0" applyAlignment="1" applyBorder="1" applyFill="1" applyFont="1">
      <alignment horizontal="center" readingOrder="0" vertical="center"/>
    </xf>
    <xf borderId="36" fillId="8" fontId="4" numFmtId="0" xfId="0" applyAlignment="1" applyBorder="1" applyFill="1" applyFont="1">
      <alignment horizontal="center" readingOrder="0" vertical="center"/>
    </xf>
    <xf borderId="16" fillId="0" fontId="13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 readingOrder="0" vertical="center"/>
    </xf>
    <xf borderId="16" fillId="0" fontId="13" numFmtId="0" xfId="0" applyAlignment="1" applyBorder="1" applyFont="1">
      <alignment horizontal="center" vertical="center"/>
    </xf>
    <xf borderId="16" fillId="0" fontId="23" numFmtId="0" xfId="0" applyBorder="1" applyFont="1"/>
    <xf borderId="15" fillId="0" fontId="13" numFmtId="0" xfId="0" applyAlignment="1" applyBorder="1" applyFont="1">
      <alignment horizontal="center" vertical="center"/>
    </xf>
    <xf borderId="0" fillId="8" fontId="15" numFmtId="168" xfId="0" applyAlignment="1" applyFill="1" applyFont="1" applyNumberFormat="1">
      <alignment horizontal="center" readingOrder="0" vertical="center"/>
    </xf>
    <xf borderId="16" fillId="0" fontId="13" numFmtId="0" xfId="0" applyAlignment="1" applyBorder="1" applyFont="1">
      <alignment horizontal="center" readingOrder="0" vertical="center"/>
    </xf>
    <xf borderId="15" fillId="0" fontId="13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 readingOrder="0"/>
    </xf>
    <xf borderId="16" fillId="0" fontId="13" numFmtId="0" xfId="0" applyAlignment="1" applyBorder="1" applyFont="1">
      <alignment horizontal="center" readingOrder="0" vertical="center"/>
    </xf>
    <xf borderId="17" fillId="0" fontId="13" numFmtId="0" xfId="0" applyAlignment="1" applyBorder="1" applyFont="1">
      <alignment horizontal="center" readingOrder="0" vertical="center"/>
    </xf>
    <xf borderId="27" fillId="0" fontId="4" numFmtId="0" xfId="0" applyAlignment="1" applyBorder="1" applyFont="1">
      <alignment horizontal="center" readingOrder="0" vertical="center"/>
    </xf>
    <xf borderId="28" fillId="4" fontId="12" numFmtId="0" xfId="0" applyAlignment="1" applyBorder="1" applyFill="1" applyFont="1">
      <alignment horizontal="center" readingOrder="0" vertical="center"/>
    </xf>
    <xf borderId="2" fillId="4" fontId="30" numFmtId="0" xfId="0" applyAlignment="1" applyBorder="1" applyFill="1" applyFont="1">
      <alignment horizontal="center" vertical="center"/>
    </xf>
    <xf borderId="2" fillId="10" fontId="31" numFmtId="0" xfId="0" applyAlignment="1" applyBorder="1" applyFill="1" applyFont="1">
      <alignment horizontal="center"/>
    </xf>
    <xf borderId="2" fillId="0" fontId="16" numFmtId="166" xfId="0" applyAlignment="1" applyBorder="1" applyFont="1" applyNumberFormat="1">
      <alignment horizontal="center" readingOrder="0"/>
    </xf>
    <xf borderId="26" fillId="0" fontId="13" numFmtId="0" xfId="0" applyAlignment="1" applyBorder="1" applyFont="1">
      <alignment horizontal="center" readingOrder="0" vertical="center"/>
    </xf>
    <xf borderId="2" fillId="10" fontId="16" numFmtId="0" xfId="0" applyBorder="1" applyFill="1" applyFont="1"/>
    <xf borderId="2" fillId="2" fontId="32" numFmtId="0" xfId="0" applyAlignment="1" applyBorder="1" applyFill="1" applyFont="1">
      <alignment horizontal="center" readingOrder="0" vertical="center"/>
    </xf>
    <xf borderId="19" fillId="8" fontId="4" numFmtId="0" xfId="0" applyAlignment="1" applyBorder="1" applyFill="1" applyFont="1">
      <alignment horizontal="center" readingOrder="0" vertical="center"/>
    </xf>
    <xf borderId="2" fillId="0" fontId="16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readingOrder="0"/>
    </xf>
    <xf borderId="0" fillId="0" fontId="13" numFmtId="0" xfId="0" applyAlignment="1" applyFont="1">
      <alignment horizontal="center"/>
    </xf>
    <xf borderId="0" fillId="0" fontId="18" numFmtId="0" xfId="0" applyFont="1"/>
    <xf borderId="2" fillId="0" fontId="33" numFmtId="0" xfId="0" applyAlignment="1" applyBorder="1" applyFont="1">
      <alignment horizontal="center" readingOrder="0" vertical="center"/>
    </xf>
    <xf borderId="2" fillId="0" fontId="16" numFmtId="166" xfId="0" applyAlignment="1" applyBorder="1" applyFont="1" applyNumberFormat="1">
      <alignment horizontal="center"/>
    </xf>
    <xf borderId="2" fillId="0" fontId="16" numFmtId="0" xfId="0" applyBorder="1" applyFont="1"/>
    <xf borderId="2" fillId="0" fontId="34" numFmtId="0" xfId="0" applyAlignment="1" applyBorder="1" applyFont="1">
      <alignment horizontal="center" readingOrder="0" vertical="center"/>
    </xf>
    <xf borderId="29" fillId="4" fontId="12" numFmtId="0" xfId="0" applyAlignment="1" applyBorder="1" applyFill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0" fillId="0" fontId="14" numFmtId="0" xfId="0" applyFont="1"/>
    <xf borderId="26" fillId="0" fontId="23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26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vertical="center"/>
    </xf>
    <xf borderId="0" fillId="0" fontId="13" numFmtId="0" xfId="0" applyFont="1"/>
    <xf borderId="2" fillId="11" fontId="35" numFmtId="166" xfId="0" applyAlignment="1" applyBorder="1" applyFill="1" applyFont="1" applyNumberFormat="1">
      <alignment horizontal="center"/>
    </xf>
    <xf borderId="2" fillId="10" fontId="36" numFmtId="0" xfId="0" applyAlignment="1" applyBorder="1" applyFill="1" applyFont="1">
      <alignment horizontal="center" readingOrder="0" shrinkToFit="0" textRotation="0" vertical="bottom" wrapText="0"/>
    </xf>
    <xf borderId="36" fillId="4" fontId="12" numFmtId="0" xfId="0" applyAlignment="1" applyBorder="1" applyFill="1" applyFont="1">
      <alignment horizontal="center" readingOrder="0" vertical="center"/>
    </xf>
    <xf borderId="37" fillId="0" fontId="10" numFmtId="0" xfId="0" applyBorder="1" applyFont="1"/>
    <xf borderId="38" fillId="0" fontId="10" numFmtId="0" xfId="0" applyBorder="1" applyFont="1"/>
    <xf borderId="15" fillId="0" fontId="13" numFmtId="0" xfId="0" applyAlignment="1" applyBorder="1" applyFont="1">
      <alignment horizontal="center" readingOrder="0" vertical="center"/>
    </xf>
    <xf borderId="17" fillId="0" fontId="13" numFmtId="0" xfId="0" applyAlignment="1" applyBorder="1" applyFont="1">
      <alignment horizontal="center" vertical="center"/>
    </xf>
    <xf borderId="0" fillId="4" fontId="8" numFmtId="0" xfId="0" applyAlignment="1" applyFill="1" applyFont="1">
      <alignment horizontal="center" readingOrder="0" vertical="center"/>
    </xf>
    <xf borderId="2" fillId="0" fontId="16" numFmtId="0" xfId="0" applyAlignment="1" applyBorder="1" applyFont="1">
      <alignment readingOrder="0"/>
    </xf>
    <xf borderId="2" fillId="0" fontId="16" numFmtId="0" xfId="0" applyBorder="1" applyFont="1"/>
    <xf borderId="22" fillId="0" fontId="16" numFmtId="0" xfId="0" applyAlignment="1" applyBorder="1" applyFont="1">
      <alignment readingOrder="0"/>
    </xf>
    <xf borderId="19" fillId="0" fontId="16" numFmtId="166" xfId="0" applyAlignment="1" applyBorder="1" applyFont="1" applyNumberFormat="1">
      <alignment horizontal="center" readingOrder="0"/>
    </xf>
    <xf borderId="2" fillId="0" fontId="32" numFmtId="0" xfId="0" applyAlignment="1" applyBorder="1" applyFont="1">
      <alignment readingOrder="0"/>
    </xf>
    <xf borderId="21" fillId="2" fontId="32" numFmtId="0" xfId="0" applyAlignment="1" applyBorder="1" applyFill="1" applyFont="1">
      <alignment horizontal="center" readingOrder="0" vertical="center"/>
    </xf>
    <xf borderId="2" fillId="0" fontId="37" numFmtId="0" xfId="0" applyAlignment="1" applyBorder="1" applyFont="1">
      <alignment readingOrder="0"/>
    </xf>
    <xf borderId="2" fillId="0" fontId="38" numFmtId="0" xfId="0" applyAlignment="1" applyBorder="1" applyFont="1">
      <alignment readingOrder="0"/>
    </xf>
    <xf borderId="2" fillId="0" fontId="39" numFmtId="0" xfId="0" applyAlignment="1" applyBorder="1" applyFont="1">
      <alignment readingOrder="0"/>
    </xf>
    <xf borderId="2" fillId="0" fontId="40" numFmtId="0" xfId="0" applyAlignment="1" applyBorder="1" applyFont="1">
      <alignment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0" fillId="4" fontId="46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2" fillId="0" fontId="8" numFmtId="0" xfId="0" applyAlignment="1" applyBorder="1" applyFont="1">
      <alignment vertical="center"/>
    </xf>
    <xf borderId="2" fillId="0" fontId="8" numFmtId="0" xfId="0" applyAlignment="1" applyBorder="1" applyFont="1">
      <alignment shrinkToFit="0" vertical="center" wrapText="0"/>
    </xf>
    <xf borderId="2" fillId="12" fontId="8" numFmtId="0" xfId="0" applyAlignment="1" applyBorder="1" applyFill="1" applyFont="1">
      <alignment horizontal="center" vertical="center"/>
    </xf>
    <xf borderId="2" fillId="12" fontId="8" numFmtId="0" xfId="0" applyAlignment="1" applyBorder="1" applyFill="1" applyFont="1">
      <alignment horizontal="center" vertical="bottom"/>
    </xf>
    <xf borderId="2" fillId="3" fontId="8" numFmtId="0" xfId="0" applyAlignment="1" applyBorder="1" applyFill="1" applyFont="1">
      <alignment horizontal="center" readingOrder="0" vertical="center"/>
    </xf>
    <xf borderId="2" fillId="0" fontId="16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vertical="center"/>
    </xf>
    <xf borderId="2" fillId="0" fontId="8" numFmtId="164" xfId="0" applyAlignment="1" applyBorder="1" applyFont="1" applyNumberFormat="1">
      <alignment horizontal="center" readingOrder="0" vertical="center"/>
    </xf>
    <xf borderId="2" fillId="13" fontId="8" numFmtId="164" xfId="0" applyAlignment="1" applyBorder="1" applyFill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shrinkToFit="0" vertical="center" wrapText="0"/>
    </xf>
    <xf borderId="0" fillId="4" fontId="8" numFmtId="0" xfId="0" applyAlignment="1" applyFill="1" applyFont="1">
      <alignment horizontal="center" vertical="center"/>
    </xf>
  </cellXfs>
  <cellStyles count="1">
    <cellStyle xfId="0" name="Normal" builtinId="0"/>
  </cellStyles>
  <dxfs count="29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i/>
        <color rgb="FF999999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strike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color rgb="FF4285F4"/>
      </font>
      <fill>
        <patternFill patternType="solid">
          <fgColor rgb="FFEFEFEF"/>
          <bgColor rgb="FFEFEFEF"/>
        </patternFill>
      </fill>
      <border/>
    </dxf>
    <dxf>
      <font>
        <color rgb="FFEA4335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/>
    </dxf>
    <dxf>
      <font>
        <color rgb="FF4285F4"/>
      </font>
      <fill>
        <patternFill patternType="solid">
          <fgColor rgb="FFF3F3F3"/>
          <bgColor rgb="FFF3F3F3"/>
        </patternFill>
      </fill>
      <border/>
    </dxf>
    <dxf>
      <font>
        <color rgb="FFEA4335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>
        <color rgb="FF000000"/>
      </font>
      <fill>
        <patternFill patternType="solid">
          <fgColor rgb="FFD9D9D9"/>
          <bgColor rgb="FFD9D9D9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D9D2E9"/>
          <bgColor rgb="FFD9D2E9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>
        <color rgb="FF999999"/>
      </font>
      <fill>
        <patternFill patternType="solid">
          <fgColor rgb="FFCCCCCC"/>
          <bgColor rgb="FFCCCCCC"/>
        </patternFill>
      </fill>
      <border/>
    </dxf>
  </dxfs>
  <tableStyles count="1">
    <tableStyle count="2" pivot="0" name="▧ 26년 퍼블대장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32:D291" displayName="Table_1" name="Table_1" id="1">
  <tableColumns count="2">
    <tableColumn name="Column1" id="1"/>
    <tableColumn name="Column2" id="2"/>
  </tableColumns>
  <tableStyleInfo name="▧ 26년 퍼블대장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gdigitalcommerce.atlassian.net/browse/DCBGIT-40799" TargetMode="External"/><Relationship Id="rId42" Type="http://schemas.openxmlformats.org/officeDocument/2006/relationships/hyperlink" Target="https://lgdigitalcommerce.atlassian.net/browse/DCBGIT-40892" TargetMode="External"/><Relationship Id="rId41" Type="http://schemas.openxmlformats.org/officeDocument/2006/relationships/hyperlink" Target="https://lgdigitalcommerce.atlassian.net/browse/DCBGIT-40807" TargetMode="External"/><Relationship Id="rId44" Type="http://schemas.openxmlformats.org/officeDocument/2006/relationships/hyperlink" Target="https://lgdigitalcommerce.atlassian.net/browse/DCBGIT-40950" TargetMode="External"/><Relationship Id="rId43" Type="http://schemas.openxmlformats.org/officeDocument/2006/relationships/hyperlink" Target="https://lgdigitalcommerce.atlassian.net/browse/DCBGIT-40910" TargetMode="External"/><Relationship Id="rId46" Type="http://schemas.openxmlformats.org/officeDocument/2006/relationships/hyperlink" Target="https://lgdigitalcommerce.atlassian.net/browse/DCBGIT-40948" TargetMode="External"/><Relationship Id="rId45" Type="http://schemas.openxmlformats.org/officeDocument/2006/relationships/hyperlink" Target="https://lgdigitalcommerce.atlassian.net/browse/DCBGIT-40949" TargetMode="External"/><Relationship Id="rId106" Type="http://schemas.openxmlformats.org/officeDocument/2006/relationships/vmlDrawing" Target="../drawings/vmlDrawing1.vml"/><Relationship Id="rId105" Type="http://schemas.openxmlformats.org/officeDocument/2006/relationships/drawing" Target="../drawings/drawing3.xml"/><Relationship Id="rId104" Type="http://schemas.openxmlformats.org/officeDocument/2006/relationships/hyperlink" Target="https://lgdigitalcommerce.atlassian.net/browse/DCBGIT-44590" TargetMode="External"/><Relationship Id="rId108" Type="http://schemas.openxmlformats.org/officeDocument/2006/relationships/table" Target="../tables/table1.xml"/><Relationship Id="rId48" Type="http://schemas.openxmlformats.org/officeDocument/2006/relationships/hyperlink" Target="https://lgdigitalcommerce.atlassian.net/browse/DCBGIT-40940" TargetMode="External"/><Relationship Id="rId47" Type="http://schemas.openxmlformats.org/officeDocument/2006/relationships/hyperlink" Target="https://lgdigitalcommerce.atlassian.net/browse/DCBGIT-40941" TargetMode="External"/><Relationship Id="rId49" Type="http://schemas.openxmlformats.org/officeDocument/2006/relationships/hyperlink" Target="https://lgdigitalcommerce.atlassian.net/browse/DCBGIT-41182" TargetMode="External"/><Relationship Id="rId103" Type="http://schemas.openxmlformats.org/officeDocument/2006/relationships/hyperlink" Target="https://lgdigitalcommerce.atlassian.net/browse/DCBGIT-44503" TargetMode="External"/><Relationship Id="rId102" Type="http://schemas.openxmlformats.org/officeDocument/2006/relationships/hyperlink" Target="https://lgdigitalcommerce.atlassian.net/browse/DCBGIT-44442" TargetMode="External"/><Relationship Id="rId101" Type="http://schemas.openxmlformats.org/officeDocument/2006/relationships/hyperlink" Target="https://lgdigitalcommerce.atlassian.net/browse/DCBGIT-44414" TargetMode="External"/><Relationship Id="rId100" Type="http://schemas.openxmlformats.org/officeDocument/2006/relationships/hyperlink" Target="https://lgdigitalcommerce.atlassian.net/browse/DCBGIT-44334" TargetMode="External"/><Relationship Id="rId31" Type="http://schemas.openxmlformats.org/officeDocument/2006/relationships/hyperlink" Target="https://lgdigitalcommerce.atlassian.net/browse/DCBGIT-40212" TargetMode="External"/><Relationship Id="rId30" Type="http://schemas.openxmlformats.org/officeDocument/2006/relationships/hyperlink" Target="https://lgdigitalcommerce.atlassian.net/browse/DCBGIT-40236" TargetMode="External"/><Relationship Id="rId33" Type="http://schemas.openxmlformats.org/officeDocument/2006/relationships/hyperlink" Target="https://lgdigitalcommerce.atlassian.net/browse/DCBGIT-40243" TargetMode="External"/><Relationship Id="rId32" Type="http://schemas.openxmlformats.org/officeDocument/2006/relationships/hyperlink" Target="https://lgdigitalcommerce.atlassian.net/browse/DCBGIT-40383" TargetMode="External"/><Relationship Id="rId35" Type="http://schemas.openxmlformats.org/officeDocument/2006/relationships/hyperlink" Target="https://lgdigitalcommerce.atlassian.net/browse/DCBGIT-40423" TargetMode="External"/><Relationship Id="rId34" Type="http://schemas.openxmlformats.org/officeDocument/2006/relationships/hyperlink" Target="https://lgdigitalcommerce.atlassian.net/browse/DCBGIT-40407" TargetMode="External"/><Relationship Id="rId37" Type="http://schemas.openxmlformats.org/officeDocument/2006/relationships/hyperlink" Target="https://lgdigitalcommerce.atlassian.net/browse/DCBGIT-40665" TargetMode="External"/><Relationship Id="rId36" Type="http://schemas.openxmlformats.org/officeDocument/2006/relationships/hyperlink" Target="https://lgdigitalcommerce.atlassian.net/browse/DCBGIT-40626" TargetMode="External"/><Relationship Id="rId39" Type="http://schemas.openxmlformats.org/officeDocument/2006/relationships/hyperlink" Target="https://lgdigitalcommerce.atlassian.net/browse/DCBGIT-40801" TargetMode="External"/><Relationship Id="rId38" Type="http://schemas.openxmlformats.org/officeDocument/2006/relationships/hyperlink" Target="https://lgdigitalcommerce.atlassian.net/browse/DCBGIT-40760" TargetMode="External"/><Relationship Id="rId20" Type="http://schemas.openxmlformats.org/officeDocument/2006/relationships/hyperlink" Target="https://lgdigitalcommerce.atlassian.net/browse/DCBGIT-39747" TargetMode="External"/><Relationship Id="rId22" Type="http://schemas.openxmlformats.org/officeDocument/2006/relationships/hyperlink" Target="https://lgdigitalcommerce.atlassian.net/browse/DCBGIT-39894" TargetMode="External"/><Relationship Id="rId21" Type="http://schemas.openxmlformats.org/officeDocument/2006/relationships/hyperlink" Target="https://lgdigitalcommerce.atlassian.net/browse/DCBGIT-39720" TargetMode="External"/><Relationship Id="rId24" Type="http://schemas.openxmlformats.org/officeDocument/2006/relationships/hyperlink" Target="https://lgdigitalcommerce.atlassian.net/browse/DCBGIT-39936" TargetMode="External"/><Relationship Id="rId23" Type="http://schemas.openxmlformats.org/officeDocument/2006/relationships/hyperlink" Target="https://lgdigitalcommerce.atlassian.net/browse/DCBGIT-39899" TargetMode="External"/><Relationship Id="rId26" Type="http://schemas.openxmlformats.org/officeDocument/2006/relationships/hyperlink" Target="https://lgdigitalcommerce.atlassian.net/browse/DCBGIT-40037" TargetMode="External"/><Relationship Id="rId25" Type="http://schemas.openxmlformats.org/officeDocument/2006/relationships/hyperlink" Target="https://lgdigitalcommerce.atlassian.net/browse/DCBGIT-39915" TargetMode="External"/><Relationship Id="rId28" Type="http://schemas.openxmlformats.org/officeDocument/2006/relationships/hyperlink" Target="https://lgdigitalcommerce.atlassian.net/browse/DCBGIT-40023" TargetMode="External"/><Relationship Id="rId27" Type="http://schemas.openxmlformats.org/officeDocument/2006/relationships/hyperlink" Target="https://lgdigitalcommerce.atlassian.net/browse/DCBGIT-40040" TargetMode="External"/><Relationship Id="rId29" Type="http://schemas.openxmlformats.org/officeDocument/2006/relationships/hyperlink" Target="https://lgdigitalcommerce.atlassian.net/browse/DCBGIT-40168" TargetMode="External"/><Relationship Id="rId95" Type="http://schemas.openxmlformats.org/officeDocument/2006/relationships/hyperlink" Target="https://lgdigitalcommerce.atlassian.net/browse/DCBGIT-44141" TargetMode="External"/><Relationship Id="rId94" Type="http://schemas.openxmlformats.org/officeDocument/2006/relationships/hyperlink" Target="https://lgdigitalcommerce.atlassian.net/browse/DCBGIT-43784" TargetMode="External"/><Relationship Id="rId97" Type="http://schemas.openxmlformats.org/officeDocument/2006/relationships/hyperlink" Target="https://lgdigitalcommerce.atlassian.net/browse/DCBGIT-44192" TargetMode="External"/><Relationship Id="rId96" Type="http://schemas.openxmlformats.org/officeDocument/2006/relationships/hyperlink" Target="https://lgdigitalcommerce.atlassian.net/browse/DCBGIT-44168" TargetMode="External"/><Relationship Id="rId11" Type="http://schemas.openxmlformats.org/officeDocument/2006/relationships/hyperlink" Target="http://210.108.138.187/redmine/issues/84163" TargetMode="External"/><Relationship Id="rId99" Type="http://schemas.openxmlformats.org/officeDocument/2006/relationships/hyperlink" Target="https://lgdigitalcommerce.atlassian.net/browse/DCBGIT-44279" TargetMode="External"/><Relationship Id="rId10" Type="http://schemas.openxmlformats.org/officeDocument/2006/relationships/hyperlink" Target="http://kms-redmine.medialog.co.kr/redmine/issues/83226" TargetMode="External"/><Relationship Id="rId98" Type="http://schemas.openxmlformats.org/officeDocument/2006/relationships/hyperlink" Target="https://lgdigitalcommerce.atlassian.net/browse/DCBGIT-44276" TargetMode="External"/><Relationship Id="rId13" Type="http://schemas.openxmlformats.org/officeDocument/2006/relationships/hyperlink" Target="https://lgdigitalcommerce.atlassian.net/browse/DCBGIT-39578" TargetMode="External"/><Relationship Id="rId12" Type="http://schemas.openxmlformats.org/officeDocument/2006/relationships/hyperlink" Target="http://kms-redmine.medialog.co.kr/redmine/issues/85263" TargetMode="External"/><Relationship Id="rId91" Type="http://schemas.openxmlformats.org/officeDocument/2006/relationships/hyperlink" Target="https://lgdigitalcommerce.atlassian.net/browse/DCBGIT-43482" TargetMode="External"/><Relationship Id="rId90" Type="http://schemas.openxmlformats.org/officeDocument/2006/relationships/hyperlink" Target="https://lgdigitalcommerce.atlassian.net/browse/DCBGIT-43369" TargetMode="External"/><Relationship Id="rId93" Type="http://schemas.openxmlformats.org/officeDocument/2006/relationships/hyperlink" Target="https://lgdigitalcommerce.atlassian.net/browse/DCBGIT-43610" TargetMode="External"/><Relationship Id="rId92" Type="http://schemas.openxmlformats.org/officeDocument/2006/relationships/hyperlink" Target="https://lgdigitalcommerce.atlassian.net/browse/DCBGIT-43500" TargetMode="External"/><Relationship Id="rId15" Type="http://schemas.openxmlformats.org/officeDocument/2006/relationships/hyperlink" Target="https://lgdigitalcommerce.atlassian.net/browse/DCBGIT-39581" TargetMode="External"/><Relationship Id="rId14" Type="http://schemas.openxmlformats.org/officeDocument/2006/relationships/hyperlink" Target="https://lgdigitalcommerce.atlassian.net/browse/DCBGIT-39580" TargetMode="External"/><Relationship Id="rId17" Type="http://schemas.openxmlformats.org/officeDocument/2006/relationships/hyperlink" Target="https://lgdigitalcommerce.atlassian.net/browse/DCBGIT-39609" TargetMode="External"/><Relationship Id="rId16" Type="http://schemas.openxmlformats.org/officeDocument/2006/relationships/hyperlink" Target="https://lgdigitalcommerce.atlassian.net/browse/DCBGIT-39611" TargetMode="External"/><Relationship Id="rId19" Type="http://schemas.openxmlformats.org/officeDocument/2006/relationships/hyperlink" Target="https://lgdigitalcommerce.atlassian.net/browse/DCBGIT-39803" TargetMode="External"/><Relationship Id="rId18" Type="http://schemas.openxmlformats.org/officeDocument/2006/relationships/hyperlink" Target="https://lgdigitalcommerce.atlassian.net/browse/DCBGIT-39649" TargetMode="External"/><Relationship Id="rId84" Type="http://schemas.openxmlformats.org/officeDocument/2006/relationships/hyperlink" Target="https://lgdigitalcommerce.atlassian.net/browse/DCBGIT-43202" TargetMode="External"/><Relationship Id="rId83" Type="http://schemas.openxmlformats.org/officeDocument/2006/relationships/hyperlink" Target="https://lgdigitalcommerce.atlassian.net/browse/DCBGIT-43083" TargetMode="External"/><Relationship Id="rId86" Type="http://schemas.openxmlformats.org/officeDocument/2006/relationships/hyperlink" Target="https://lgdigitalcommerce.atlassian.net/browse/DCBGIT-43214" TargetMode="External"/><Relationship Id="rId85" Type="http://schemas.openxmlformats.org/officeDocument/2006/relationships/hyperlink" Target="https://lgdigitalcommerce.atlassian.net/browse/DCBGIT-43207" TargetMode="External"/><Relationship Id="rId88" Type="http://schemas.openxmlformats.org/officeDocument/2006/relationships/hyperlink" Target="https://lgdigitalcommerce.atlassian.net/browse/DCBGIT-43338" TargetMode="External"/><Relationship Id="rId87" Type="http://schemas.openxmlformats.org/officeDocument/2006/relationships/hyperlink" Target="https://lgdigitalcommerce.atlassian.net/browse/DCBGIT-43337" TargetMode="External"/><Relationship Id="rId89" Type="http://schemas.openxmlformats.org/officeDocument/2006/relationships/hyperlink" Target="https://lgdigitalcommerce.atlassian.net/browse/DCBGIT-43365" TargetMode="External"/><Relationship Id="rId80" Type="http://schemas.openxmlformats.org/officeDocument/2006/relationships/hyperlink" Target="https://lgdigitalcommerce.atlassian.net/browse/DCBGIT-42987" TargetMode="External"/><Relationship Id="rId82" Type="http://schemas.openxmlformats.org/officeDocument/2006/relationships/hyperlink" Target="https://lgdigitalcommerce.atlassian.net/browse/DCBGIT-43036" TargetMode="External"/><Relationship Id="rId81" Type="http://schemas.openxmlformats.org/officeDocument/2006/relationships/hyperlink" Target="https://lgdigitalcommerce.atlassian.net/browse/DCBGIT-4303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kms-redmine.medialog.co.kr/redmine/issues/82804" TargetMode="External"/><Relationship Id="rId3" Type="http://schemas.openxmlformats.org/officeDocument/2006/relationships/hyperlink" Target="http://kms-redmine.medialog.co.kr/redmine/issues/82925" TargetMode="External"/><Relationship Id="rId4" Type="http://schemas.openxmlformats.org/officeDocument/2006/relationships/hyperlink" Target="http://210.108.138.187/redmine/issues/82933" TargetMode="External"/><Relationship Id="rId9" Type="http://schemas.openxmlformats.org/officeDocument/2006/relationships/hyperlink" Target="http://kms-redmine.medialog.co.kr/redmine/issues/83172" TargetMode="External"/><Relationship Id="rId5" Type="http://schemas.openxmlformats.org/officeDocument/2006/relationships/hyperlink" Target="http://kms-redmine.medialog.co.kr/redmine/issues/82769" TargetMode="External"/><Relationship Id="rId6" Type="http://schemas.openxmlformats.org/officeDocument/2006/relationships/hyperlink" Target="http://kms-redmine.medialog.co.kr/redmine/issues/83158" TargetMode="External"/><Relationship Id="rId7" Type="http://schemas.openxmlformats.org/officeDocument/2006/relationships/hyperlink" Target="http://kms-redmine.medialog.co.kr/redmine/issues/83063" TargetMode="External"/><Relationship Id="rId8" Type="http://schemas.openxmlformats.org/officeDocument/2006/relationships/hyperlink" Target="http://kms-redmine.medialog.co.kr/redmine/issues/83112" TargetMode="External"/><Relationship Id="rId73" Type="http://schemas.openxmlformats.org/officeDocument/2006/relationships/hyperlink" Target="https://lgdigitalcommerce.atlassian.net/browse/DCBGIT-42495" TargetMode="External"/><Relationship Id="rId72" Type="http://schemas.openxmlformats.org/officeDocument/2006/relationships/hyperlink" Target="https://lgdigitalcommerce.atlassian.net/browse/DCBGIT-42413" TargetMode="External"/><Relationship Id="rId75" Type="http://schemas.openxmlformats.org/officeDocument/2006/relationships/hyperlink" Target="https://lgdigitalcommerce.atlassian.net/browse/DCBGIT-42627" TargetMode="External"/><Relationship Id="rId74" Type="http://schemas.openxmlformats.org/officeDocument/2006/relationships/hyperlink" Target="https://lgdigitalcommerce.atlassian.net/browse/DCBGIT-42549" TargetMode="External"/><Relationship Id="rId77" Type="http://schemas.openxmlformats.org/officeDocument/2006/relationships/hyperlink" Target="https://lgdigitalcommerce.atlassian.net/browse/DCBGIT-42687" TargetMode="External"/><Relationship Id="rId76" Type="http://schemas.openxmlformats.org/officeDocument/2006/relationships/hyperlink" Target="https://lgdigitalcommerce.atlassian.net/browse/DCBGIT-42685" TargetMode="External"/><Relationship Id="rId79" Type="http://schemas.openxmlformats.org/officeDocument/2006/relationships/hyperlink" Target="https://lgdigitalcommerce.atlassian.net/browse/DCBGIT-42945" TargetMode="External"/><Relationship Id="rId78" Type="http://schemas.openxmlformats.org/officeDocument/2006/relationships/hyperlink" Target="https://lgdigitalcommerce.atlassian.net/browse/DCBGIT-42723" TargetMode="External"/><Relationship Id="rId71" Type="http://schemas.openxmlformats.org/officeDocument/2006/relationships/hyperlink" Target="https://lgdigitalcommerce.atlassian.net/browse/DCBGIT-42412" TargetMode="External"/><Relationship Id="rId70" Type="http://schemas.openxmlformats.org/officeDocument/2006/relationships/hyperlink" Target="https://lgdigitalcommerce.atlassian.net/browse/DCBGIT-42347" TargetMode="External"/><Relationship Id="rId62" Type="http://schemas.openxmlformats.org/officeDocument/2006/relationships/hyperlink" Target="https://lgdigitalcommerce.atlassian.net/browse/DCBGIT-41793" TargetMode="External"/><Relationship Id="rId61" Type="http://schemas.openxmlformats.org/officeDocument/2006/relationships/hyperlink" Target="https://lgdigitalcommerce.atlassian.net/browse/DCBGIT-41780" TargetMode="External"/><Relationship Id="rId64" Type="http://schemas.openxmlformats.org/officeDocument/2006/relationships/hyperlink" Target="https://lgdigitalcommerce.atlassian.net/browse/DCBGIT-41853" TargetMode="External"/><Relationship Id="rId63" Type="http://schemas.openxmlformats.org/officeDocument/2006/relationships/hyperlink" Target="https://lgdigitalcommerce.atlassian.net/browse/DCBGIT-41797" TargetMode="External"/><Relationship Id="rId66" Type="http://schemas.openxmlformats.org/officeDocument/2006/relationships/hyperlink" Target="https://lgdigitalcommerce.atlassian.net/browse/DCBGIT-42042" TargetMode="External"/><Relationship Id="rId65" Type="http://schemas.openxmlformats.org/officeDocument/2006/relationships/hyperlink" Target="https://lgdigitalcommerce.atlassian.net/browse/DCBGIT-41854" TargetMode="External"/><Relationship Id="rId68" Type="http://schemas.openxmlformats.org/officeDocument/2006/relationships/hyperlink" Target="https://lgdigitalcommerce.atlassian.net/browse/DCBGIT-42270" TargetMode="External"/><Relationship Id="rId67" Type="http://schemas.openxmlformats.org/officeDocument/2006/relationships/hyperlink" Target="https://lgdigitalcommerce.atlassian.net/browse/DCBGIT-42255" TargetMode="External"/><Relationship Id="rId60" Type="http://schemas.openxmlformats.org/officeDocument/2006/relationships/hyperlink" Target="https://lgdigitalcommerce.atlassian.net/browse/DCBGIT-41722" TargetMode="External"/><Relationship Id="rId69" Type="http://schemas.openxmlformats.org/officeDocument/2006/relationships/hyperlink" Target="https://lgdigitalcommerce.atlassian.net/browse/DCBGIT-42334" TargetMode="External"/><Relationship Id="rId51" Type="http://schemas.openxmlformats.org/officeDocument/2006/relationships/hyperlink" Target="https://lgdigitalcommerce.atlassian.net/browse/DCBGIT-41227" TargetMode="External"/><Relationship Id="rId50" Type="http://schemas.openxmlformats.org/officeDocument/2006/relationships/hyperlink" Target="https://lgdigitalcommerce.atlassian.net/browse/DCBGIT-41199" TargetMode="External"/><Relationship Id="rId53" Type="http://schemas.openxmlformats.org/officeDocument/2006/relationships/hyperlink" Target="https://lgdigitalcommerce.atlassian.net/browse/DCBGIT-41278" TargetMode="External"/><Relationship Id="rId52" Type="http://schemas.openxmlformats.org/officeDocument/2006/relationships/hyperlink" Target="https://lgdigitalcommerce.atlassian.net/browse/DCBGIT-41261" TargetMode="External"/><Relationship Id="rId55" Type="http://schemas.openxmlformats.org/officeDocument/2006/relationships/hyperlink" Target="https://lgdigitalcommerce.atlassian.net/browse/DCBGIT-41467" TargetMode="External"/><Relationship Id="rId54" Type="http://schemas.openxmlformats.org/officeDocument/2006/relationships/hyperlink" Target="https://lgdigitalcommerce.atlassian.net/browse/DCBGIT-41292" TargetMode="External"/><Relationship Id="rId57" Type="http://schemas.openxmlformats.org/officeDocument/2006/relationships/hyperlink" Target="https://lgdigitalcommerce.atlassian.net/browse/DCBGIT-41533" TargetMode="External"/><Relationship Id="rId56" Type="http://schemas.openxmlformats.org/officeDocument/2006/relationships/hyperlink" Target="https://lgdigitalcommerce.atlassian.net/browse/DCBGIT-41485" TargetMode="External"/><Relationship Id="rId59" Type="http://schemas.openxmlformats.org/officeDocument/2006/relationships/hyperlink" Target="https://lgdigitalcommerce.atlassian.net/browse/DCBGIT-41603" TargetMode="External"/><Relationship Id="rId58" Type="http://schemas.openxmlformats.org/officeDocument/2006/relationships/hyperlink" Target="https://lgdigitalcommerce.atlassian.net/browse/DCBGIT-4157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3</v>
      </c>
      <c r="G1" s="5"/>
      <c r="H1" s="2" t="s">
        <v>7</v>
      </c>
      <c r="I1" s="2"/>
      <c r="J1" s="2" t="s">
        <v>8</v>
      </c>
      <c r="K1" s="2" t="s">
        <v>5</v>
      </c>
      <c r="L1" s="5"/>
      <c r="M1" s="5"/>
      <c r="N1" s="5"/>
    </row>
    <row r="2">
      <c r="A2" s="7" t="s">
        <v>9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16</v>
      </c>
      <c r="G2" s="5"/>
      <c r="H2" s="10" t="s">
        <v>12</v>
      </c>
      <c r="I2" s="7"/>
      <c r="J2" s="11" t="s">
        <v>11</v>
      </c>
      <c r="K2" s="7" t="s">
        <v>9</v>
      </c>
      <c r="L2" s="5"/>
      <c r="M2" s="5"/>
      <c r="N2" s="5"/>
    </row>
    <row r="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5"/>
      <c r="H3" s="10" t="s">
        <v>25</v>
      </c>
      <c r="I3" s="7"/>
      <c r="J3" s="11" t="s">
        <v>27</v>
      </c>
      <c r="K3" s="7" t="s">
        <v>18</v>
      </c>
      <c r="L3" s="5"/>
      <c r="M3" s="5"/>
      <c r="N3" s="5"/>
    </row>
    <row r="4">
      <c r="A4" s="7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5"/>
      <c r="H4" s="14" t="s">
        <v>34</v>
      </c>
      <c r="I4" s="7"/>
      <c r="J4" s="11" t="s">
        <v>35</v>
      </c>
      <c r="K4" s="7" t="s">
        <v>28</v>
      </c>
      <c r="L4" s="5"/>
      <c r="M4" s="5"/>
      <c r="N4" s="5"/>
    </row>
    <row r="5">
      <c r="A5" s="7" t="s">
        <v>11</v>
      </c>
      <c r="B5" s="7" t="s">
        <v>37</v>
      </c>
      <c r="C5" s="7" t="s">
        <v>39</v>
      </c>
      <c r="D5" s="5"/>
      <c r="E5" s="5"/>
      <c r="F5" s="5"/>
      <c r="G5" s="5"/>
      <c r="H5" s="10" t="s">
        <v>40</v>
      </c>
      <c r="I5" s="5"/>
      <c r="J5" s="11" t="s">
        <v>41</v>
      </c>
      <c r="K5" s="7" t="s">
        <v>11</v>
      </c>
      <c r="L5" s="5"/>
      <c r="M5" s="5"/>
      <c r="N5" s="5"/>
    </row>
    <row r="6">
      <c r="A6" s="5"/>
      <c r="B6" s="7" t="s">
        <v>42</v>
      </c>
      <c r="C6" s="7" t="s">
        <v>25</v>
      </c>
      <c r="D6" s="5"/>
      <c r="E6" s="5"/>
      <c r="F6" s="5"/>
      <c r="G6" s="5"/>
      <c r="H6" s="10" t="s">
        <v>43</v>
      </c>
      <c r="I6" s="5"/>
      <c r="J6" s="11" t="s">
        <v>44</v>
      </c>
      <c r="K6" s="5"/>
      <c r="L6" s="5"/>
      <c r="M6" s="5"/>
      <c r="N6" s="5"/>
    </row>
    <row r="7">
      <c r="A7" s="5"/>
      <c r="B7" s="7" t="s">
        <v>45</v>
      </c>
      <c r="C7" s="7" t="s">
        <v>46</v>
      </c>
      <c r="D7" s="5"/>
      <c r="E7" s="5"/>
      <c r="F7" s="5"/>
      <c r="G7" s="5"/>
      <c r="H7" s="10" t="s">
        <v>47</v>
      </c>
      <c r="I7" s="5"/>
      <c r="J7" s="11" t="s">
        <v>48</v>
      </c>
      <c r="K7" s="5"/>
      <c r="L7" s="5"/>
      <c r="M7" s="5"/>
      <c r="N7" s="5"/>
    </row>
    <row r="8">
      <c r="A8" s="5"/>
      <c r="B8" s="7" t="s">
        <v>49</v>
      </c>
      <c r="C8" s="7" t="s">
        <v>47</v>
      </c>
      <c r="D8" s="5"/>
      <c r="E8" s="5"/>
      <c r="F8" s="5"/>
      <c r="G8" s="5"/>
      <c r="H8" s="7"/>
      <c r="I8" s="5"/>
      <c r="J8" s="11" t="s">
        <v>50</v>
      </c>
      <c r="K8" s="5"/>
      <c r="L8" s="5"/>
      <c r="M8" s="5"/>
      <c r="N8" s="5"/>
    </row>
    <row r="9">
      <c r="A9" s="5"/>
      <c r="B9" s="7" t="s">
        <v>51</v>
      </c>
      <c r="C9" s="7" t="s">
        <v>34</v>
      </c>
      <c r="D9" s="5"/>
      <c r="E9" s="5"/>
      <c r="F9" s="5"/>
      <c r="G9" s="5"/>
      <c r="H9" s="7"/>
      <c r="I9" s="5"/>
      <c r="J9" s="11" t="s">
        <v>52</v>
      </c>
      <c r="K9" s="5"/>
      <c r="L9" s="5"/>
      <c r="M9" s="5"/>
      <c r="N9" s="5"/>
    </row>
    <row r="10">
      <c r="A10" s="5"/>
      <c r="B10" s="7" t="s">
        <v>53</v>
      </c>
      <c r="C10" s="7" t="s">
        <v>54</v>
      </c>
      <c r="D10" s="5"/>
      <c r="E10" s="5"/>
      <c r="F10" s="5"/>
      <c r="G10" s="5"/>
      <c r="H10" s="7"/>
      <c r="I10" s="5"/>
      <c r="J10" s="11" t="s">
        <v>55</v>
      </c>
      <c r="K10" s="5"/>
      <c r="L10" s="5"/>
      <c r="M10" s="5"/>
      <c r="N10" s="5"/>
    </row>
    <row r="11">
      <c r="A11" s="5"/>
      <c r="B11" s="7" t="s">
        <v>56</v>
      </c>
      <c r="C11" s="7"/>
      <c r="D11" s="5"/>
      <c r="E11" s="5"/>
      <c r="F11" s="5"/>
      <c r="G11" s="5"/>
      <c r="H11" s="7"/>
      <c r="I11" s="5"/>
      <c r="J11" s="11" t="s">
        <v>57</v>
      </c>
      <c r="K11" s="5"/>
      <c r="L11" s="5"/>
      <c r="M11" s="5"/>
      <c r="N11" s="5"/>
    </row>
    <row r="12">
      <c r="A12" s="5"/>
      <c r="B12" s="7" t="s">
        <v>58</v>
      </c>
      <c r="C12" s="5"/>
      <c r="D12" s="5"/>
      <c r="E12" s="5"/>
      <c r="F12" s="5"/>
      <c r="G12" s="5"/>
      <c r="H12" s="5"/>
      <c r="I12" s="5"/>
      <c r="J12" s="11" t="s">
        <v>60</v>
      </c>
      <c r="K12" s="5"/>
      <c r="L12" s="5"/>
      <c r="M12" s="5"/>
      <c r="N12" s="5"/>
    </row>
    <row r="13">
      <c r="A13" s="5"/>
      <c r="B13" s="7" t="s">
        <v>61</v>
      </c>
      <c r="C13" s="5"/>
      <c r="D13" s="5"/>
      <c r="E13" s="5"/>
      <c r="F13" s="5"/>
      <c r="G13" s="5"/>
      <c r="H13" s="5"/>
      <c r="I13" s="5"/>
      <c r="J13" s="11" t="s">
        <v>62</v>
      </c>
      <c r="K13" s="5"/>
      <c r="L13" s="5"/>
      <c r="M13" s="5"/>
      <c r="N13" s="5"/>
    </row>
    <row r="14">
      <c r="A14" s="5"/>
      <c r="B14" s="7" t="s">
        <v>48</v>
      </c>
      <c r="C14" s="5"/>
      <c r="D14" s="5"/>
      <c r="E14" s="5"/>
      <c r="F14" s="5"/>
      <c r="G14" s="5"/>
      <c r="H14" s="5"/>
      <c r="I14" s="5"/>
      <c r="J14" s="11" t="s">
        <v>63</v>
      </c>
      <c r="K14" s="5"/>
      <c r="L14" s="5"/>
      <c r="M14" s="5"/>
      <c r="N14" s="5"/>
    </row>
    <row r="15">
      <c r="A15" s="5"/>
      <c r="B15" s="7" t="s">
        <v>64</v>
      </c>
      <c r="C15" s="5"/>
      <c r="D15" s="5"/>
      <c r="E15" s="5"/>
      <c r="F15" s="5"/>
      <c r="G15" s="5"/>
      <c r="H15" s="5"/>
      <c r="I15" s="5"/>
      <c r="J15" s="11" t="s">
        <v>65</v>
      </c>
      <c r="K15" s="5"/>
      <c r="L15" s="5"/>
      <c r="M15" s="5"/>
      <c r="N15" s="5"/>
    </row>
    <row r="16">
      <c r="A16" s="5"/>
      <c r="B16" s="7" t="s">
        <v>66</v>
      </c>
      <c r="C16" s="5"/>
      <c r="D16" s="5"/>
      <c r="E16" s="5"/>
      <c r="F16" s="5"/>
      <c r="G16" s="5"/>
      <c r="H16" s="5"/>
      <c r="I16" s="5"/>
      <c r="J16" s="11" t="s">
        <v>67</v>
      </c>
      <c r="K16" s="5"/>
      <c r="L16" s="5"/>
      <c r="M16" s="5"/>
      <c r="N16" s="5"/>
    </row>
    <row r="17">
      <c r="A17" s="5"/>
      <c r="B17" s="7" t="s">
        <v>68</v>
      </c>
      <c r="C17" s="5"/>
      <c r="D17" s="5"/>
      <c r="E17" s="5"/>
      <c r="F17" s="5"/>
      <c r="G17" s="5"/>
      <c r="H17" s="5"/>
      <c r="I17" s="5"/>
      <c r="J17" s="11" t="s">
        <v>69</v>
      </c>
      <c r="K17" s="5"/>
      <c r="L17" s="5"/>
      <c r="M17" s="5"/>
      <c r="N17" s="5"/>
    </row>
    <row r="18">
      <c r="A18" s="5"/>
      <c r="B18" s="7" t="s">
        <v>70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>
      <c r="A19" s="5"/>
      <c r="B19" s="7" t="s">
        <v>71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>
      <c r="A20" s="5"/>
      <c r="B20" s="7" t="s">
        <v>72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>
      <c r="A21" s="5"/>
      <c r="B21" s="7" t="s">
        <v>73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>
      <c r="A22" s="5"/>
      <c r="B22" s="7" t="s">
        <v>74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>
      <c r="A23" s="5"/>
      <c r="B23" s="7" t="s">
        <v>75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>
      <c r="A24" s="5"/>
      <c r="B24" s="7" t="s">
        <v>76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>
      <c r="A25" s="5"/>
      <c r="B25" s="7" t="s">
        <v>31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>
      <c r="A26" s="5"/>
      <c r="B26" s="7" t="s">
        <v>77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>
      <c r="A27" s="5"/>
      <c r="B27" s="7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>
      <c r="A28" s="5"/>
      <c r="B28" s="7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>
      <c r="A29" s="5"/>
      <c r="B29" s="7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>
      <c r="A30" s="5"/>
      <c r="B30" s="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>
      <c r="A31" s="5"/>
      <c r="B31" s="7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>
      <c r="A32" s="5"/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>
      <c r="A33" s="5"/>
      <c r="B33" s="7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5"/>
      <c r="B34" s="7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ht="5.2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24" t="s">
        <v>0</v>
      </c>
      <c r="B39" s="25" t="s">
        <v>9</v>
      </c>
      <c r="C39" s="26" t="s">
        <v>78</v>
      </c>
      <c r="D39" s="27"/>
      <c r="E39" s="27"/>
      <c r="F39" s="27"/>
      <c r="G39" s="27"/>
      <c r="H39" s="28"/>
      <c r="I39" s="5"/>
      <c r="J39" s="5"/>
      <c r="K39" s="5"/>
      <c r="L39" s="5"/>
      <c r="M39" s="5"/>
      <c r="N39" s="5"/>
    </row>
    <row r="40">
      <c r="A40" s="29"/>
      <c r="B40" s="25" t="s">
        <v>18</v>
      </c>
      <c r="C40" s="26" t="s">
        <v>79</v>
      </c>
      <c r="D40" s="27"/>
      <c r="E40" s="27"/>
      <c r="F40" s="27"/>
      <c r="G40" s="27"/>
      <c r="H40" s="28"/>
      <c r="I40" s="5"/>
      <c r="J40" s="5"/>
      <c r="K40" s="5"/>
      <c r="L40" s="5"/>
      <c r="M40" s="5"/>
      <c r="N40" s="5"/>
    </row>
    <row r="41">
      <c r="A41" s="30"/>
      <c r="B41" s="31" t="s">
        <v>28</v>
      </c>
      <c r="C41" s="32" t="s">
        <v>80</v>
      </c>
      <c r="D41" s="33"/>
      <c r="E41" s="33"/>
      <c r="F41" s="33"/>
      <c r="G41" s="33"/>
      <c r="H41" s="34"/>
      <c r="I41" s="5"/>
      <c r="J41" s="5"/>
      <c r="K41" s="5"/>
      <c r="L41" s="5"/>
      <c r="M41" s="5"/>
      <c r="N41" s="5"/>
    </row>
    <row r="42">
      <c r="A42" s="35" t="s">
        <v>3</v>
      </c>
      <c r="B42" s="36" t="s">
        <v>11</v>
      </c>
      <c r="C42" s="37" t="s">
        <v>81</v>
      </c>
      <c r="D42" s="38"/>
      <c r="E42" s="38"/>
      <c r="F42" s="38"/>
      <c r="G42" s="38"/>
      <c r="H42" s="39"/>
      <c r="I42" s="5"/>
      <c r="J42" s="5"/>
      <c r="K42" s="5"/>
      <c r="L42" s="5"/>
      <c r="M42" s="5"/>
      <c r="N42" s="5"/>
    </row>
    <row r="43">
      <c r="A43" s="29"/>
      <c r="B43" s="40" t="s">
        <v>19</v>
      </c>
      <c r="C43" s="41"/>
      <c r="D43" s="27"/>
      <c r="E43" s="27"/>
      <c r="F43" s="27"/>
      <c r="G43" s="27"/>
      <c r="H43" s="28"/>
      <c r="I43" s="5"/>
      <c r="J43" s="5"/>
      <c r="K43" s="5"/>
      <c r="L43" s="5"/>
      <c r="M43" s="5"/>
      <c r="N43" s="5"/>
    </row>
    <row r="44">
      <c r="A44" s="29"/>
      <c r="B44" s="40" t="s">
        <v>29</v>
      </c>
      <c r="C44" s="26" t="s">
        <v>82</v>
      </c>
      <c r="D44" s="27"/>
      <c r="E44" s="27"/>
      <c r="F44" s="27"/>
      <c r="G44" s="27"/>
      <c r="H44" s="28"/>
      <c r="I44" s="5"/>
      <c r="J44" s="5"/>
      <c r="K44" s="5"/>
      <c r="L44" s="5"/>
      <c r="M44" s="5"/>
      <c r="N44" s="5"/>
    </row>
    <row r="45">
      <c r="A45" s="29"/>
      <c r="B45" s="40" t="s">
        <v>83</v>
      </c>
      <c r="C45" s="41"/>
      <c r="D45" s="27"/>
      <c r="E45" s="27"/>
      <c r="F45" s="27"/>
      <c r="G45" s="27"/>
      <c r="H45" s="28"/>
      <c r="I45" s="5"/>
      <c r="J45" s="5"/>
      <c r="K45" s="5"/>
      <c r="L45" s="5"/>
      <c r="M45" s="5"/>
      <c r="N45" s="5"/>
    </row>
    <row r="46">
      <c r="A46" s="29"/>
      <c r="B46" s="40" t="s">
        <v>42</v>
      </c>
      <c r="C46" s="41"/>
      <c r="D46" s="27"/>
      <c r="E46" s="27"/>
      <c r="F46" s="27"/>
      <c r="G46" s="27"/>
      <c r="H46" s="28"/>
      <c r="I46" s="5"/>
      <c r="J46" s="5"/>
      <c r="K46" s="5"/>
      <c r="L46" s="5"/>
      <c r="M46" s="5"/>
      <c r="N46" s="5"/>
    </row>
    <row r="47">
      <c r="A47" s="29"/>
      <c r="B47" s="40" t="s">
        <v>45</v>
      </c>
      <c r="C47" s="41"/>
      <c r="D47" s="27"/>
      <c r="E47" s="27"/>
      <c r="F47" s="27"/>
      <c r="G47" s="27"/>
      <c r="H47" s="28"/>
      <c r="I47" s="5"/>
      <c r="J47" s="5"/>
      <c r="K47" s="5"/>
      <c r="L47" s="5"/>
      <c r="M47" s="5"/>
      <c r="N47" s="5"/>
    </row>
    <row r="48">
      <c r="A48" s="29"/>
      <c r="B48" s="40" t="s">
        <v>49</v>
      </c>
      <c r="C48" s="41"/>
      <c r="D48" s="27"/>
      <c r="E48" s="27"/>
      <c r="F48" s="27"/>
      <c r="G48" s="27"/>
      <c r="H48" s="28"/>
      <c r="I48" s="5"/>
      <c r="J48" s="5"/>
      <c r="K48" s="5"/>
      <c r="L48" s="5"/>
      <c r="M48" s="5"/>
      <c r="N48" s="5"/>
    </row>
    <row r="49">
      <c r="A49" s="29"/>
      <c r="B49" s="40" t="s">
        <v>51</v>
      </c>
      <c r="C49" s="41"/>
      <c r="D49" s="27"/>
      <c r="E49" s="27"/>
      <c r="F49" s="27"/>
      <c r="G49" s="27"/>
      <c r="H49" s="28"/>
      <c r="I49" s="5"/>
      <c r="J49" s="5"/>
      <c r="K49" s="5"/>
      <c r="L49" s="5"/>
      <c r="M49" s="5"/>
      <c r="N49" s="5"/>
    </row>
    <row r="50">
      <c r="A50" s="29"/>
      <c r="B50" s="40" t="s">
        <v>53</v>
      </c>
      <c r="C50" s="41"/>
      <c r="D50" s="27"/>
      <c r="E50" s="27"/>
      <c r="F50" s="27"/>
      <c r="G50" s="27"/>
      <c r="H50" s="28"/>
      <c r="I50" s="5"/>
      <c r="J50" s="5"/>
      <c r="K50" s="5"/>
      <c r="L50" s="5"/>
      <c r="M50" s="5"/>
      <c r="N50" s="5"/>
    </row>
    <row r="51">
      <c r="A51" s="29"/>
      <c r="B51" s="40" t="s">
        <v>56</v>
      </c>
      <c r="C51" s="26" t="s">
        <v>84</v>
      </c>
      <c r="D51" s="27"/>
      <c r="E51" s="27"/>
      <c r="F51" s="27"/>
      <c r="G51" s="27"/>
      <c r="H51" s="28"/>
      <c r="I51" s="5"/>
      <c r="J51" s="5"/>
      <c r="K51" s="5"/>
      <c r="L51" s="5"/>
      <c r="M51" s="5"/>
      <c r="N51" s="5"/>
    </row>
    <row r="52">
      <c r="A52" s="29"/>
      <c r="B52" s="40" t="s">
        <v>58</v>
      </c>
      <c r="C52" s="26" t="s">
        <v>85</v>
      </c>
      <c r="D52" s="27"/>
      <c r="E52" s="27"/>
      <c r="F52" s="27"/>
      <c r="G52" s="27"/>
      <c r="H52" s="28"/>
      <c r="I52" s="5"/>
      <c r="J52" s="5"/>
      <c r="K52" s="5"/>
      <c r="L52" s="5"/>
      <c r="M52" s="5"/>
      <c r="N52" s="5"/>
    </row>
    <row r="53">
      <c r="A53" s="29"/>
      <c r="B53" s="40" t="s">
        <v>61</v>
      </c>
      <c r="C53" s="26" t="s">
        <v>86</v>
      </c>
      <c r="D53" s="27"/>
      <c r="E53" s="27"/>
      <c r="F53" s="27"/>
      <c r="G53" s="27"/>
      <c r="H53" s="28"/>
      <c r="I53" s="5"/>
      <c r="J53" s="5"/>
      <c r="K53" s="5"/>
      <c r="L53" s="5"/>
      <c r="M53" s="5"/>
      <c r="N53" s="5"/>
    </row>
    <row r="54">
      <c r="A54" s="29"/>
      <c r="B54" s="40" t="s">
        <v>48</v>
      </c>
      <c r="C54" s="41"/>
      <c r="D54" s="27"/>
      <c r="E54" s="27"/>
      <c r="F54" s="27"/>
      <c r="G54" s="27"/>
      <c r="H54" s="28"/>
      <c r="I54" s="5"/>
      <c r="J54" s="5"/>
      <c r="K54" s="5"/>
      <c r="L54" s="5"/>
      <c r="M54" s="5"/>
      <c r="N54" s="5"/>
    </row>
    <row r="55">
      <c r="A55" s="29"/>
      <c r="B55" s="40" t="s">
        <v>64</v>
      </c>
      <c r="C55" s="41"/>
      <c r="D55" s="27"/>
      <c r="E55" s="27"/>
      <c r="F55" s="27"/>
      <c r="G55" s="27"/>
      <c r="H55" s="28"/>
      <c r="I55" s="5"/>
      <c r="J55" s="5"/>
      <c r="K55" s="5"/>
      <c r="L55" s="5"/>
      <c r="M55" s="5"/>
      <c r="N55" s="5"/>
    </row>
    <row r="56">
      <c r="A56" s="29"/>
      <c r="B56" s="40" t="s">
        <v>66</v>
      </c>
      <c r="C56" s="41"/>
      <c r="D56" s="27"/>
      <c r="E56" s="27"/>
      <c r="F56" s="27"/>
      <c r="G56" s="27"/>
      <c r="H56" s="28"/>
      <c r="I56" s="5"/>
      <c r="J56" s="5"/>
      <c r="K56" s="5"/>
      <c r="L56" s="5"/>
      <c r="M56" s="5"/>
      <c r="N56" s="5"/>
    </row>
    <row r="57">
      <c r="A57" s="29"/>
      <c r="B57" s="40" t="s">
        <v>68</v>
      </c>
      <c r="C57" s="26" t="s">
        <v>87</v>
      </c>
      <c r="D57" s="27"/>
      <c r="E57" s="27"/>
      <c r="F57" s="27"/>
      <c r="G57" s="27"/>
      <c r="H57" s="28"/>
      <c r="I57" s="5"/>
      <c r="J57" s="5"/>
      <c r="K57" s="5"/>
      <c r="L57" s="5"/>
      <c r="M57" s="5"/>
      <c r="N57" s="5"/>
    </row>
    <row r="58">
      <c r="A58" s="29"/>
      <c r="B58" s="40" t="s">
        <v>70</v>
      </c>
      <c r="C58" s="41"/>
      <c r="D58" s="27"/>
      <c r="E58" s="27"/>
      <c r="F58" s="27"/>
      <c r="G58" s="27"/>
      <c r="H58" s="28"/>
      <c r="I58" s="5"/>
      <c r="J58" s="5"/>
      <c r="K58" s="5"/>
      <c r="L58" s="5"/>
      <c r="M58" s="5"/>
      <c r="N58" s="5"/>
    </row>
    <row r="59">
      <c r="A59" s="29"/>
      <c r="B59" s="40" t="s">
        <v>71</v>
      </c>
      <c r="C59" s="41"/>
      <c r="D59" s="27"/>
      <c r="E59" s="27"/>
      <c r="F59" s="27"/>
      <c r="G59" s="27"/>
      <c r="H59" s="28"/>
      <c r="I59" s="5"/>
      <c r="J59" s="5"/>
      <c r="K59" s="5"/>
      <c r="L59" s="5"/>
      <c r="M59" s="5"/>
      <c r="N59" s="5"/>
    </row>
    <row r="60">
      <c r="A60" s="29"/>
      <c r="B60" s="40" t="s">
        <v>88</v>
      </c>
      <c r="C60" s="26" t="s">
        <v>89</v>
      </c>
      <c r="D60" s="27"/>
      <c r="E60" s="27"/>
      <c r="F60" s="27"/>
      <c r="G60" s="27"/>
      <c r="H60" s="28"/>
      <c r="I60" s="5"/>
      <c r="J60" s="5"/>
      <c r="K60" s="5"/>
      <c r="L60" s="5"/>
      <c r="M60" s="5"/>
      <c r="N60" s="5"/>
    </row>
    <row r="61">
      <c r="A61" s="29"/>
      <c r="B61" s="40" t="s">
        <v>73</v>
      </c>
      <c r="C61" s="26" t="s">
        <v>90</v>
      </c>
      <c r="D61" s="27"/>
      <c r="E61" s="27"/>
      <c r="F61" s="27"/>
      <c r="G61" s="27"/>
      <c r="H61" s="28"/>
      <c r="I61" s="5"/>
      <c r="J61" s="5"/>
      <c r="K61" s="5"/>
      <c r="L61" s="5"/>
      <c r="M61" s="5"/>
      <c r="N61" s="5"/>
    </row>
    <row r="62">
      <c r="A62" s="29"/>
      <c r="B62" s="40" t="s">
        <v>91</v>
      </c>
      <c r="C62" s="41"/>
      <c r="D62" s="27"/>
      <c r="E62" s="27"/>
      <c r="F62" s="27"/>
      <c r="G62" s="27"/>
      <c r="H62" s="28"/>
      <c r="I62" s="5"/>
      <c r="J62" s="5"/>
      <c r="K62" s="5"/>
      <c r="L62" s="5"/>
      <c r="M62" s="5"/>
      <c r="N62" s="5"/>
    </row>
    <row r="63">
      <c r="A63" s="29"/>
      <c r="B63" s="40" t="s">
        <v>31</v>
      </c>
      <c r="C63" s="26" t="s">
        <v>92</v>
      </c>
      <c r="D63" s="27"/>
      <c r="E63" s="27"/>
      <c r="F63" s="27"/>
      <c r="G63" s="27"/>
      <c r="H63" s="28"/>
      <c r="I63" s="5"/>
      <c r="J63" s="5"/>
      <c r="K63" s="5"/>
      <c r="L63" s="5"/>
      <c r="M63" s="5"/>
      <c r="N63" s="5"/>
    </row>
    <row r="64">
      <c r="A64" s="30"/>
      <c r="B64" s="45" t="s">
        <v>77</v>
      </c>
      <c r="C64" s="32" t="s">
        <v>93</v>
      </c>
      <c r="D64" s="33"/>
      <c r="E64" s="33"/>
      <c r="F64" s="33"/>
      <c r="G64" s="33"/>
      <c r="H64" s="34"/>
      <c r="I64" s="5"/>
      <c r="J64" s="5"/>
      <c r="K64" s="5"/>
      <c r="L64" s="5"/>
      <c r="M64" s="5"/>
      <c r="N64" s="5"/>
    </row>
    <row r="65">
      <c r="A65" s="35" t="s">
        <v>5</v>
      </c>
      <c r="B65" s="36" t="s">
        <v>13</v>
      </c>
      <c r="C65" s="46" t="s">
        <v>94</v>
      </c>
      <c r="D65" s="38"/>
      <c r="E65" s="38"/>
      <c r="F65" s="38"/>
      <c r="G65" s="38"/>
      <c r="H65" s="39"/>
      <c r="I65" s="5"/>
      <c r="J65" s="5"/>
      <c r="K65" s="5"/>
      <c r="L65" s="5"/>
      <c r="M65" s="5"/>
      <c r="N65" s="5"/>
    </row>
    <row r="66">
      <c r="A66" s="29"/>
      <c r="B66" s="40" t="s">
        <v>21</v>
      </c>
      <c r="C66" s="48" t="s">
        <v>95</v>
      </c>
      <c r="D66" s="27"/>
      <c r="E66" s="27"/>
      <c r="F66" s="27"/>
      <c r="G66" s="27"/>
      <c r="H66" s="28"/>
      <c r="I66" s="5"/>
      <c r="J66" s="5"/>
      <c r="K66" s="5"/>
      <c r="L66" s="5"/>
      <c r="M66" s="5"/>
      <c r="N66" s="5"/>
    </row>
    <row r="67">
      <c r="A67" s="50"/>
      <c r="B67" s="40" t="s">
        <v>31</v>
      </c>
      <c r="C67" s="48" t="s">
        <v>96</v>
      </c>
      <c r="D67" s="27"/>
      <c r="E67" s="27"/>
      <c r="F67" s="27"/>
      <c r="G67" s="27"/>
      <c r="H67" s="28"/>
      <c r="I67" s="5"/>
      <c r="J67" s="5"/>
      <c r="K67" s="5"/>
      <c r="L67" s="5"/>
      <c r="M67" s="5"/>
      <c r="N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</row>
  </sheetData>
  <mergeCells count="32">
    <mergeCell ref="C58:H58"/>
    <mergeCell ref="C59:H59"/>
    <mergeCell ref="C60:H60"/>
    <mergeCell ref="C61:H61"/>
    <mergeCell ref="C62:H62"/>
    <mergeCell ref="C63:H63"/>
    <mergeCell ref="A42:A64"/>
    <mergeCell ref="A65:A67"/>
    <mergeCell ref="C65:H65"/>
    <mergeCell ref="C66:H66"/>
    <mergeCell ref="C67:H67"/>
    <mergeCell ref="A39:A41"/>
    <mergeCell ref="C39:H39"/>
    <mergeCell ref="C40:H40"/>
    <mergeCell ref="C41:H41"/>
    <mergeCell ref="C42:H42"/>
    <mergeCell ref="C43:H43"/>
    <mergeCell ref="C64:H64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</mergeCells>
  <conditionalFormatting sqref="J2:J17">
    <cfRule type="expression" dxfId="2" priority="1">
      <formula>$J2="완료"</formula>
    </cfRule>
  </conditionalFormatting>
  <conditionalFormatting sqref="J2:J17">
    <cfRule type="expression" dxfId="3" priority="2">
      <formula>$J2="진행"</formula>
    </cfRule>
  </conditionalFormatting>
  <conditionalFormatting sqref="J2:J17">
    <cfRule type="expression" dxfId="4" priority="3" operator="containsText">
      <formula>NOT(ISERROR(SEARCH((FILTER($G2,REGEXMATCH($G2,"ㄴ"))),(J2))))</formula>
    </cfRule>
  </conditionalFormatting>
  <conditionalFormatting sqref="J2:J17">
    <cfRule type="expression" dxfId="5" priority="4">
      <formula>$J2="검수"</formula>
    </cfRule>
  </conditionalFormatting>
  <conditionalFormatting sqref="J2:J17">
    <cfRule type="expression" dxfId="6" priority="5">
      <formula>$J2="보류"</formula>
    </cfRule>
  </conditionalFormatting>
  <conditionalFormatting sqref="J2:J17">
    <cfRule type="expression" dxfId="7" priority="6">
      <formula>$J2="취소"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 outlineLevelRow="1"/>
  <cols>
    <col customWidth="1" min="1" max="1" width="5.88"/>
    <col customWidth="1" min="2" max="2" width="9.13"/>
    <col customWidth="1" min="3" max="5" width="0.38"/>
    <col customWidth="1" min="6" max="6" width="7.5"/>
    <col customWidth="1" min="7" max="138" width="3.0" outlineLevel="1"/>
    <col customWidth="1" min="139" max="139" width="3.38" outlineLevel="1"/>
    <col customWidth="1" min="140" max="186" width="3.0" outlineLevel="1"/>
    <col customWidth="1" min="187" max="187" width="2.88" outlineLevel="1"/>
    <col customWidth="1" min="188" max="196" width="3.0" outlineLevel="1"/>
    <col customWidth="1" min="197" max="197" width="3.25" outlineLevel="1"/>
    <col customWidth="1" min="198" max="310" width="3.0" outlineLevel="1"/>
    <col customWidth="1" min="311" max="371" width="3.0"/>
  </cols>
  <sheetData>
    <row r="1" hidden="1" outlineLevel="1">
      <c r="A1" s="6">
        <v>2026.0</v>
      </c>
      <c r="B1" s="8"/>
      <c r="C1" s="9"/>
      <c r="D1" s="9"/>
      <c r="E1" s="9"/>
      <c r="F1" s="12"/>
      <c r="G1" s="12"/>
      <c r="H1" s="12"/>
      <c r="I1" s="12"/>
      <c r="J1" s="12"/>
      <c r="K1" s="12"/>
      <c r="L1" s="13"/>
      <c r="M1" s="13"/>
      <c r="N1" s="13"/>
      <c r="O1" s="13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5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5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21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21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21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21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21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21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21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21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21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</row>
    <row r="2" hidden="1" outlineLevel="1">
      <c r="A2" s="42">
        <v>1.0</v>
      </c>
      <c r="B2" s="43"/>
      <c r="C2" s="43"/>
      <c r="D2" s="43"/>
      <c r="E2" s="43"/>
      <c r="F2" s="44"/>
      <c r="G2" s="44"/>
      <c r="H2" s="44"/>
      <c r="I2" s="44"/>
      <c r="J2" s="44"/>
      <c r="K2" s="44"/>
      <c r="L2" s="13"/>
      <c r="M2" s="13"/>
      <c r="N2" s="13"/>
      <c r="O2" s="13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5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5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21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21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21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21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21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21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21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21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21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</row>
    <row r="3" hidden="1" outlineLevel="1">
      <c r="A3" s="42">
        <v>6.0</v>
      </c>
      <c r="B3" s="53"/>
      <c r="C3" s="53"/>
      <c r="D3" s="53"/>
      <c r="E3" s="53"/>
      <c r="F3" s="54"/>
      <c r="G3" s="54"/>
      <c r="H3" s="54"/>
      <c r="I3" s="55"/>
      <c r="J3" s="56"/>
      <c r="K3" s="54"/>
      <c r="L3" s="54"/>
      <c r="M3" s="54"/>
      <c r="N3" s="54"/>
      <c r="O3" s="54"/>
      <c r="P3" s="54"/>
      <c r="Q3" s="54"/>
      <c r="R3" s="12"/>
      <c r="S3" s="13"/>
      <c r="T3" s="13"/>
      <c r="U3" s="12"/>
      <c r="V3" s="12"/>
      <c r="W3" s="12"/>
      <c r="X3" s="12"/>
      <c r="Y3" s="12"/>
      <c r="Z3" s="12"/>
      <c r="AA3" s="12"/>
      <c r="AB3" s="13"/>
      <c r="AC3" s="13"/>
      <c r="AD3" s="57"/>
      <c r="AE3" s="57"/>
      <c r="AF3" s="57"/>
      <c r="AG3" s="57"/>
      <c r="AH3" s="57"/>
      <c r="AI3" s="57"/>
      <c r="AJ3" s="57"/>
      <c r="AK3" s="57"/>
      <c r="AL3" s="58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8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60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60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60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  <c r="GD3" s="59"/>
      <c r="GE3" s="59"/>
      <c r="GF3" s="60"/>
      <c r="GG3" s="59"/>
      <c r="GH3" s="59"/>
      <c r="GI3" s="59"/>
      <c r="GJ3" s="59"/>
      <c r="GK3" s="59"/>
      <c r="GL3" s="59"/>
      <c r="GM3" s="59"/>
      <c r="GN3" s="59"/>
      <c r="GO3" s="59"/>
      <c r="GP3" s="59"/>
      <c r="GQ3" s="59"/>
      <c r="GR3" s="59"/>
      <c r="GS3" s="59"/>
      <c r="GT3" s="59"/>
      <c r="GU3" s="59"/>
      <c r="GV3" s="59"/>
      <c r="GW3" s="59"/>
      <c r="GX3" s="59"/>
      <c r="GY3" s="59"/>
      <c r="GZ3" s="59"/>
      <c r="HA3" s="59"/>
      <c r="HB3" s="59"/>
      <c r="HC3" s="59"/>
      <c r="HD3" s="59"/>
      <c r="HE3" s="59"/>
      <c r="HF3" s="59"/>
      <c r="HG3" s="59"/>
      <c r="HH3" s="59"/>
      <c r="HI3" s="59"/>
      <c r="HJ3" s="59"/>
      <c r="HK3" s="60"/>
      <c r="HL3" s="59"/>
      <c r="HM3" s="59"/>
      <c r="HN3" s="59"/>
      <c r="HO3" s="59"/>
      <c r="HP3" s="59"/>
      <c r="HQ3" s="59"/>
      <c r="HR3" s="59"/>
      <c r="HS3" s="59"/>
      <c r="HT3" s="59"/>
      <c r="HU3" s="59"/>
      <c r="HV3" s="59"/>
      <c r="HW3" s="59"/>
      <c r="HX3" s="59"/>
      <c r="HY3" s="59"/>
      <c r="HZ3" s="59"/>
      <c r="IA3" s="59"/>
      <c r="IB3" s="59"/>
      <c r="IC3" s="59"/>
      <c r="ID3" s="59"/>
      <c r="IE3" s="59"/>
      <c r="IF3" s="59"/>
      <c r="IG3" s="59"/>
      <c r="IH3" s="59"/>
      <c r="II3" s="59"/>
      <c r="IJ3" s="59"/>
      <c r="IK3" s="59"/>
      <c r="IL3" s="59"/>
      <c r="IM3" s="59"/>
      <c r="IN3" s="59"/>
      <c r="IO3" s="59"/>
      <c r="IP3" s="60"/>
      <c r="IQ3" s="59"/>
      <c r="IR3" s="59"/>
      <c r="IS3" s="59"/>
      <c r="IT3" s="59"/>
      <c r="IU3" s="59"/>
      <c r="IV3" s="59"/>
      <c r="IW3" s="59"/>
      <c r="IX3" s="59"/>
      <c r="IY3" s="59"/>
      <c r="IZ3" s="59"/>
      <c r="JA3" s="59"/>
      <c r="JB3" s="59"/>
      <c r="JC3" s="59"/>
      <c r="JD3" s="59"/>
      <c r="JE3" s="59"/>
      <c r="JF3" s="59"/>
      <c r="JG3" s="59"/>
      <c r="JH3" s="59"/>
      <c r="JI3" s="59"/>
      <c r="JJ3" s="59"/>
      <c r="JK3" s="59"/>
      <c r="JL3" s="59"/>
      <c r="JM3" s="59"/>
      <c r="JN3" s="59"/>
      <c r="JO3" s="59"/>
      <c r="JP3" s="59"/>
      <c r="JQ3" s="59"/>
      <c r="JR3" s="59"/>
      <c r="JS3" s="59"/>
      <c r="JT3" s="60"/>
      <c r="JU3" s="59"/>
      <c r="JV3" s="59"/>
      <c r="JW3" s="59"/>
      <c r="JX3" s="59"/>
      <c r="JY3" s="59"/>
      <c r="JZ3" s="59"/>
      <c r="KA3" s="59"/>
      <c r="KB3" s="59"/>
      <c r="KC3" s="59"/>
      <c r="KD3" s="59"/>
      <c r="KE3" s="59"/>
      <c r="KF3" s="59"/>
      <c r="KG3" s="59"/>
      <c r="KH3" s="59"/>
      <c r="KI3" s="59"/>
      <c r="KJ3" s="59"/>
      <c r="KK3" s="59"/>
      <c r="KL3" s="59"/>
      <c r="KM3" s="59"/>
      <c r="KN3" s="59"/>
      <c r="KO3" s="59"/>
      <c r="KP3" s="59"/>
      <c r="KQ3" s="59"/>
      <c r="KR3" s="59"/>
      <c r="KS3" s="59"/>
      <c r="KT3" s="59"/>
      <c r="KU3" s="59"/>
      <c r="KV3" s="59"/>
      <c r="KW3" s="59"/>
      <c r="KX3" s="59"/>
      <c r="KY3" s="60"/>
      <c r="KZ3" s="59"/>
      <c r="LA3" s="59"/>
      <c r="LB3" s="59"/>
      <c r="LC3" s="59"/>
      <c r="LD3" s="59"/>
      <c r="LE3" s="59"/>
      <c r="LF3" s="59"/>
      <c r="LG3" s="59"/>
      <c r="LH3" s="59"/>
      <c r="LI3" s="59"/>
      <c r="LJ3" s="59"/>
      <c r="LK3" s="59"/>
      <c r="LL3" s="59"/>
      <c r="LM3" s="59"/>
      <c r="LN3" s="59"/>
      <c r="LO3" s="59"/>
      <c r="LP3" s="59"/>
      <c r="LQ3" s="59"/>
      <c r="LR3" s="59"/>
      <c r="LS3" s="59"/>
      <c r="LT3" s="59"/>
      <c r="LU3" s="59"/>
      <c r="LV3" s="59"/>
      <c r="LW3" s="59"/>
      <c r="LX3" s="59"/>
      <c r="LY3" s="59"/>
      <c r="LZ3" s="59"/>
      <c r="MA3" s="59"/>
      <c r="MB3" s="59"/>
      <c r="MC3" s="60"/>
      <c r="MD3" s="59"/>
      <c r="ME3" s="59"/>
      <c r="MF3" s="59"/>
      <c r="MG3" s="59"/>
      <c r="MH3" s="59"/>
      <c r="MI3" s="59"/>
      <c r="MJ3" s="59"/>
      <c r="MK3" s="59"/>
      <c r="ML3" s="59"/>
      <c r="MM3" s="59"/>
      <c r="MN3" s="59"/>
      <c r="MO3" s="59"/>
      <c r="MP3" s="59"/>
      <c r="MQ3" s="59"/>
      <c r="MR3" s="59"/>
      <c r="MS3" s="59"/>
      <c r="MT3" s="59"/>
      <c r="MU3" s="59"/>
      <c r="MV3" s="59"/>
      <c r="MW3" s="59"/>
      <c r="MX3" s="59"/>
      <c r="MY3" s="59"/>
      <c r="MZ3" s="59"/>
      <c r="NA3" s="59"/>
      <c r="NB3" s="59"/>
      <c r="NC3" s="59"/>
      <c r="ND3" s="59"/>
      <c r="NE3" s="59"/>
      <c r="NF3" s="59"/>
      <c r="NG3" s="59"/>
    </row>
    <row r="4" hidden="1" outlineLevel="1">
      <c r="A4" s="10" t="s">
        <v>97</v>
      </c>
      <c r="B4" s="61">
        <v>46023.0</v>
      </c>
      <c r="C4" s="53"/>
      <c r="D4" s="53"/>
      <c r="E4" s="53"/>
      <c r="F4" s="54"/>
      <c r="G4" s="54"/>
      <c r="H4" s="54"/>
      <c r="I4" s="55"/>
      <c r="J4" s="56"/>
      <c r="K4" s="54"/>
      <c r="L4" s="54"/>
      <c r="M4" s="54"/>
      <c r="N4" s="54"/>
      <c r="O4" s="54"/>
      <c r="P4" s="54"/>
      <c r="Q4" s="54"/>
      <c r="R4" s="12"/>
      <c r="S4" s="13"/>
      <c r="T4" s="13"/>
      <c r="U4" s="12"/>
      <c r="V4" s="12"/>
      <c r="W4" s="12"/>
      <c r="X4" s="12"/>
      <c r="Y4" s="12"/>
      <c r="Z4" s="12"/>
      <c r="AA4" s="12"/>
      <c r="AB4" s="13"/>
      <c r="AC4" s="13"/>
      <c r="AD4" s="57"/>
      <c r="AE4" s="57"/>
      <c r="AF4" s="57"/>
      <c r="AG4" s="57"/>
      <c r="AH4" s="57"/>
      <c r="AI4" s="57"/>
      <c r="AJ4" s="57"/>
      <c r="AK4" s="57"/>
      <c r="AL4" s="58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8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60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60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60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59"/>
      <c r="GC4" s="59"/>
      <c r="GD4" s="59"/>
      <c r="GE4" s="59"/>
      <c r="GF4" s="60"/>
      <c r="GG4" s="59"/>
      <c r="GH4" s="59"/>
      <c r="GI4" s="59"/>
      <c r="GJ4" s="59"/>
      <c r="GK4" s="59"/>
      <c r="GL4" s="59"/>
      <c r="GM4" s="59"/>
      <c r="GN4" s="59"/>
      <c r="GO4" s="59"/>
      <c r="GP4" s="59"/>
      <c r="GQ4" s="59"/>
      <c r="GR4" s="59"/>
      <c r="GS4" s="59"/>
      <c r="GT4" s="59"/>
      <c r="GU4" s="59"/>
      <c r="GV4" s="59"/>
      <c r="GW4" s="59"/>
      <c r="GX4" s="59"/>
      <c r="GY4" s="59"/>
      <c r="GZ4" s="59"/>
      <c r="HA4" s="59"/>
      <c r="HB4" s="59"/>
      <c r="HC4" s="59"/>
      <c r="HD4" s="59"/>
      <c r="HE4" s="59"/>
      <c r="HF4" s="59"/>
      <c r="HG4" s="59"/>
      <c r="HH4" s="59"/>
      <c r="HI4" s="59"/>
      <c r="HJ4" s="59"/>
      <c r="HK4" s="60"/>
      <c r="HL4" s="59"/>
      <c r="HM4" s="59"/>
      <c r="HN4" s="59"/>
      <c r="HO4" s="59"/>
      <c r="HP4" s="59"/>
      <c r="HQ4" s="59"/>
      <c r="HR4" s="59"/>
      <c r="HS4" s="59"/>
      <c r="HT4" s="59"/>
      <c r="HU4" s="59"/>
      <c r="HV4" s="59"/>
      <c r="HW4" s="59"/>
      <c r="HX4" s="59"/>
      <c r="HY4" s="59"/>
      <c r="HZ4" s="59"/>
      <c r="IA4" s="59"/>
      <c r="IB4" s="59"/>
      <c r="IC4" s="59"/>
      <c r="ID4" s="59"/>
      <c r="IE4" s="59"/>
      <c r="IF4" s="59"/>
      <c r="IG4" s="59"/>
      <c r="IH4" s="59"/>
      <c r="II4" s="59"/>
      <c r="IJ4" s="59"/>
      <c r="IK4" s="59"/>
      <c r="IL4" s="59"/>
      <c r="IM4" s="59"/>
      <c r="IN4" s="59"/>
      <c r="IO4" s="59"/>
      <c r="IP4" s="60"/>
      <c r="IQ4" s="59"/>
      <c r="IR4" s="59"/>
      <c r="IS4" s="59"/>
      <c r="IT4" s="59"/>
      <c r="IU4" s="59"/>
      <c r="IV4" s="59"/>
      <c r="IW4" s="59"/>
      <c r="IX4" s="59"/>
      <c r="IY4" s="59"/>
      <c r="IZ4" s="59"/>
      <c r="JA4" s="59"/>
      <c r="JB4" s="59"/>
      <c r="JC4" s="59"/>
      <c r="JD4" s="59"/>
      <c r="JE4" s="59"/>
      <c r="JF4" s="59"/>
      <c r="JG4" s="59"/>
      <c r="JH4" s="59"/>
      <c r="JI4" s="59"/>
      <c r="JJ4" s="59"/>
      <c r="JK4" s="59"/>
      <c r="JL4" s="59"/>
      <c r="JM4" s="59"/>
      <c r="JN4" s="59"/>
      <c r="JO4" s="59"/>
      <c r="JP4" s="59"/>
      <c r="JQ4" s="59"/>
      <c r="JR4" s="59"/>
      <c r="JS4" s="59"/>
      <c r="JT4" s="60"/>
      <c r="JU4" s="59"/>
      <c r="JV4" s="59"/>
      <c r="JW4" s="59"/>
      <c r="JX4" s="59"/>
      <c r="JY4" s="59"/>
      <c r="JZ4" s="59"/>
      <c r="KA4" s="59"/>
      <c r="KB4" s="59"/>
      <c r="KC4" s="59"/>
      <c r="KD4" s="59"/>
      <c r="KE4" s="59"/>
      <c r="KF4" s="59"/>
      <c r="KG4" s="59"/>
      <c r="KH4" s="59"/>
      <c r="KI4" s="59"/>
      <c r="KJ4" s="59"/>
      <c r="KK4" s="59"/>
      <c r="KL4" s="59"/>
      <c r="KM4" s="59"/>
      <c r="KN4" s="59"/>
      <c r="KO4" s="59"/>
      <c r="KP4" s="59"/>
      <c r="KQ4" s="59"/>
      <c r="KR4" s="59"/>
      <c r="KS4" s="59"/>
      <c r="KT4" s="59"/>
      <c r="KU4" s="59"/>
      <c r="KV4" s="59"/>
      <c r="KW4" s="59"/>
      <c r="KX4" s="59"/>
      <c r="KY4" s="60"/>
      <c r="KZ4" s="59"/>
      <c r="LA4" s="59"/>
      <c r="LB4" s="59"/>
      <c r="LC4" s="59"/>
      <c r="LD4" s="59"/>
      <c r="LE4" s="59"/>
      <c r="LF4" s="59"/>
      <c r="LG4" s="59"/>
      <c r="LH4" s="59"/>
      <c r="LI4" s="59"/>
      <c r="LJ4" s="59"/>
      <c r="LK4" s="59"/>
      <c r="LL4" s="59"/>
      <c r="LM4" s="59"/>
      <c r="LN4" s="59"/>
      <c r="LO4" s="59"/>
      <c r="LP4" s="59"/>
      <c r="LQ4" s="59"/>
      <c r="LR4" s="59"/>
      <c r="LS4" s="59"/>
      <c r="LT4" s="59"/>
      <c r="LU4" s="59"/>
      <c r="LV4" s="59"/>
      <c r="LW4" s="59"/>
      <c r="LX4" s="59"/>
      <c r="LY4" s="59"/>
      <c r="LZ4" s="59"/>
      <c r="MA4" s="59"/>
      <c r="MB4" s="59"/>
      <c r="MC4" s="60"/>
      <c r="MD4" s="59"/>
      <c r="ME4" s="59"/>
      <c r="MF4" s="59"/>
      <c r="MG4" s="59"/>
      <c r="MH4" s="59"/>
      <c r="MI4" s="59"/>
      <c r="MJ4" s="59"/>
      <c r="MK4" s="59"/>
      <c r="ML4" s="59"/>
      <c r="MM4" s="59"/>
      <c r="MN4" s="59"/>
      <c r="MO4" s="59"/>
      <c r="MP4" s="59"/>
      <c r="MQ4" s="59"/>
      <c r="MR4" s="59"/>
      <c r="MS4" s="59"/>
      <c r="MT4" s="59"/>
      <c r="MU4" s="59"/>
      <c r="MV4" s="59"/>
      <c r="MW4" s="59"/>
      <c r="MX4" s="59"/>
      <c r="MY4" s="59"/>
      <c r="MZ4" s="59"/>
      <c r="NA4" s="59"/>
      <c r="NB4" s="59"/>
      <c r="NC4" s="59"/>
      <c r="ND4" s="59"/>
      <c r="NE4" s="59"/>
      <c r="NF4" s="59"/>
      <c r="NG4" s="59"/>
    </row>
    <row r="5" hidden="1" outlineLevel="1">
      <c r="A5" s="10" t="s">
        <v>98</v>
      </c>
      <c r="B5" s="61">
        <v>46069.0</v>
      </c>
      <c r="C5" s="53"/>
      <c r="D5" s="53"/>
      <c r="E5" s="53"/>
      <c r="F5" s="54"/>
      <c r="G5" s="54"/>
      <c r="H5" s="54"/>
      <c r="I5" s="55"/>
      <c r="J5" s="56"/>
      <c r="K5" s="54"/>
      <c r="L5" s="54"/>
      <c r="M5" s="54"/>
      <c r="N5" s="54"/>
      <c r="O5" s="54"/>
      <c r="P5" s="54"/>
      <c r="Q5" s="54"/>
      <c r="R5" s="12"/>
      <c r="S5" s="13"/>
      <c r="T5" s="13"/>
      <c r="U5" s="12"/>
      <c r="V5" s="12"/>
      <c r="W5" s="12"/>
      <c r="X5" s="12"/>
      <c r="Y5" s="12"/>
      <c r="Z5" s="12"/>
      <c r="AA5" s="12"/>
      <c r="AB5" s="13"/>
      <c r="AC5" s="13"/>
      <c r="AD5" s="57"/>
      <c r="AE5" s="57"/>
      <c r="AF5" s="57"/>
      <c r="AG5" s="57"/>
      <c r="AH5" s="57"/>
      <c r="AI5" s="57"/>
      <c r="AJ5" s="57"/>
      <c r="AK5" s="57"/>
      <c r="AL5" s="58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8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60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60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60"/>
      <c r="FC5" s="59"/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59"/>
      <c r="FP5" s="59"/>
      <c r="FQ5" s="59"/>
      <c r="FR5" s="59"/>
      <c r="FS5" s="59"/>
      <c r="FT5" s="59"/>
      <c r="FU5" s="59"/>
      <c r="FV5" s="59"/>
      <c r="FW5" s="59"/>
      <c r="FX5" s="59"/>
      <c r="FY5" s="59"/>
      <c r="FZ5" s="59"/>
      <c r="GA5" s="59"/>
      <c r="GB5" s="59"/>
      <c r="GC5" s="59"/>
      <c r="GD5" s="59"/>
      <c r="GE5" s="59"/>
      <c r="GF5" s="60"/>
      <c r="GG5" s="59"/>
      <c r="GH5" s="59"/>
      <c r="GI5" s="59"/>
      <c r="GJ5" s="59"/>
      <c r="GK5" s="59"/>
      <c r="GL5" s="59"/>
      <c r="GM5" s="59"/>
      <c r="GN5" s="59"/>
      <c r="GO5" s="59"/>
      <c r="GP5" s="59"/>
      <c r="GQ5" s="59"/>
      <c r="GR5" s="59"/>
      <c r="GS5" s="59"/>
      <c r="GT5" s="59"/>
      <c r="GU5" s="59"/>
      <c r="GV5" s="59"/>
      <c r="GW5" s="59"/>
      <c r="GX5" s="59"/>
      <c r="GY5" s="59"/>
      <c r="GZ5" s="59"/>
      <c r="HA5" s="59"/>
      <c r="HB5" s="59"/>
      <c r="HC5" s="59"/>
      <c r="HD5" s="59"/>
      <c r="HE5" s="59"/>
      <c r="HF5" s="59"/>
      <c r="HG5" s="59"/>
      <c r="HH5" s="59"/>
      <c r="HI5" s="59"/>
      <c r="HJ5" s="59"/>
      <c r="HK5" s="60"/>
      <c r="HL5" s="59"/>
      <c r="HM5" s="59"/>
      <c r="HN5" s="59"/>
      <c r="HO5" s="59"/>
      <c r="HP5" s="59"/>
      <c r="HQ5" s="59"/>
      <c r="HR5" s="59"/>
      <c r="HS5" s="59"/>
      <c r="HT5" s="59"/>
      <c r="HU5" s="59"/>
      <c r="HV5" s="59"/>
      <c r="HW5" s="59"/>
      <c r="HX5" s="59"/>
      <c r="HY5" s="59"/>
      <c r="HZ5" s="59"/>
      <c r="IA5" s="59"/>
      <c r="IB5" s="59"/>
      <c r="IC5" s="59"/>
      <c r="ID5" s="59"/>
      <c r="IE5" s="59"/>
      <c r="IF5" s="59"/>
      <c r="IG5" s="59"/>
      <c r="IH5" s="59"/>
      <c r="II5" s="59"/>
      <c r="IJ5" s="59"/>
      <c r="IK5" s="59"/>
      <c r="IL5" s="59"/>
      <c r="IM5" s="59"/>
      <c r="IN5" s="59"/>
      <c r="IO5" s="59"/>
      <c r="IP5" s="60"/>
      <c r="IQ5" s="59"/>
      <c r="IR5" s="59"/>
      <c r="IS5" s="59"/>
      <c r="IT5" s="59"/>
      <c r="IU5" s="59"/>
      <c r="IV5" s="59"/>
      <c r="IW5" s="59"/>
      <c r="IX5" s="59"/>
      <c r="IY5" s="59"/>
      <c r="IZ5" s="59"/>
      <c r="JA5" s="59"/>
      <c r="JB5" s="59"/>
      <c r="JC5" s="59"/>
      <c r="JD5" s="59"/>
      <c r="JE5" s="59"/>
      <c r="JF5" s="59"/>
      <c r="JG5" s="59"/>
      <c r="JH5" s="59"/>
      <c r="JI5" s="59"/>
      <c r="JJ5" s="59"/>
      <c r="JK5" s="59"/>
      <c r="JL5" s="59"/>
      <c r="JM5" s="59"/>
      <c r="JN5" s="59"/>
      <c r="JO5" s="59"/>
      <c r="JP5" s="59"/>
      <c r="JQ5" s="59"/>
      <c r="JR5" s="59"/>
      <c r="JS5" s="59"/>
      <c r="JT5" s="60"/>
      <c r="JU5" s="59"/>
      <c r="JV5" s="59"/>
      <c r="JW5" s="59"/>
      <c r="JX5" s="59"/>
      <c r="JY5" s="59"/>
      <c r="JZ5" s="59"/>
      <c r="KA5" s="59"/>
      <c r="KB5" s="59"/>
      <c r="KC5" s="59"/>
      <c r="KD5" s="59"/>
      <c r="KE5" s="59"/>
      <c r="KF5" s="59"/>
      <c r="KG5" s="59"/>
      <c r="KH5" s="59"/>
      <c r="KI5" s="59"/>
      <c r="KJ5" s="59"/>
      <c r="KK5" s="59"/>
      <c r="KL5" s="59"/>
      <c r="KM5" s="59"/>
      <c r="KN5" s="59"/>
      <c r="KO5" s="59"/>
      <c r="KP5" s="59"/>
      <c r="KQ5" s="59"/>
      <c r="KR5" s="59"/>
      <c r="KS5" s="59"/>
      <c r="KT5" s="59"/>
      <c r="KU5" s="59"/>
      <c r="KV5" s="59"/>
      <c r="KW5" s="59"/>
      <c r="KX5" s="59"/>
      <c r="KY5" s="60"/>
      <c r="KZ5" s="59"/>
      <c r="LA5" s="59"/>
      <c r="LB5" s="59"/>
      <c r="LC5" s="59"/>
      <c r="LD5" s="59"/>
      <c r="LE5" s="59"/>
      <c r="LF5" s="59"/>
      <c r="LG5" s="59"/>
      <c r="LH5" s="59"/>
      <c r="LI5" s="59"/>
      <c r="LJ5" s="59"/>
      <c r="LK5" s="59"/>
      <c r="LL5" s="59"/>
      <c r="LM5" s="59"/>
      <c r="LN5" s="59"/>
      <c r="LO5" s="59"/>
      <c r="LP5" s="59"/>
      <c r="LQ5" s="59"/>
      <c r="LR5" s="59"/>
      <c r="LS5" s="59"/>
      <c r="LT5" s="59"/>
      <c r="LU5" s="59"/>
      <c r="LV5" s="59"/>
      <c r="LW5" s="59"/>
      <c r="LX5" s="59"/>
      <c r="LY5" s="59"/>
      <c r="LZ5" s="59"/>
      <c r="MA5" s="59"/>
      <c r="MB5" s="59"/>
      <c r="MC5" s="60"/>
      <c r="MD5" s="59"/>
      <c r="ME5" s="59"/>
      <c r="MF5" s="59"/>
      <c r="MG5" s="59"/>
      <c r="MH5" s="59"/>
      <c r="MI5" s="59"/>
      <c r="MJ5" s="59"/>
      <c r="MK5" s="59"/>
      <c r="ML5" s="59"/>
      <c r="MM5" s="59"/>
      <c r="MN5" s="59"/>
      <c r="MO5" s="59"/>
      <c r="MP5" s="59"/>
      <c r="MQ5" s="59"/>
      <c r="MR5" s="59"/>
      <c r="MS5" s="59"/>
      <c r="MT5" s="59"/>
      <c r="MU5" s="59"/>
      <c r="MV5" s="59"/>
      <c r="MW5" s="59"/>
      <c r="MX5" s="59"/>
      <c r="MY5" s="59"/>
      <c r="MZ5" s="59"/>
      <c r="NA5" s="59"/>
      <c r="NB5" s="59"/>
      <c r="NC5" s="59"/>
      <c r="ND5" s="59"/>
      <c r="NE5" s="59"/>
      <c r="NF5" s="59"/>
      <c r="NG5" s="59"/>
    </row>
    <row r="6" hidden="1" outlineLevel="1">
      <c r="A6" s="66"/>
      <c r="B6" s="61">
        <v>46070.0</v>
      </c>
      <c r="C6" s="53"/>
      <c r="D6" s="53"/>
      <c r="E6" s="53"/>
      <c r="F6" s="54"/>
      <c r="G6" s="54"/>
      <c r="H6" s="54"/>
      <c r="I6" s="55"/>
      <c r="J6" s="56"/>
      <c r="K6" s="54"/>
      <c r="L6" s="54"/>
      <c r="M6" s="54"/>
      <c r="N6" s="54"/>
      <c r="O6" s="54"/>
      <c r="P6" s="54"/>
      <c r="Q6" s="54"/>
      <c r="R6" s="12"/>
      <c r="S6" s="13"/>
      <c r="T6" s="13"/>
      <c r="U6" s="12"/>
      <c r="V6" s="12"/>
      <c r="W6" s="12"/>
      <c r="X6" s="12"/>
      <c r="Y6" s="12"/>
      <c r="Z6" s="12"/>
      <c r="AA6" s="12"/>
      <c r="AB6" s="13"/>
      <c r="AC6" s="13"/>
      <c r="AD6" s="57"/>
      <c r="AE6" s="57"/>
      <c r="AF6" s="57"/>
      <c r="AG6" s="57"/>
      <c r="AH6" s="57"/>
      <c r="AI6" s="57"/>
      <c r="AJ6" s="57"/>
      <c r="AK6" s="57"/>
      <c r="AL6" s="58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8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60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60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60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60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60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59"/>
      <c r="IL6" s="59"/>
      <c r="IM6" s="59"/>
      <c r="IN6" s="59"/>
      <c r="IO6" s="59"/>
      <c r="IP6" s="60"/>
      <c r="IQ6" s="59"/>
      <c r="IR6" s="59"/>
      <c r="IS6" s="59"/>
      <c r="IT6" s="59"/>
      <c r="IU6" s="59"/>
      <c r="IV6" s="59"/>
      <c r="IW6" s="59"/>
      <c r="IX6" s="59"/>
      <c r="IY6" s="59"/>
      <c r="IZ6" s="59"/>
      <c r="JA6" s="59"/>
      <c r="JB6" s="59"/>
      <c r="JC6" s="59"/>
      <c r="JD6" s="59"/>
      <c r="JE6" s="59"/>
      <c r="JF6" s="59"/>
      <c r="JG6" s="59"/>
      <c r="JH6" s="59"/>
      <c r="JI6" s="59"/>
      <c r="JJ6" s="59"/>
      <c r="JK6" s="59"/>
      <c r="JL6" s="59"/>
      <c r="JM6" s="59"/>
      <c r="JN6" s="59"/>
      <c r="JO6" s="59"/>
      <c r="JP6" s="59"/>
      <c r="JQ6" s="59"/>
      <c r="JR6" s="59"/>
      <c r="JS6" s="59"/>
      <c r="JT6" s="60"/>
      <c r="JU6" s="59"/>
      <c r="JV6" s="59"/>
      <c r="JW6" s="59"/>
      <c r="JX6" s="59"/>
      <c r="JY6" s="59"/>
      <c r="JZ6" s="59"/>
      <c r="KA6" s="59"/>
      <c r="KB6" s="59"/>
      <c r="KC6" s="59"/>
      <c r="KD6" s="59"/>
      <c r="KE6" s="59"/>
      <c r="KF6" s="59"/>
      <c r="KG6" s="59"/>
      <c r="KH6" s="59"/>
      <c r="KI6" s="59"/>
      <c r="KJ6" s="59"/>
      <c r="KK6" s="59"/>
      <c r="KL6" s="59"/>
      <c r="KM6" s="59"/>
      <c r="KN6" s="59"/>
      <c r="KO6" s="59"/>
      <c r="KP6" s="59"/>
      <c r="KQ6" s="59"/>
      <c r="KR6" s="59"/>
      <c r="KS6" s="59"/>
      <c r="KT6" s="59"/>
      <c r="KU6" s="59"/>
      <c r="KV6" s="59"/>
      <c r="KW6" s="59"/>
      <c r="KX6" s="59"/>
      <c r="KY6" s="60"/>
      <c r="KZ6" s="59"/>
      <c r="LA6" s="59"/>
      <c r="LB6" s="59"/>
      <c r="LC6" s="59"/>
      <c r="LD6" s="59"/>
      <c r="LE6" s="59"/>
      <c r="LF6" s="59"/>
      <c r="LG6" s="59"/>
      <c r="LH6" s="59"/>
      <c r="LI6" s="59"/>
      <c r="LJ6" s="59"/>
      <c r="LK6" s="59"/>
      <c r="LL6" s="59"/>
      <c r="LM6" s="59"/>
      <c r="LN6" s="59"/>
      <c r="LO6" s="59"/>
      <c r="LP6" s="59"/>
      <c r="LQ6" s="59"/>
      <c r="LR6" s="59"/>
      <c r="LS6" s="59"/>
      <c r="LT6" s="59"/>
      <c r="LU6" s="59"/>
      <c r="LV6" s="59"/>
      <c r="LW6" s="59"/>
      <c r="LX6" s="59"/>
      <c r="LY6" s="59"/>
      <c r="LZ6" s="59"/>
      <c r="MA6" s="59"/>
      <c r="MB6" s="59"/>
      <c r="MC6" s="60"/>
      <c r="MD6" s="59"/>
      <c r="ME6" s="59"/>
      <c r="MF6" s="59"/>
      <c r="MG6" s="59"/>
      <c r="MH6" s="59"/>
      <c r="MI6" s="59"/>
      <c r="MJ6" s="59"/>
      <c r="MK6" s="59"/>
      <c r="ML6" s="59"/>
      <c r="MM6" s="59"/>
      <c r="MN6" s="59"/>
      <c r="MO6" s="59"/>
      <c r="MP6" s="59"/>
      <c r="MQ6" s="59"/>
      <c r="MR6" s="59"/>
      <c r="MS6" s="59"/>
      <c r="MT6" s="59"/>
      <c r="MU6" s="59"/>
      <c r="MV6" s="59"/>
      <c r="MW6" s="59"/>
      <c r="MX6" s="59"/>
      <c r="MY6" s="59"/>
      <c r="MZ6" s="59"/>
      <c r="NA6" s="59"/>
      <c r="NB6" s="59"/>
      <c r="NC6" s="59"/>
      <c r="ND6" s="59"/>
      <c r="NE6" s="59"/>
      <c r="NF6" s="59"/>
      <c r="NG6" s="59"/>
    </row>
    <row r="7" hidden="1" outlineLevel="1">
      <c r="A7" s="66"/>
      <c r="B7" s="61">
        <v>46071.0</v>
      </c>
      <c r="C7" s="53"/>
      <c r="D7" s="53"/>
      <c r="E7" s="53"/>
      <c r="F7" s="54"/>
      <c r="G7" s="54"/>
      <c r="H7" s="54"/>
      <c r="I7" s="55"/>
      <c r="J7" s="56"/>
      <c r="K7" s="54"/>
      <c r="L7" s="54"/>
      <c r="M7" s="54"/>
      <c r="N7" s="54"/>
      <c r="O7" s="54"/>
      <c r="P7" s="54"/>
      <c r="Q7" s="54"/>
      <c r="R7" s="12"/>
      <c r="S7" s="13"/>
      <c r="T7" s="13"/>
      <c r="U7" s="12"/>
      <c r="V7" s="12"/>
      <c r="W7" s="12"/>
      <c r="X7" s="12"/>
      <c r="Y7" s="12"/>
      <c r="Z7" s="12"/>
      <c r="AA7" s="12"/>
      <c r="AB7" s="13"/>
      <c r="AC7" s="13"/>
      <c r="AD7" s="57"/>
      <c r="AE7" s="57"/>
      <c r="AF7" s="57"/>
      <c r="AG7" s="57"/>
      <c r="AH7" s="57"/>
      <c r="AI7" s="57"/>
      <c r="AJ7" s="57"/>
      <c r="AK7" s="57"/>
      <c r="AL7" s="58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8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60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60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60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60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60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60"/>
      <c r="IQ7" s="59"/>
      <c r="IR7" s="59"/>
      <c r="IS7" s="59"/>
      <c r="IT7" s="59"/>
      <c r="IU7" s="59"/>
      <c r="IV7" s="59"/>
      <c r="IW7" s="59"/>
      <c r="IX7" s="59"/>
      <c r="IY7" s="59"/>
      <c r="IZ7" s="59"/>
      <c r="JA7" s="59"/>
      <c r="JB7" s="59"/>
      <c r="JC7" s="59"/>
      <c r="JD7" s="59"/>
      <c r="JE7" s="59"/>
      <c r="JF7" s="59"/>
      <c r="JG7" s="59"/>
      <c r="JH7" s="59"/>
      <c r="JI7" s="59"/>
      <c r="JJ7" s="59"/>
      <c r="JK7" s="59"/>
      <c r="JL7" s="59"/>
      <c r="JM7" s="59"/>
      <c r="JN7" s="59"/>
      <c r="JO7" s="59"/>
      <c r="JP7" s="59"/>
      <c r="JQ7" s="59"/>
      <c r="JR7" s="59"/>
      <c r="JS7" s="59"/>
      <c r="JT7" s="60"/>
      <c r="JU7" s="59"/>
      <c r="JV7" s="59"/>
      <c r="JW7" s="59"/>
      <c r="JX7" s="59"/>
      <c r="JY7" s="59"/>
      <c r="JZ7" s="59"/>
      <c r="KA7" s="59"/>
      <c r="KB7" s="59"/>
      <c r="KC7" s="59"/>
      <c r="KD7" s="59"/>
      <c r="KE7" s="59"/>
      <c r="KF7" s="59"/>
      <c r="KG7" s="59"/>
      <c r="KH7" s="59"/>
      <c r="KI7" s="59"/>
      <c r="KJ7" s="59"/>
      <c r="KK7" s="59"/>
      <c r="KL7" s="59"/>
      <c r="KM7" s="59"/>
      <c r="KN7" s="59"/>
      <c r="KO7" s="59"/>
      <c r="KP7" s="59"/>
      <c r="KQ7" s="59"/>
      <c r="KR7" s="59"/>
      <c r="KS7" s="59"/>
      <c r="KT7" s="59"/>
      <c r="KU7" s="59"/>
      <c r="KV7" s="59"/>
      <c r="KW7" s="59"/>
      <c r="KX7" s="59"/>
      <c r="KY7" s="60"/>
      <c r="KZ7" s="59"/>
      <c r="LA7" s="59"/>
      <c r="LB7" s="59"/>
      <c r="LC7" s="59"/>
      <c r="LD7" s="59"/>
      <c r="LE7" s="59"/>
      <c r="LF7" s="59"/>
      <c r="LG7" s="59"/>
      <c r="LH7" s="59"/>
      <c r="LI7" s="59"/>
      <c r="LJ7" s="59"/>
      <c r="LK7" s="59"/>
      <c r="LL7" s="59"/>
      <c r="LM7" s="59"/>
      <c r="LN7" s="59"/>
      <c r="LO7" s="59"/>
      <c r="LP7" s="59"/>
      <c r="LQ7" s="59"/>
      <c r="LR7" s="59"/>
      <c r="LS7" s="59"/>
      <c r="LT7" s="59"/>
      <c r="LU7" s="59"/>
      <c r="LV7" s="59"/>
      <c r="LW7" s="59"/>
      <c r="LX7" s="59"/>
      <c r="LY7" s="59"/>
      <c r="LZ7" s="59"/>
      <c r="MA7" s="59"/>
      <c r="MB7" s="59"/>
      <c r="MC7" s="60"/>
      <c r="MD7" s="59"/>
      <c r="ME7" s="59"/>
      <c r="MF7" s="59"/>
      <c r="MG7" s="59"/>
      <c r="MH7" s="59"/>
      <c r="MI7" s="59"/>
      <c r="MJ7" s="59"/>
      <c r="MK7" s="59"/>
      <c r="ML7" s="59"/>
      <c r="MM7" s="59"/>
      <c r="MN7" s="59"/>
      <c r="MO7" s="59"/>
      <c r="MP7" s="59"/>
      <c r="MQ7" s="59"/>
      <c r="MR7" s="59"/>
      <c r="MS7" s="59"/>
      <c r="MT7" s="59"/>
      <c r="MU7" s="59"/>
      <c r="MV7" s="59"/>
      <c r="MW7" s="59"/>
      <c r="MX7" s="59"/>
      <c r="MY7" s="59"/>
      <c r="MZ7" s="59"/>
      <c r="NA7" s="59"/>
      <c r="NB7" s="59"/>
      <c r="NC7" s="59"/>
      <c r="ND7" s="59"/>
      <c r="NE7" s="59"/>
      <c r="NF7" s="59"/>
      <c r="NG7" s="59"/>
    </row>
    <row r="8" hidden="1" outlineLevel="1">
      <c r="A8" s="10" t="s">
        <v>99</v>
      </c>
      <c r="B8" s="61">
        <v>46082.0</v>
      </c>
      <c r="C8" s="53"/>
      <c r="D8" s="53"/>
      <c r="E8" s="53"/>
      <c r="F8" s="54"/>
      <c r="G8" s="54"/>
      <c r="H8" s="54"/>
      <c r="I8" s="55"/>
      <c r="J8" s="56"/>
      <c r="K8" s="54"/>
      <c r="L8" s="54"/>
      <c r="M8" s="54"/>
      <c r="N8" s="54"/>
      <c r="O8" s="54"/>
      <c r="P8" s="54"/>
      <c r="Q8" s="54"/>
      <c r="R8" s="12"/>
      <c r="S8" s="13"/>
      <c r="T8" s="13"/>
      <c r="U8" s="12"/>
      <c r="V8" s="12"/>
      <c r="W8" s="12"/>
      <c r="X8" s="12"/>
      <c r="Y8" s="12"/>
      <c r="Z8" s="12"/>
      <c r="AA8" s="12"/>
      <c r="AB8" s="13"/>
      <c r="AC8" s="13"/>
      <c r="AD8" s="57"/>
      <c r="AE8" s="57"/>
      <c r="AF8" s="57"/>
      <c r="AG8" s="57"/>
      <c r="AH8" s="57"/>
      <c r="AI8" s="57"/>
      <c r="AJ8" s="57"/>
      <c r="AK8" s="57"/>
      <c r="AL8" s="58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8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60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60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60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60"/>
      <c r="GG8" s="59"/>
      <c r="GH8" s="59"/>
      <c r="GI8" s="59"/>
      <c r="GJ8" s="59"/>
      <c r="GK8" s="59"/>
      <c r="GL8" s="59"/>
      <c r="GM8" s="59"/>
      <c r="GN8" s="59"/>
      <c r="GO8" s="59"/>
      <c r="GP8" s="59"/>
      <c r="GQ8" s="59"/>
      <c r="GR8" s="59"/>
      <c r="GS8" s="59"/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59"/>
      <c r="HF8" s="59"/>
      <c r="HG8" s="59"/>
      <c r="HH8" s="59"/>
      <c r="HI8" s="59"/>
      <c r="HJ8" s="59"/>
      <c r="HK8" s="60"/>
      <c r="HL8" s="59"/>
      <c r="HM8" s="59"/>
      <c r="HN8" s="59"/>
      <c r="HO8" s="59"/>
      <c r="HP8" s="59"/>
      <c r="HQ8" s="59"/>
      <c r="HR8" s="59"/>
      <c r="HS8" s="59"/>
      <c r="HT8" s="59"/>
      <c r="HU8" s="59"/>
      <c r="HV8" s="59"/>
      <c r="HW8" s="59"/>
      <c r="HX8" s="59"/>
      <c r="HY8" s="59"/>
      <c r="HZ8" s="59"/>
      <c r="IA8" s="59"/>
      <c r="IB8" s="59"/>
      <c r="IC8" s="59"/>
      <c r="ID8" s="59"/>
      <c r="IE8" s="59"/>
      <c r="IF8" s="59"/>
      <c r="IG8" s="59"/>
      <c r="IH8" s="59"/>
      <c r="II8" s="59"/>
      <c r="IJ8" s="59"/>
      <c r="IK8" s="59"/>
      <c r="IL8" s="59"/>
      <c r="IM8" s="59"/>
      <c r="IN8" s="59"/>
      <c r="IO8" s="59"/>
      <c r="IP8" s="60"/>
      <c r="IQ8" s="59"/>
      <c r="IR8" s="59"/>
      <c r="IS8" s="59"/>
      <c r="IT8" s="59"/>
      <c r="IU8" s="59"/>
      <c r="IV8" s="59"/>
      <c r="IW8" s="59"/>
      <c r="IX8" s="59"/>
      <c r="IY8" s="59"/>
      <c r="IZ8" s="59"/>
      <c r="JA8" s="59"/>
      <c r="JB8" s="59"/>
      <c r="JC8" s="59"/>
      <c r="JD8" s="59"/>
      <c r="JE8" s="59"/>
      <c r="JF8" s="59"/>
      <c r="JG8" s="59"/>
      <c r="JH8" s="59"/>
      <c r="JI8" s="59"/>
      <c r="JJ8" s="59"/>
      <c r="JK8" s="59"/>
      <c r="JL8" s="59"/>
      <c r="JM8" s="59"/>
      <c r="JN8" s="59"/>
      <c r="JO8" s="59"/>
      <c r="JP8" s="59"/>
      <c r="JQ8" s="59"/>
      <c r="JR8" s="59"/>
      <c r="JS8" s="59"/>
      <c r="JT8" s="60"/>
      <c r="JU8" s="59"/>
      <c r="JV8" s="59"/>
      <c r="JW8" s="59"/>
      <c r="JX8" s="59"/>
      <c r="JY8" s="59"/>
      <c r="JZ8" s="59"/>
      <c r="KA8" s="59"/>
      <c r="KB8" s="59"/>
      <c r="KC8" s="59"/>
      <c r="KD8" s="59"/>
      <c r="KE8" s="59"/>
      <c r="KF8" s="59"/>
      <c r="KG8" s="59"/>
      <c r="KH8" s="59"/>
      <c r="KI8" s="59"/>
      <c r="KJ8" s="59"/>
      <c r="KK8" s="59"/>
      <c r="KL8" s="59"/>
      <c r="KM8" s="59"/>
      <c r="KN8" s="59"/>
      <c r="KO8" s="59"/>
      <c r="KP8" s="59"/>
      <c r="KQ8" s="59"/>
      <c r="KR8" s="59"/>
      <c r="KS8" s="59"/>
      <c r="KT8" s="59"/>
      <c r="KU8" s="59"/>
      <c r="KV8" s="59"/>
      <c r="KW8" s="59"/>
      <c r="KX8" s="59"/>
      <c r="KY8" s="60"/>
      <c r="KZ8" s="59"/>
      <c r="LA8" s="59"/>
      <c r="LB8" s="59"/>
      <c r="LC8" s="59"/>
      <c r="LD8" s="59"/>
      <c r="LE8" s="59"/>
      <c r="LF8" s="59"/>
      <c r="LG8" s="59"/>
      <c r="LH8" s="59"/>
      <c r="LI8" s="59"/>
      <c r="LJ8" s="59"/>
      <c r="LK8" s="59"/>
      <c r="LL8" s="59"/>
      <c r="LM8" s="59"/>
      <c r="LN8" s="59"/>
      <c r="LO8" s="59"/>
      <c r="LP8" s="59"/>
      <c r="LQ8" s="59"/>
      <c r="LR8" s="59"/>
      <c r="LS8" s="59"/>
      <c r="LT8" s="59"/>
      <c r="LU8" s="59"/>
      <c r="LV8" s="59"/>
      <c r="LW8" s="59"/>
      <c r="LX8" s="59"/>
      <c r="LY8" s="59"/>
      <c r="LZ8" s="59"/>
      <c r="MA8" s="59"/>
      <c r="MB8" s="59"/>
      <c r="MC8" s="60"/>
      <c r="MD8" s="59"/>
      <c r="ME8" s="59"/>
      <c r="MF8" s="59"/>
      <c r="MG8" s="59"/>
      <c r="MH8" s="59"/>
      <c r="MI8" s="59"/>
      <c r="MJ8" s="59"/>
      <c r="MK8" s="59"/>
      <c r="ML8" s="59"/>
      <c r="MM8" s="59"/>
      <c r="MN8" s="59"/>
      <c r="MO8" s="59"/>
      <c r="MP8" s="59"/>
      <c r="MQ8" s="59"/>
      <c r="MR8" s="59"/>
      <c r="MS8" s="59"/>
      <c r="MT8" s="59"/>
      <c r="MU8" s="59"/>
      <c r="MV8" s="59"/>
      <c r="MW8" s="59"/>
      <c r="MX8" s="59"/>
      <c r="MY8" s="59"/>
      <c r="MZ8" s="59"/>
      <c r="NA8" s="59"/>
      <c r="NB8" s="59"/>
      <c r="NC8" s="59"/>
      <c r="ND8" s="59"/>
      <c r="NE8" s="59"/>
      <c r="NF8" s="59"/>
      <c r="NG8" s="59"/>
    </row>
    <row r="9" hidden="1" outlineLevel="1">
      <c r="A9" s="66"/>
      <c r="B9" s="61">
        <v>46083.0</v>
      </c>
      <c r="C9" s="53"/>
      <c r="D9" s="53"/>
      <c r="E9" s="53"/>
      <c r="F9" s="54"/>
      <c r="G9" s="54"/>
      <c r="H9" s="54"/>
      <c r="I9" s="55"/>
      <c r="J9" s="56"/>
      <c r="K9" s="54"/>
      <c r="L9" s="54"/>
      <c r="M9" s="54"/>
      <c r="N9" s="54"/>
      <c r="O9" s="54"/>
      <c r="P9" s="54"/>
      <c r="Q9" s="54"/>
      <c r="R9" s="12"/>
      <c r="S9" s="13"/>
      <c r="T9" s="13"/>
      <c r="U9" s="12"/>
      <c r="V9" s="12"/>
      <c r="W9" s="12"/>
      <c r="X9" s="12"/>
      <c r="Y9" s="12"/>
      <c r="Z9" s="12"/>
      <c r="AA9" s="12"/>
      <c r="AB9" s="13"/>
      <c r="AC9" s="13"/>
      <c r="AD9" s="57"/>
      <c r="AE9" s="57"/>
      <c r="AF9" s="57"/>
      <c r="AG9" s="57"/>
      <c r="AH9" s="57"/>
      <c r="AI9" s="57"/>
      <c r="AJ9" s="57"/>
      <c r="AK9" s="57"/>
      <c r="AL9" s="58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8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60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60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60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60"/>
      <c r="GG9" s="59"/>
      <c r="GH9" s="59"/>
      <c r="GI9" s="59"/>
      <c r="GJ9" s="59"/>
      <c r="GK9" s="59"/>
      <c r="GL9" s="59"/>
      <c r="GM9" s="59"/>
      <c r="GN9" s="59"/>
      <c r="GO9" s="59"/>
      <c r="GP9" s="59"/>
      <c r="GQ9" s="59"/>
      <c r="GR9" s="59"/>
      <c r="GS9" s="59"/>
      <c r="GT9" s="59"/>
      <c r="GU9" s="59"/>
      <c r="GV9" s="59"/>
      <c r="GW9" s="59"/>
      <c r="GX9" s="59"/>
      <c r="GY9" s="59"/>
      <c r="GZ9" s="59"/>
      <c r="HA9" s="59"/>
      <c r="HB9" s="59"/>
      <c r="HC9" s="59"/>
      <c r="HD9" s="59"/>
      <c r="HE9" s="59"/>
      <c r="HF9" s="59"/>
      <c r="HG9" s="59"/>
      <c r="HH9" s="59"/>
      <c r="HI9" s="59"/>
      <c r="HJ9" s="59"/>
      <c r="HK9" s="60"/>
      <c r="HL9" s="59"/>
      <c r="HM9" s="59"/>
      <c r="HN9" s="59"/>
      <c r="HO9" s="59"/>
      <c r="HP9" s="59"/>
      <c r="HQ9" s="59"/>
      <c r="HR9" s="59"/>
      <c r="HS9" s="59"/>
      <c r="HT9" s="59"/>
      <c r="HU9" s="59"/>
      <c r="HV9" s="59"/>
      <c r="HW9" s="59"/>
      <c r="HX9" s="59"/>
      <c r="HY9" s="59"/>
      <c r="HZ9" s="59"/>
      <c r="IA9" s="59"/>
      <c r="IB9" s="59"/>
      <c r="IC9" s="59"/>
      <c r="ID9" s="59"/>
      <c r="IE9" s="59"/>
      <c r="IF9" s="59"/>
      <c r="IG9" s="59"/>
      <c r="IH9" s="59"/>
      <c r="II9" s="59"/>
      <c r="IJ9" s="59"/>
      <c r="IK9" s="59"/>
      <c r="IL9" s="59"/>
      <c r="IM9" s="59"/>
      <c r="IN9" s="59"/>
      <c r="IO9" s="59"/>
      <c r="IP9" s="60"/>
      <c r="IQ9" s="59"/>
      <c r="IR9" s="59"/>
      <c r="IS9" s="59"/>
      <c r="IT9" s="59"/>
      <c r="IU9" s="59"/>
      <c r="IV9" s="59"/>
      <c r="IW9" s="59"/>
      <c r="IX9" s="59"/>
      <c r="IY9" s="59"/>
      <c r="IZ9" s="59"/>
      <c r="JA9" s="59"/>
      <c r="JB9" s="59"/>
      <c r="JC9" s="59"/>
      <c r="JD9" s="59"/>
      <c r="JE9" s="59"/>
      <c r="JF9" s="59"/>
      <c r="JG9" s="59"/>
      <c r="JH9" s="59"/>
      <c r="JI9" s="59"/>
      <c r="JJ9" s="59"/>
      <c r="JK9" s="59"/>
      <c r="JL9" s="59"/>
      <c r="JM9" s="59"/>
      <c r="JN9" s="59"/>
      <c r="JO9" s="59"/>
      <c r="JP9" s="59"/>
      <c r="JQ9" s="59"/>
      <c r="JR9" s="59"/>
      <c r="JS9" s="59"/>
      <c r="JT9" s="60"/>
      <c r="JU9" s="59"/>
      <c r="JV9" s="59"/>
      <c r="JW9" s="59"/>
      <c r="JX9" s="59"/>
      <c r="JY9" s="59"/>
      <c r="JZ9" s="59"/>
      <c r="KA9" s="59"/>
      <c r="KB9" s="59"/>
      <c r="KC9" s="59"/>
      <c r="KD9" s="59"/>
      <c r="KE9" s="59"/>
      <c r="KF9" s="59"/>
      <c r="KG9" s="59"/>
      <c r="KH9" s="59"/>
      <c r="KI9" s="59"/>
      <c r="KJ9" s="59"/>
      <c r="KK9" s="59"/>
      <c r="KL9" s="59"/>
      <c r="KM9" s="59"/>
      <c r="KN9" s="59"/>
      <c r="KO9" s="59"/>
      <c r="KP9" s="59"/>
      <c r="KQ9" s="59"/>
      <c r="KR9" s="59"/>
      <c r="KS9" s="59"/>
      <c r="KT9" s="59"/>
      <c r="KU9" s="59"/>
      <c r="KV9" s="59"/>
      <c r="KW9" s="59"/>
      <c r="KX9" s="59"/>
      <c r="KY9" s="60"/>
      <c r="KZ9" s="59"/>
      <c r="LA9" s="59"/>
      <c r="LB9" s="59"/>
      <c r="LC9" s="59"/>
      <c r="LD9" s="59"/>
      <c r="LE9" s="59"/>
      <c r="LF9" s="59"/>
      <c r="LG9" s="59"/>
      <c r="LH9" s="59"/>
      <c r="LI9" s="59"/>
      <c r="LJ9" s="59"/>
      <c r="LK9" s="59"/>
      <c r="LL9" s="59"/>
      <c r="LM9" s="59"/>
      <c r="LN9" s="59"/>
      <c r="LO9" s="59"/>
      <c r="LP9" s="59"/>
      <c r="LQ9" s="59"/>
      <c r="LR9" s="59"/>
      <c r="LS9" s="59"/>
      <c r="LT9" s="59"/>
      <c r="LU9" s="59"/>
      <c r="LV9" s="59"/>
      <c r="LW9" s="59"/>
      <c r="LX9" s="59"/>
      <c r="LY9" s="59"/>
      <c r="LZ9" s="59"/>
      <c r="MA9" s="59"/>
      <c r="MB9" s="59"/>
      <c r="MC9" s="60"/>
      <c r="MD9" s="59"/>
      <c r="ME9" s="59"/>
      <c r="MF9" s="59"/>
      <c r="MG9" s="59"/>
      <c r="MH9" s="59"/>
      <c r="MI9" s="59"/>
      <c r="MJ9" s="59"/>
      <c r="MK9" s="59"/>
      <c r="ML9" s="59"/>
      <c r="MM9" s="59"/>
      <c r="MN9" s="59"/>
      <c r="MO9" s="59"/>
      <c r="MP9" s="59"/>
      <c r="MQ9" s="59"/>
      <c r="MR9" s="59"/>
      <c r="MS9" s="59"/>
      <c r="MT9" s="59"/>
      <c r="MU9" s="59"/>
      <c r="MV9" s="59"/>
      <c r="MW9" s="59"/>
      <c r="MX9" s="59"/>
      <c r="MY9" s="59"/>
      <c r="MZ9" s="59"/>
      <c r="NA9" s="59"/>
      <c r="NB9" s="59"/>
      <c r="NC9" s="59"/>
      <c r="ND9" s="59"/>
      <c r="NE9" s="59"/>
      <c r="NF9" s="59"/>
      <c r="NG9" s="59"/>
    </row>
    <row r="10" hidden="1" outlineLevel="1">
      <c r="A10" s="10" t="s">
        <v>100</v>
      </c>
      <c r="B10" s="61">
        <v>46122.0</v>
      </c>
      <c r="C10" s="53"/>
      <c r="D10" s="53"/>
      <c r="E10" s="53"/>
      <c r="F10" s="54"/>
      <c r="G10" s="54"/>
      <c r="H10" s="54"/>
      <c r="I10" s="55"/>
      <c r="J10" s="56"/>
      <c r="K10" s="54"/>
      <c r="L10" s="54"/>
      <c r="M10" s="54"/>
      <c r="N10" s="54"/>
      <c r="O10" s="54"/>
      <c r="P10" s="54"/>
      <c r="Q10" s="54"/>
      <c r="R10" s="12"/>
      <c r="S10" s="13"/>
      <c r="T10" s="13"/>
      <c r="U10" s="12"/>
      <c r="V10" s="12"/>
      <c r="W10" s="12"/>
      <c r="X10" s="12"/>
      <c r="Y10" s="12"/>
      <c r="Z10" s="12"/>
      <c r="AA10" s="12"/>
      <c r="AB10" s="13"/>
      <c r="AC10" s="13"/>
      <c r="AD10" s="57"/>
      <c r="AE10" s="57"/>
      <c r="AF10" s="57"/>
      <c r="AG10" s="57"/>
      <c r="AH10" s="57"/>
      <c r="AI10" s="57"/>
      <c r="AJ10" s="57"/>
      <c r="AK10" s="57"/>
      <c r="AL10" s="58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8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60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60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60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60"/>
      <c r="GG10" s="59"/>
      <c r="GH10" s="59"/>
      <c r="GI10" s="59"/>
      <c r="GJ10" s="59"/>
      <c r="GK10" s="59"/>
      <c r="GL10" s="59"/>
      <c r="GM10" s="59"/>
      <c r="GN10" s="59"/>
      <c r="GO10" s="59"/>
      <c r="GP10" s="59"/>
      <c r="GQ10" s="59"/>
      <c r="GR10" s="59"/>
      <c r="GS10" s="59"/>
      <c r="GT10" s="59"/>
      <c r="GU10" s="59"/>
      <c r="GV10" s="59"/>
      <c r="GW10" s="59"/>
      <c r="GX10" s="59"/>
      <c r="GY10" s="59"/>
      <c r="GZ10" s="59"/>
      <c r="HA10" s="59"/>
      <c r="HB10" s="59"/>
      <c r="HC10" s="59"/>
      <c r="HD10" s="59"/>
      <c r="HE10" s="59"/>
      <c r="HF10" s="59"/>
      <c r="HG10" s="59"/>
      <c r="HH10" s="59"/>
      <c r="HI10" s="59"/>
      <c r="HJ10" s="59"/>
      <c r="HK10" s="60"/>
      <c r="HL10" s="59"/>
      <c r="HM10" s="59"/>
      <c r="HN10" s="59"/>
      <c r="HO10" s="59"/>
      <c r="HP10" s="59"/>
      <c r="HQ10" s="59"/>
      <c r="HR10" s="59"/>
      <c r="HS10" s="59"/>
      <c r="HT10" s="59"/>
      <c r="HU10" s="59"/>
      <c r="HV10" s="59"/>
      <c r="HW10" s="59"/>
      <c r="HX10" s="59"/>
      <c r="HY10" s="59"/>
      <c r="HZ10" s="59"/>
      <c r="IA10" s="59"/>
      <c r="IB10" s="59"/>
      <c r="IC10" s="59"/>
      <c r="ID10" s="59"/>
      <c r="IE10" s="59"/>
      <c r="IF10" s="59"/>
      <c r="IG10" s="59"/>
      <c r="IH10" s="59"/>
      <c r="II10" s="59"/>
      <c r="IJ10" s="59"/>
      <c r="IK10" s="59"/>
      <c r="IL10" s="59"/>
      <c r="IM10" s="59"/>
      <c r="IN10" s="59"/>
      <c r="IO10" s="59"/>
      <c r="IP10" s="60"/>
      <c r="IQ10" s="59"/>
      <c r="IR10" s="59"/>
      <c r="IS10" s="59"/>
      <c r="IT10" s="59"/>
      <c r="IU10" s="59"/>
      <c r="IV10" s="59"/>
      <c r="IW10" s="59"/>
      <c r="IX10" s="59"/>
      <c r="IY10" s="59"/>
      <c r="IZ10" s="59"/>
      <c r="JA10" s="59"/>
      <c r="JB10" s="59"/>
      <c r="JC10" s="59"/>
      <c r="JD10" s="59"/>
      <c r="JE10" s="59"/>
      <c r="JF10" s="59"/>
      <c r="JG10" s="59"/>
      <c r="JH10" s="59"/>
      <c r="JI10" s="59"/>
      <c r="JJ10" s="59"/>
      <c r="JK10" s="59"/>
      <c r="JL10" s="59"/>
      <c r="JM10" s="59"/>
      <c r="JN10" s="59"/>
      <c r="JO10" s="59"/>
      <c r="JP10" s="59"/>
      <c r="JQ10" s="59"/>
      <c r="JR10" s="59"/>
      <c r="JS10" s="59"/>
      <c r="JT10" s="60"/>
      <c r="JU10" s="59"/>
      <c r="JV10" s="59"/>
      <c r="JW10" s="59"/>
      <c r="JX10" s="59"/>
      <c r="JY10" s="59"/>
      <c r="JZ10" s="59"/>
      <c r="KA10" s="59"/>
      <c r="KB10" s="59"/>
      <c r="KC10" s="59"/>
      <c r="KD10" s="59"/>
      <c r="KE10" s="59"/>
      <c r="KF10" s="59"/>
      <c r="KG10" s="59"/>
      <c r="KH10" s="59"/>
      <c r="KI10" s="59"/>
      <c r="KJ10" s="59"/>
      <c r="KK10" s="59"/>
      <c r="KL10" s="59"/>
      <c r="KM10" s="59"/>
      <c r="KN10" s="59"/>
      <c r="KO10" s="59"/>
      <c r="KP10" s="59"/>
      <c r="KQ10" s="59"/>
      <c r="KR10" s="59"/>
      <c r="KS10" s="59"/>
      <c r="KT10" s="59"/>
      <c r="KU10" s="59"/>
      <c r="KV10" s="59"/>
      <c r="KW10" s="59"/>
      <c r="KX10" s="59"/>
      <c r="KY10" s="60"/>
      <c r="KZ10" s="59"/>
      <c r="LA10" s="59"/>
      <c r="LB10" s="59"/>
      <c r="LC10" s="59"/>
      <c r="LD10" s="59"/>
      <c r="LE10" s="59"/>
      <c r="LF10" s="59"/>
      <c r="LG10" s="59"/>
      <c r="LH10" s="59"/>
      <c r="LI10" s="59"/>
      <c r="LJ10" s="59"/>
      <c r="LK10" s="59"/>
      <c r="LL10" s="59"/>
      <c r="LM10" s="59"/>
      <c r="LN10" s="59"/>
      <c r="LO10" s="59"/>
      <c r="LP10" s="59"/>
      <c r="LQ10" s="59"/>
      <c r="LR10" s="59"/>
      <c r="LS10" s="59"/>
      <c r="LT10" s="59"/>
      <c r="LU10" s="59"/>
      <c r="LV10" s="59"/>
      <c r="LW10" s="59"/>
      <c r="LX10" s="59"/>
      <c r="LY10" s="59"/>
      <c r="LZ10" s="59"/>
      <c r="MA10" s="59"/>
      <c r="MB10" s="59"/>
      <c r="MC10" s="60"/>
      <c r="MD10" s="59"/>
      <c r="ME10" s="59"/>
      <c r="MF10" s="59"/>
      <c r="MG10" s="59"/>
      <c r="MH10" s="59"/>
      <c r="MI10" s="59"/>
      <c r="MJ10" s="59"/>
      <c r="MK10" s="59"/>
      <c r="ML10" s="59"/>
      <c r="MM10" s="59"/>
      <c r="MN10" s="59"/>
      <c r="MO10" s="59"/>
      <c r="MP10" s="59"/>
      <c r="MQ10" s="59"/>
      <c r="MR10" s="59"/>
      <c r="MS10" s="59"/>
      <c r="MT10" s="59"/>
      <c r="MU10" s="59"/>
      <c r="MV10" s="59"/>
      <c r="MW10" s="59"/>
      <c r="MX10" s="59"/>
      <c r="MY10" s="59"/>
      <c r="MZ10" s="59"/>
      <c r="NA10" s="59"/>
      <c r="NB10" s="59"/>
      <c r="NC10" s="59"/>
      <c r="ND10" s="59"/>
      <c r="NE10" s="59"/>
      <c r="NF10" s="59"/>
      <c r="NG10" s="59"/>
    </row>
    <row r="11" hidden="1" outlineLevel="1">
      <c r="A11" s="10" t="s">
        <v>101</v>
      </c>
      <c r="B11" s="61">
        <v>46143.0</v>
      </c>
      <c r="C11" s="53"/>
      <c r="D11" s="53"/>
      <c r="E11" s="53"/>
      <c r="F11" s="54"/>
      <c r="G11" s="54"/>
      <c r="H11" s="54"/>
      <c r="I11" s="55"/>
      <c r="J11" s="56"/>
      <c r="K11" s="54"/>
      <c r="L11" s="54"/>
      <c r="M11" s="54"/>
      <c r="N11" s="54"/>
      <c r="O11" s="54"/>
      <c r="P11" s="54"/>
      <c r="Q11" s="54"/>
      <c r="R11" s="12"/>
      <c r="S11" s="13"/>
      <c r="T11" s="13"/>
      <c r="U11" s="12"/>
      <c r="V11" s="12"/>
      <c r="W11" s="12"/>
      <c r="X11" s="12"/>
      <c r="Y11" s="12"/>
      <c r="Z11" s="12"/>
      <c r="AA11" s="12"/>
      <c r="AB11" s="13"/>
      <c r="AC11" s="13"/>
      <c r="AD11" s="57"/>
      <c r="AE11" s="57"/>
      <c r="AF11" s="57"/>
      <c r="AG11" s="57"/>
      <c r="AH11" s="57"/>
      <c r="AI11" s="57"/>
      <c r="AJ11" s="57"/>
      <c r="AK11" s="57"/>
      <c r="AL11" s="58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8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60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60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60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60"/>
      <c r="GG11" s="59"/>
      <c r="GH11" s="59"/>
      <c r="GI11" s="59"/>
      <c r="GJ11" s="59"/>
      <c r="GK11" s="59"/>
      <c r="GL11" s="59"/>
      <c r="GM11" s="59"/>
      <c r="GN11" s="59"/>
      <c r="GO11" s="59"/>
      <c r="GP11" s="59"/>
      <c r="GQ11" s="59"/>
      <c r="GR11" s="59"/>
      <c r="GS11" s="59"/>
      <c r="GT11" s="59"/>
      <c r="GU11" s="59"/>
      <c r="GV11" s="59"/>
      <c r="GW11" s="59"/>
      <c r="GX11" s="59"/>
      <c r="GY11" s="59"/>
      <c r="GZ11" s="59"/>
      <c r="HA11" s="59"/>
      <c r="HB11" s="59"/>
      <c r="HC11" s="59"/>
      <c r="HD11" s="59"/>
      <c r="HE11" s="59"/>
      <c r="HF11" s="59"/>
      <c r="HG11" s="59"/>
      <c r="HH11" s="59"/>
      <c r="HI11" s="59"/>
      <c r="HJ11" s="59"/>
      <c r="HK11" s="60"/>
      <c r="HL11" s="59"/>
      <c r="HM11" s="59"/>
      <c r="HN11" s="59"/>
      <c r="HO11" s="59"/>
      <c r="HP11" s="59"/>
      <c r="HQ11" s="59"/>
      <c r="HR11" s="59"/>
      <c r="HS11" s="59"/>
      <c r="HT11" s="59"/>
      <c r="HU11" s="59"/>
      <c r="HV11" s="59"/>
      <c r="HW11" s="59"/>
      <c r="HX11" s="59"/>
      <c r="HY11" s="59"/>
      <c r="HZ11" s="59"/>
      <c r="IA11" s="59"/>
      <c r="IB11" s="59"/>
      <c r="IC11" s="59"/>
      <c r="ID11" s="59"/>
      <c r="IE11" s="59"/>
      <c r="IF11" s="59"/>
      <c r="IG11" s="59"/>
      <c r="IH11" s="59"/>
      <c r="II11" s="59"/>
      <c r="IJ11" s="59"/>
      <c r="IK11" s="59"/>
      <c r="IL11" s="59"/>
      <c r="IM11" s="59"/>
      <c r="IN11" s="59"/>
      <c r="IO11" s="59"/>
      <c r="IP11" s="60"/>
      <c r="IQ11" s="59"/>
      <c r="IR11" s="59"/>
      <c r="IS11" s="59"/>
      <c r="IT11" s="59"/>
      <c r="IU11" s="59"/>
      <c r="IV11" s="59"/>
      <c r="IW11" s="59"/>
      <c r="IX11" s="59"/>
      <c r="IY11" s="59"/>
      <c r="IZ11" s="59"/>
      <c r="JA11" s="59"/>
      <c r="JB11" s="59"/>
      <c r="JC11" s="59"/>
      <c r="JD11" s="59"/>
      <c r="JE11" s="59"/>
      <c r="JF11" s="59"/>
      <c r="JG11" s="59"/>
      <c r="JH11" s="59"/>
      <c r="JI11" s="59"/>
      <c r="JJ11" s="59"/>
      <c r="JK11" s="59"/>
      <c r="JL11" s="59"/>
      <c r="JM11" s="59"/>
      <c r="JN11" s="59"/>
      <c r="JO11" s="59"/>
      <c r="JP11" s="59"/>
      <c r="JQ11" s="59"/>
      <c r="JR11" s="59"/>
      <c r="JS11" s="59"/>
      <c r="JT11" s="60"/>
      <c r="JU11" s="59"/>
      <c r="JV11" s="59"/>
      <c r="JW11" s="59"/>
      <c r="JX11" s="59"/>
      <c r="JY11" s="59"/>
      <c r="JZ11" s="59"/>
      <c r="KA11" s="59"/>
      <c r="KB11" s="59"/>
      <c r="KC11" s="59"/>
      <c r="KD11" s="59"/>
      <c r="KE11" s="59"/>
      <c r="KF11" s="59"/>
      <c r="KG11" s="59"/>
      <c r="KH11" s="59"/>
      <c r="KI11" s="59"/>
      <c r="KJ11" s="59"/>
      <c r="KK11" s="59"/>
      <c r="KL11" s="59"/>
      <c r="KM11" s="59"/>
      <c r="KN11" s="59"/>
      <c r="KO11" s="59"/>
      <c r="KP11" s="59"/>
      <c r="KQ11" s="59"/>
      <c r="KR11" s="59"/>
      <c r="KS11" s="59"/>
      <c r="KT11" s="59"/>
      <c r="KU11" s="59"/>
      <c r="KV11" s="59"/>
      <c r="KW11" s="59"/>
      <c r="KX11" s="59"/>
      <c r="KY11" s="60"/>
      <c r="KZ11" s="59"/>
      <c r="LA11" s="59"/>
      <c r="LB11" s="59"/>
      <c r="LC11" s="59"/>
      <c r="LD11" s="59"/>
      <c r="LE11" s="59"/>
      <c r="LF11" s="59"/>
      <c r="LG11" s="59"/>
      <c r="LH11" s="59"/>
      <c r="LI11" s="59"/>
      <c r="LJ11" s="59"/>
      <c r="LK11" s="59"/>
      <c r="LL11" s="59"/>
      <c r="LM11" s="59"/>
      <c r="LN11" s="59"/>
      <c r="LO11" s="59"/>
      <c r="LP11" s="59"/>
      <c r="LQ11" s="59"/>
      <c r="LR11" s="59"/>
      <c r="LS11" s="59"/>
      <c r="LT11" s="59"/>
      <c r="LU11" s="59"/>
      <c r="LV11" s="59"/>
      <c r="LW11" s="59"/>
      <c r="LX11" s="59"/>
      <c r="LY11" s="59"/>
      <c r="LZ11" s="59"/>
      <c r="MA11" s="59"/>
      <c r="MB11" s="59"/>
      <c r="MC11" s="60"/>
      <c r="MD11" s="59"/>
      <c r="ME11" s="59"/>
      <c r="MF11" s="59"/>
      <c r="MG11" s="59"/>
      <c r="MH11" s="59"/>
      <c r="MI11" s="59"/>
      <c r="MJ11" s="59"/>
      <c r="MK11" s="59"/>
      <c r="ML11" s="59"/>
      <c r="MM11" s="59"/>
      <c r="MN11" s="59"/>
      <c r="MO11" s="59"/>
      <c r="MP11" s="59"/>
      <c r="MQ11" s="59"/>
      <c r="MR11" s="59"/>
      <c r="MS11" s="59"/>
      <c r="MT11" s="59"/>
      <c r="MU11" s="59"/>
      <c r="MV11" s="59"/>
      <c r="MW11" s="59"/>
      <c r="MX11" s="59"/>
      <c r="MY11" s="59"/>
      <c r="MZ11" s="59"/>
      <c r="NA11" s="59"/>
      <c r="NB11" s="59"/>
      <c r="NC11" s="59"/>
      <c r="ND11" s="59"/>
      <c r="NE11" s="59"/>
      <c r="NF11" s="59"/>
      <c r="NG11" s="59"/>
    </row>
    <row r="12" hidden="1" outlineLevel="1">
      <c r="A12" s="10" t="s">
        <v>102</v>
      </c>
      <c r="B12" s="61">
        <v>46147.0</v>
      </c>
      <c r="C12" s="53"/>
      <c r="D12" s="53"/>
      <c r="E12" s="53"/>
      <c r="F12" s="54"/>
      <c r="G12" s="54"/>
      <c r="H12" s="54"/>
      <c r="I12" s="55"/>
      <c r="J12" s="56"/>
      <c r="K12" s="54"/>
      <c r="L12" s="54"/>
      <c r="M12" s="54"/>
      <c r="N12" s="54"/>
      <c r="O12" s="54"/>
      <c r="P12" s="54"/>
      <c r="Q12" s="54"/>
      <c r="R12" s="12"/>
      <c r="S12" s="13"/>
      <c r="T12" s="13"/>
      <c r="U12" s="12"/>
      <c r="V12" s="12"/>
      <c r="W12" s="12"/>
      <c r="X12" s="12"/>
      <c r="Y12" s="12"/>
      <c r="Z12" s="12"/>
      <c r="AA12" s="12"/>
      <c r="AB12" s="13"/>
      <c r="AC12" s="13"/>
      <c r="AD12" s="57"/>
      <c r="AE12" s="57"/>
      <c r="AF12" s="57"/>
      <c r="AG12" s="57"/>
      <c r="AH12" s="57"/>
      <c r="AI12" s="57"/>
      <c r="AJ12" s="57"/>
      <c r="AK12" s="57"/>
      <c r="AL12" s="58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8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60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60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60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  <c r="GD12" s="59"/>
      <c r="GE12" s="59"/>
      <c r="GF12" s="60"/>
      <c r="GG12" s="59"/>
      <c r="GH12" s="59"/>
      <c r="GI12" s="59"/>
      <c r="GJ12" s="59"/>
      <c r="GK12" s="59"/>
      <c r="GL12" s="59"/>
      <c r="GM12" s="59"/>
      <c r="GN12" s="59"/>
      <c r="GO12" s="59"/>
      <c r="GP12" s="59"/>
      <c r="GQ12" s="59"/>
      <c r="GR12" s="59"/>
      <c r="GS12" s="59"/>
      <c r="GT12" s="59"/>
      <c r="GU12" s="59"/>
      <c r="GV12" s="59"/>
      <c r="GW12" s="59"/>
      <c r="GX12" s="59"/>
      <c r="GY12" s="59"/>
      <c r="GZ12" s="59"/>
      <c r="HA12" s="59"/>
      <c r="HB12" s="59"/>
      <c r="HC12" s="59"/>
      <c r="HD12" s="59"/>
      <c r="HE12" s="59"/>
      <c r="HF12" s="59"/>
      <c r="HG12" s="59"/>
      <c r="HH12" s="59"/>
      <c r="HI12" s="59"/>
      <c r="HJ12" s="59"/>
      <c r="HK12" s="60"/>
      <c r="HL12" s="59"/>
      <c r="HM12" s="59"/>
      <c r="HN12" s="59"/>
      <c r="HO12" s="59"/>
      <c r="HP12" s="59"/>
      <c r="HQ12" s="59"/>
      <c r="HR12" s="59"/>
      <c r="HS12" s="59"/>
      <c r="HT12" s="59"/>
      <c r="HU12" s="59"/>
      <c r="HV12" s="59"/>
      <c r="HW12" s="59"/>
      <c r="HX12" s="59"/>
      <c r="HY12" s="59"/>
      <c r="HZ12" s="59"/>
      <c r="IA12" s="59"/>
      <c r="IB12" s="59"/>
      <c r="IC12" s="59"/>
      <c r="ID12" s="59"/>
      <c r="IE12" s="59"/>
      <c r="IF12" s="59"/>
      <c r="IG12" s="59"/>
      <c r="IH12" s="59"/>
      <c r="II12" s="59"/>
      <c r="IJ12" s="59"/>
      <c r="IK12" s="59"/>
      <c r="IL12" s="59"/>
      <c r="IM12" s="59"/>
      <c r="IN12" s="59"/>
      <c r="IO12" s="59"/>
      <c r="IP12" s="60"/>
      <c r="IQ12" s="59"/>
      <c r="IR12" s="59"/>
      <c r="IS12" s="59"/>
      <c r="IT12" s="59"/>
      <c r="IU12" s="59"/>
      <c r="IV12" s="59"/>
      <c r="IW12" s="59"/>
      <c r="IX12" s="59"/>
      <c r="IY12" s="59"/>
      <c r="IZ12" s="59"/>
      <c r="JA12" s="59"/>
      <c r="JB12" s="59"/>
      <c r="JC12" s="59"/>
      <c r="JD12" s="59"/>
      <c r="JE12" s="59"/>
      <c r="JF12" s="59"/>
      <c r="JG12" s="59"/>
      <c r="JH12" s="59"/>
      <c r="JI12" s="59"/>
      <c r="JJ12" s="59"/>
      <c r="JK12" s="59"/>
      <c r="JL12" s="59"/>
      <c r="JM12" s="59"/>
      <c r="JN12" s="59"/>
      <c r="JO12" s="59"/>
      <c r="JP12" s="59"/>
      <c r="JQ12" s="59"/>
      <c r="JR12" s="59"/>
      <c r="JS12" s="59"/>
      <c r="JT12" s="60"/>
      <c r="JU12" s="59"/>
      <c r="JV12" s="59"/>
      <c r="JW12" s="59"/>
      <c r="JX12" s="59"/>
      <c r="JY12" s="59"/>
      <c r="JZ12" s="59"/>
      <c r="KA12" s="59"/>
      <c r="KB12" s="59"/>
      <c r="KC12" s="59"/>
      <c r="KD12" s="59"/>
      <c r="KE12" s="59"/>
      <c r="KF12" s="59"/>
      <c r="KG12" s="59"/>
      <c r="KH12" s="59"/>
      <c r="KI12" s="59"/>
      <c r="KJ12" s="59"/>
      <c r="KK12" s="59"/>
      <c r="KL12" s="59"/>
      <c r="KM12" s="59"/>
      <c r="KN12" s="59"/>
      <c r="KO12" s="59"/>
      <c r="KP12" s="59"/>
      <c r="KQ12" s="59"/>
      <c r="KR12" s="59"/>
      <c r="KS12" s="59"/>
      <c r="KT12" s="59"/>
      <c r="KU12" s="59"/>
      <c r="KV12" s="59"/>
      <c r="KW12" s="59"/>
      <c r="KX12" s="59"/>
      <c r="KY12" s="60"/>
      <c r="KZ12" s="59"/>
      <c r="LA12" s="59"/>
      <c r="LB12" s="59"/>
      <c r="LC12" s="59"/>
      <c r="LD12" s="59"/>
      <c r="LE12" s="59"/>
      <c r="LF12" s="59"/>
      <c r="LG12" s="59"/>
      <c r="LH12" s="59"/>
      <c r="LI12" s="59"/>
      <c r="LJ12" s="59"/>
      <c r="LK12" s="59"/>
      <c r="LL12" s="59"/>
      <c r="LM12" s="59"/>
      <c r="LN12" s="59"/>
      <c r="LO12" s="59"/>
      <c r="LP12" s="59"/>
      <c r="LQ12" s="59"/>
      <c r="LR12" s="59"/>
      <c r="LS12" s="59"/>
      <c r="LT12" s="59"/>
      <c r="LU12" s="59"/>
      <c r="LV12" s="59"/>
      <c r="LW12" s="59"/>
      <c r="LX12" s="59"/>
      <c r="LY12" s="59"/>
      <c r="LZ12" s="59"/>
      <c r="MA12" s="59"/>
      <c r="MB12" s="59"/>
      <c r="MC12" s="60"/>
      <c r="MD12" s="59"/>
      <c r="ME12" s="59"/>
      <c r="MF12" s="59"/>
      <c r="MG12" s="59"/>
      <c r="MH12" s="59"/>
      <c r="MI12" s="59"/>
      <c r="MJ12" s="59"/>
      <c r="MK12" s="59"/>
      <c r="ML12" s="59"/>
      <c r="MM12" s="59"/>
      <c r="MN12" s="59"/>
      <c r="MO12" s="59"/>
      <c r="MP12" s="59"/>
      <c r="MQ12" s="59"/>
      <c r="MR12" s="59"/>
      <c r="MS12" s="59"/>
      <c r="MT12" s="59"/>
      <c r="MU12" s="59"/>
      <c r="MV12" s="59"/>
      <c r="MW12" s="59"/>
      <c r="MX12" s="59"/>
      <c r="MY12" s="59"/>
      <c r="MZ12" s="59"/>
      <c r="NA12" s="59"/>
      <c r="NB12" s="59"/>
      <c r="NC12" s="59"/>
      <c r="ND12" s="59"/>
      <c r="NE12" s="59"/>
      <c r="NF12" s="59"/>
      <c r="NG12" s="59"/>
    </row>
    <row r="13" hidden="1" outlineLevel="1">
      <c r="A13" s="10" t="s">
        <v>103</v>
      </c>
      <c r="B13" s="61">
        <v>46166.0</v>
      </c>
      <c r="C13" s="53"/>
      <c r="D13" s="53"/>
      <c r="E13" s="53"/>
      <c r="F13" s="54"/>
      <c r="G13" s="54"/>
      <c r="H13" s="54"/>
      <c r="I13" s="55"/>
      <c r="J13" s="56"/>
      <c r="K13" s="54"/>
      <c r="L13" s="54"/>
      <c r="M13" s="54"/>
      <c r="N13" s="54"/>
      <c r="O13" s="54"/>
      <c r="P13" s="54"/>
      <c r="Q13" s="54"/>
      <c r="R13" s="12"/>
      <c r="S13" s="13"/>
      <c r="T13" s="13"/>
      <c r="U13" s="12"/>
      <c r="V13" s="12"/>
      <c r="W13" s="12"/>
      <c r="X13" s="12"/>
      <c r="Y13" s="12"/>
      <c r="Z13" s="12"/>
      <c r="AA13" s="12"/>
      <c r="AB13" s="13"/>
      <c r="AC13" s="13"/>
      <c r="AD13" s="57"/>
      <c r="AE13" s="57"/>
      <c r="AF13" s="57"/>
      <c r="AG13" s="57"/>
      <c r="AH13" s="57"/>
      <c r="AI13" s="57"/>
      <c r="AJ13" s="57"/>
      <c r="AK13" s="57"/>
      <c r="AL13" s="58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8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60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60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60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60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59"/>
      <c r="GS13" s="59"/>
      <c r="GT13" s="59"/>
      <c r="GU13" s="59"/>
      <c r="GV13" s="59"/>
      <c r="GW13" s="59"/>
      <c r="GX13" s="59"/>
      <c r="GY13" s="59"/>
      <c r="GZ13" s="59"/>
      <c r="HA13" s="59"/>
      <c r="HB13" s="59"/>
      <c r="HC13" s="59"/>
      <c r="HD13" s="59"/>
      <c r="HE13" s="59"/>
      <c r="HF13" s="59"/>
      <c r="HG13" s="59"/>
      <c r="HH13" s="59"/>
      <c r="HI13" s="59"/>
      <c r="HJ13" s="59"/>
      <c r="HK13" s="60"/>
      <c r="HL13" s="59"/>
      <c r="HM13" s="59"/>
      <c r="HN13" s="59"/>
      <c r="HO13" s="59"/>
      <c r="HP13" s="59"/>
      <c r="HQ13" s="59"/>
      <c r="HR13" s="59"/>
      <c r="HS13" s="59"/>
      <c r="HT13" s="59"/>
      <c r="HU13" s="59"/>
      <c r="HV13" s="59"/>
      <c r="HW13" s="59"/>
      <c r="HX13" s="59"/>
      <c r="HY13" s="59"/>
      <c r="HZ13" s="59"/>
      <c r="IA13" s="59"/>
      <c r="IB13" s="59"/>
      <c r="IC13" s="59"/>
      <c r="ID13" s="59"/>
      <c r="IE13" s="59"/>
      <c r="IF13" s="59"/>
      <c r="IG13" s="59"/>
      <c r="IH13" s="59"/>
      <c r="II13" s="59"/>
      <c r="IJ13" s="59"/>
      <c r="IK13" s="59"/>
      <c r="IL13" s="59"/>
      <c r="IM13" s="59"/>
      <c r="IN13" s="59"/>
      <c r="IO13" s="59"/>
      <c r="IP13" s="60"/>
      <c r="IQ13" s="59"/>
      <c r="IR13" s="59"/>
      <c r="IS13" s="59"/>
      <c r="IT13" s="59"/>
      <c r="IU13" s="59"/>
      <c r="IV13" s="59"/>
      <c r="IW13" s="59"/>
      <c r="IX13" s="59"/>
      <c r="IY13" s="59"/>
      <c r="IZ13" s="59"/>
      <c r="JA13" s="59"/>
      <c r="JB13" s="59"/>
      <c r="JC13" s="59"/>
      <c r="JD13" s="59"/>
      <c r="JE13" s="59"/>
      <c r="JF13" s="59"/>
      <c r="JG13" s="59"/>
      <c r="JH13" s="59"/>
      <c r="JI13" s="59"/>
      <c r="JJ13" s="59"/>
      <c r="JK13" s="59"/>
      <c r="JL13" s="59"/>
      <c r="JM13" s="59"/>
      <c r="JN13" s="59"/>
      <c r="JO13" s="59"/>
      <c r="JP13" s="59"/>
      <c r="JQ13" s="59"/>
      <c r="JR13" s="59"/>
      <c r="JS13" s="59"/>
      <c r="JT13" s="60"/>
      <c r="JU13" s="59"/>
      <c r="JV13" s="59"/>
      <c r="JW13" s="59"/>
      <c r="JX13" s="59"/>
      <c r="JY13" s="59"/>
      <c r="JZ13" s="59"/>
      <c r="KA13" s="59"/>
      <c r="KB13" s="59"/>
      <c r="KC13" s="59"/>
      <c r="KD13" s="59"/>
      <c r="KE13" s="59"/>
      <c r="KF13" s="59"/>
      <c r="KG13" s="59"/>
      <c r="KH13" s="59"/>
      <c r="KI13" s="59"/>
      <c r="KJ13" s="59"/>
      <c r="KK13" s="59"/>
      <c r="KL13" s="59"/>
      <c r="KM13" s="59"/>
      <c r="KN13" s="59"/>
      <c r="KO13" s="59"/>
      <c r="KP13" s="59"/>
      <c r="KQ13" s="59"/>
      <c r="KR13" s="59"/>
      <c r="KS13" s="59"/>
      <c r="KT13" s="59"/>
      <c r="KU13" s="59"/>
      <c r="KV13" s="59"/>
      <c r="KW13" s="59"/>
      <c r="KX13" s="59"/>
      <c r="KY13" s="60"/>
      <c r="KZ13" s="59"/>
      <c r="LA13" s="59"/>
      <c r="LB13" s="59"/>
      <c r="LC13" s="59"/>
      <c r="LD13" s="59"/>
      <c r="LE13" s="59"/>
      <c r="LF13" s="59"/>
      <c r="LG13" s="59"/>
      <c r="LH13" s="59"/>
      <c r="LI13" s="59"/>
      <c r="LJ13" s="59"/>
      <c r="LK13" s="59"/>
      <c r="LL13" s="59"/>
      <c r="LM13" s="59"/>
      <c r="LN13" s="59"/>
      <c r="LO13" s="59"/>
      <c r="LP13" s="59"/>
      <c r="LQ13" s="59"/>
      <c r="LR13" s="59"/>
      <c r="LS13" s="59"/>
      <c r="LT13" s="59"/>
      <c r="LU13" s="59"/>
      <c r="LV13" s="59"/>
      <c r="LW13" s="59"/>
      <c r="LX13" s="59"/>
      <c r="LY13" s="59"/>
      <c r="LZ13" s="59"/>
      <c r="MA13" s="59"/>
      <c r="MB13" s="59"/>
      <c r="MC13" s="60"/>
      <c r="MD13" s="59"/>
      <c r="ME13" s="59"/>
      <c r="MF13" s="59"/>
      <c r="MG13" s="59"/>
      <c r="MH13" s="59"/>
      <c r="MI13" s="59"/>
      <c r="MJ13" s="59"/>
      <c r="MK13" s="59"/>
      <c r="ML13" s="59"/>
      <c r="MM13" s="59"/>
      <c r="MN13" s="59"/>
      <c r="MO13" s="59"/>
      <c r="MP13" s="59"/>
      <c r="MQ13" s="59"/>
      <c r="MR13" s="59"/>
      <c r="MS13" s="59"/>
      <c r="MT13" s="59"/>
      <c r="MU13" s="59"/>
      <c r="MV13" s="59"/>
      <c r="MW13" s="59"/>
      <c r="MX13" s="59"/>
      <c r="MY13" s="59"/>
      <c r="MZ13" s="59"/>
      <c r="NA13" s="59"/>
      <c r="NB13" s="59"/>
      <c r="NC13" s="59"/>
      <c r="ND13" s="59"/>
      <c r="NE13" s="59"/>
      <c r="NF13" s="59"/>
      <c r="NG13" s="59"/>
    </row>
    <row r="14" hidden="1" outlineLevel="1">
      <c r="A14" s="66"/>
      <c r="B14" s="61">
        <v>46167.0</v>
      </c>
      <c r="C14" s="53"/>
      <c r="D14" s="53"/>
      <c r="E14" s="53"/>
      <c r="F14" s="54"/>
      <c r="G14" s="54"/>
      <c r="H14" s="54"/>
      <c r="I14" s="55"/>
      <c r="J14" s="56"/>
      <c r="K14" s="54"/>
      <c r="L14" s="54"/>
      <c r="M14" s="54"/>
      <c r="N14" s="54"/>
      <c r="O14" s="54"/>
      <c r="P14" s="54"/>
      <c r="Q14" s="54"/>
      <c r="R14" s="12"/>
      <c r="S14" s="13"/>
      <c r="T14" s="13"/>
      <c r="U14" s="12"/>
      <c r="V14" s="12"/>
      <c r="W14" s="12"/>
      <c r="X14" s="12"/>
      <c r="Y14" s="12"/>
      <c r="Z14" s="12"/>
      <c r="AA14" s="12"/>
      <c r="AB14" s="13"/>
      <c r="AC14" s="13"/>
      <c r="AD14" s="57"/>
      <c r="AE14" s="57"/>
      <c r="AF14" s="57"/>
      <c r="AG14" s="57"/>
      <c r="AH14" s="57"/>
      <c r="AI14" s="57"/>
      <c r="AJ14" s="57"/>
      <c r="AK14" s="57"/>
      <c r="AL14" s="58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8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60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60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60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60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60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60"/>
      <c r="IQ14" s="59"/>
      <c r="IR14" s="59"/>
      <c r="IS14" s="59"/>
      <c r="IT14" s="59"/>
      <c r="IU14" s="59"/>
      <c r="IV14" s="59"/>
      <c r="IW14" s="59"/>
      <c r="IX14" s="59"/>
      <c r="IY14" s="59"/>
      <c r="IZ14" s="59"/>
      <c r="JA14" s="59"/>
      <c r="JB14" s="59"/>
      <c r="JC14" s="59"/>
      <c r="JD14" s="59"/>
      <c r="JE14" s="59"/>
      <c r="JF14" s="59"/>
      <c r="JG14" s="59"/>
      <c r="JH14" s="59"/>
      <c r="JI14" s="59"/>
      <c r="JJ14" s="59"/>
      <c r="JK14" s="59"/>
      <c r="JL14" s="59"/>
      <c r="JM14" s="59"/>
      <c r="JN14" s="59"/>
      <c r="JO14" s="59"/>
      <c r="JP14" s="59"/>
      <c r="JQ14" s="59"/>
      <c r="JR14" s="59"/>
      <c r="JS14" s="59"/>
      <c r="JT14" s="60"/>
      <c r="JU14" s="59"/>
      <c r="JV14" s="59"/>
      <c r="JW14" s="59"/>
      <c r="JX14" s="59"/>
      <c r="JY14" s="59"/>
      <c r="JZ14" s="59"/>
      <c r="KA14" s="59"/>
      <c r="KB14" s="59"/>
      <c r="KC14" s="59"/>
      <c r="KD14" s="59"/>
      <c r="KE14" s="59"/>
      <c r="KF14" s="59"/>
      <c r="KG14" s="59"/>
      <c r="KH14" s="59"/>
      <c r="KI14" s="59"/>
      <c r="KJ14" s="59"/>
      <c r="KK14" s="59"/>
      <c r="KL14" s="59"/>
      <c r="KM14" s="59"/>
      <c r="KN14" s="59"/>
      <c r="KO14" s="59"/>
      <c r="KP14" s="59"/>
      <c r="KQ14" s="59"/>
      <c r="KR14" s="59"/>
      <c r="KS14" s="59"/>
      <c r="KT14" s="59"/>
      <c r="KU14" s="59"/>
      <c r="KV14" s="59"/>
      <c r="KW14" s="59"/>
      <c r="KX14" s="59"/>
      <c r="KY14" s="60"/>
      <c r="KZ14" s="59"/>
      <c r="LA14" s="59"/>
      <c r="LB14" s="59"/>
      <c r="LC14" s="59"/>
      <c r="LD14" s="59"/>
      <c r="LE14" s="59"/>
      <c r="LF14" s="59"/>
      <c r="LG14" s="59"/>
      <c r="LH14" s="59"/>
      <c r="LI14" s="59"/>
      <c r="LJ14" s="59"/>
      <c r="LK14" s="59"/>
      <c r="LL14" s="59"/>
      <c r="LM14" s="59"/>
      <c r="LN14" s="59"/>
      <c r="LO14" s="59"/>
      <c r="LP14" s="59"/>
      <c r="LQ14" s="59"/>
      <c r="LR14" s="59"/>
      <c r="LS14" s="59"/>
      <c r="LT14" s="59"/>
      <c r="LU14" s="59"/>
      <c r="LV14" s="59"/>
      <c r="LW14" s="59"/>
      <c r="LX14" s="59"/>
      <c r="LY14" s="59"/>
      <c r="LZ14" s="59"/>
      <c r="MA14" s="59"/>
      <c r="MB14" s="59"/>
      <c r="MC14" s="60"/>
      <c r="MD14" s="59"/>
      <c r="ME14" s="59"/>
      <c r="MF14" s="59"/>
      <c r="MG14" s="59"/>
      <c r="MH14" s="59"/>
      <c r="MI14" s="59"/>
      <c r="MJ14" s="59"/>
      <c r="MK14" s="59"/>
      <c r="ML14" s="59"/>
      <c r="MM14" s="59"/>
      <c r="MN14" s="59"/>
      <c r="MO14" s="59"/>
      <c r="MP14" s="59"/>
      <c r="MQ14" s="59"/>
      <c r="MR14" s="59"/>
      <c r="MS14" s="59"/>
      <c r="MT14" s="59"/>
      <c r="MU14" s="59"/>
      <c r="MV14" s="59"/>
      <c r="MW14" s="59"/>
      <c r="MX14" s="59"/>
      <c r="MY14" s="59"/>
      <c r="MZ14" s="59"/>
      <c r="NA14" s="59"/>
      <c r="NB14" s="59"/>
      <c r="NC14" s="59"/>
      <c r="ND14" s="59"/>
      <c r="NE14" s="59"/>
      <c r="NF14" s="59"/>
      <c r="NG14" s="59"/>
    </row>
    <row r="15" hidden="1" outlineLevel="1">
      <c r="A15" s="10" t="s">
        <v>104</v>
      </c>
      <c r="B15" s="61">
        <v>46179.0</v>
      </c>
      <c r="C15" s="53"/>
      <c r="D15" s="53"/>
      <c r="E15" s="53"/>
      <c r="F15" s="54"/>
      <c r="G15" s="54"/>
      <c r="H15" s="54"/>
      <c r="I15" s="55"/>
      <c r="J15" s="56"/>
      <c r="K15" s="54"/>
      <c r="L15" s="54"/>
      <c r="M15" s="54"/>
      <c r="N15" s="54"/>
      <c r="O15" s="54"/>
      <c r="P15" s="54"/>
      <c r="Q15" s="54"/>
      <c r="R15" s="12"/>
      <c r="S15" s="13"/>
      <c r="T15" s="13"/>
      <c r="U15" s="12"/>
      <c r="V15" s="12"/>
      <c r="W15" s="12"/>
      <c r="X15" s="12"/>
      <c r="Y15" s="12"/>
      <c r="Z15" s="12"/>
      <c r="AA15" s="12"/>
      <c r="AB15" s="13"/>
      <c r="AC15" s="13"/>
      <c r="AD15" s="57"/>
      <c r="AE15" s="57"/>
      <c r="AF15" s="57"/>
      <c r="AG15" s="57"/>
      <c r="AH15" s="57"/>
      <c r="AI15" s="57"/>
      <c r="AJ15" s="57"/>
      <c r="AK15" s="57"/>
      <c r="AL15" s="58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8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60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60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60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  <c r="GD15" s="59"/>
      <c r="GE15" s="59"/>
      <c r="GF15" s="60"/>
      <c r="GG15" s="59"/>
      <c r="GH15" s="59"/>
      <c r="GI15" s="59"/>
      <c r="GJ15" s="59"/>
      <c r="GK15" s="59"/>
      <c r="GL15" s="59"/>
      <c r="GM15" s="59"/>
      <c r="GN15" s="59"/>
      <c r="GO15" s="59"/>
      <c r="GP15" s="59"/>
      <c r="GQ15" s="59"/>
      <c r="GR15" s="59"/>
      <c r="GS15" s="59"/>
      <c r="GT15" s="59"/>
      <c r="GU15" s="59"/>
      <c r="GV15" s="59"/>
      <c r="GW15" s="59"/>
      <c r="GX15" s="59"/>
      <c r="GY15" s="59"/>
      <c r="GZ15" s="59"/>
      <c r="HA15" s="59"/>
      <c r="HB15" s="59"/>
      <c r="HC15" s="59"/>
      <c r="HD15" s="59"/>
      <c r="HE15" s="59"/>
      <c r="HF15" s="59"/>
      <c r="HG15" s="59"/>
      <c r="HH15" s="59"/>
      <c r="HI15" s="59"/>
      <c r="HJ15" s="59"/>
      <c r="HK15" s="60"/>
      <c r="HL15" s="59"/>
      <c r="HM15" s="59"/>
      <c r="HN15" s="59"/>
      <c r="HO15" s="59"/>
      <c r="HP15" s="59"/>
      <c r="HQ15" s="59"/>
      <c r="HR15" s="59"/>
      <c r="HS15" s="59"/>
      <c r="HT15" s="59"/>
      <c r="HU15" s="59"/>
      <c r="HV15" s="59"/>
      <c r="HW15" s="59"/>
      <c r="HX15" s="59"/>
      <c r="HY15" s="59"/>
      <c r="HZ15" s="59"/>
      <c r="IA15" s="59"/>
      <c r="IB15" s="59"/>
      <c r="IC15" s="59"/>
      <c r="ID15" s="59"/>
      <c r="IE15" s="59"/>
      <c r="IF15" s="59"/>
      <c r="IG15" s="59"/>
      <c r="IH15" s="59"/>
      <c r="II15" s="59"/>
      <c r="IJ15" s="59"/>
      <c r="IK15" s="59"/>
      <c r="IL15" s="59"/>
      <c r="IM15" s="59"/>
      <c r="IN15" s="59"/>
      <c r="IO15" s="59"/>
      <c r="IP15" s="60"/>
      <c r="IQ15" s="59"/>
      <c r="IR15" s="59"/>
      <c r="IS15" s="59"/>
      <c r="IT15" s="59"/>
      <c r="IU15" s="59"/>
      <c r="IV15" s="59"/>
      <c r="IW15" s="59"/>
      <c r="IX15" s="59"/>
      <c r="IY15" s="59"/>
      <c r="IZ15" s="59"/>
      <c r="JA15" s="59"/>
      <c r="JB15" s="59"/>
      <c r="JC15" s="59"/>
      <c r="JD15" s="59"/>
      <c r="JE15" s="59"/>
      <c r="JF15" s="59"/>
      <c r="JG15" s="59"/>
      <c r="JH15" s="59"/>
      <c r="JI15" s="59"/>
      <c r="JJ15" s="59"/>
      <c r="JK15" s="59"/>
      <c r="JL15" s="59"/>
      <c r="JM15" s="59"/>
      <c r="JN15" s="59"/>
      <c r="JO15" s="59"/>
      <c r="JP15" s="59"/>
      <c r="JQ15" s="59"/>
      <c r="JR15" s="59"/>
      <c r="JS15" s="59"/>
      <c r="JT15" s="60"/>
      <c r="JU15" s="59"/>
      <c r="JV15" s="59"/>
      <c r="JW15" s="59"/>
      <c r="JX15" s="59"/>
      <c r="JY15" s="59"/>
      <c r="JZ15" s="59"/>
      <c r="KA15" s="59"/>
      <c r="KB15" s="59"/>
      <c r="KC15" s="59"/>
      <c r="KD15" s="59"/>
      <c r="KE15" s="59"/>
      <c r="KF15" s="59"/>
      <c r="KG15" s="59"/>
      <c r="KH15" s="59"/>
      <c r="KI15" s="59"/>
      <c r="KJ15" s="59"/>
      <c r="KK15" s="59"/>
      <c r="KL15" s="59"/>
      <c r="KM15" s="59"/>
      <c r="KN15" s="59"/>
      <c r="KO15" s="59"/>
      <c r="KP15" s="59"/>
      <c r="KQ15" s="59"/>
      <c r="KR15" s="59"/>
      <c r="KS15" s="59"/>
      <c r="KT15" s="59"/>
      <c r="KU15" s="59"/>
      <c r="KV15" s="59"/>
      <c r="KW15" s="59"/>
      <c r="KX15" s="59"/>
      <c r="KY15" s="60"/>
      <c r="KZ15" s="59"/>
      <c r="LA15" s="59"/>
      <c r="LB15" s="59"/>
      <c r="LC15" s="59"/>
      <c r="LD15" s="59"/>
      <c r="LE15" s="59"/>
      <c r="LF15" s="59"/>
      <c r="LG15" s="59"/>
      <c r="LH15" s="59"/>
      <c r="LI15" s="59"/>
      <c r="LJ15" s="59"/>
      <c r="LK15" s="59"/>
      <c r="LL15" s="59"/>
      <c r="LM15" s="59"/>
      <c r="LN15" s="59"/>
      <c r="LO15" s="59"/>
      <c r="LP15" s="59"/>
      <c r="LQ15" s="59"/>
      <c r="LR15" s="59"/>
      <c r="LS15" s="59"/>
      <c r="LT15" s="59"/>
      <c r="LU15" s="59"/>
      <c r="LV15" s="59"/>
      <c r="LW15" s="59"/>
      <c r="LX15" s="59"/>
      <c r="LY15" s="59"/>
      <c r="LZ15" s="59"/>
      <c r="MA15" s="59"/>
      <c r="MB15" s="59"/>
      <c r="MC15" s="60"/>
      <c r="MD15" s="59"/>
      <c r="ME15" s="59"/>
      <c r="MF15" s="59"/>
      <c r="MG15" s="59"/>
      <c r="MH15" s="59"/>
      <c r="MI15" s="59"/>
      <c r="MJ15" s="59"/>
      <c r="MK15" s="59"/>
      <c r="ML15" s="59"/>
      <c r="MM15" s="59"/>
      <c r="MN15" s="59"/>
      <c r="MO15" s="59"/>
      <c r="MP15" s="59"/>
      <c r="MQ15" s="59"/>
      <c r="MR15" s="59"/>
      <c r="MS15" s="59"/>
      <c r="MT15" s="59"/>
      <c r="MU15" s="59"/>
      <c r="MV15" s="59"/>
      <c r="MW15" s="59"/>
      <c r="MX15" s="59"/>
      <c r="MY15" s="59"/>
      <c r="MZ15" s="59"/>
      <c r="NA15" s="59"/>
      <c r="NB15" s="59"/>
      <c r="NC15" s="59"/>
      <c r="ND15" s="59"/>
      <c r="NE15" s="59"/>
      <c r="NF15" s="59"/>
      <c r="NG15" s="59"/>
    </row>
    <row r="16" hidden="1" outlineLevel="1">
      <c r="A16" s="10" t="s">
        <v>105</v>
      </c>
      <c r="B16" s="61">
        <v>46249.0</v>
      </c>
      <c r="C16" s="53"/>
      <c r="D16" s="53"/>
      <c r="E16" s="53"/>
      <c r="F16" s="54"/>
      <c r="G16" s="54"/>
      <c r="H16" s="54"/>
      <c r="I16" s="55"/>
      <c r="J16" s="56"/>
      <c r="K16" s="54"/>
      <c r="L16" s="54"/>
      <c r="M16" s="54"/>
      <c r="N16" s="54"/>
      <c r="O16" s="54"/>
      <c r="P16" s="54"/>
      <c r="Q16" s="54"/>
      <c r="R16" s="12"/>
      <c r="S16" s="13"/>
      <c r="T16" s="13"/>
      <c r="U16" s="12"/>
      <c r="V16" s="12"/>
      <c r="W16" s="12"/>
      <c r="X16" s="12"/>
      <c r="Y16" s="12"/>
      <c r="Z16" s="12"/>
      <c r="AA16" s="12"/>
      <c r="AB16" s="13"/>
      <c r="AC16" s="13"/>
      <c r="AD16" s="57"/>
      <c r="AE16" s="57"/>
      <c r="AF16" s="57"/>
      <c r="AG16" s="57"/>
      <c r="AH16" s="57"/>
      <c r="AI16" s="57"/>
      <c r="AJ16" s="57"/>
      <c r="AK16" s="57"/>
      <c r="AL16" s="58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8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60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60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60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59"/>
      <c r="FU16" s="59"/>
      <c r="FV16" s="59"/>
      <c r="FW16" s="59"/>
      <c r="FX16" s="59"/>
      <c r="FY16" s="59"/>
      <c r="FZ16" s="59"/>
      <c r="GA16" s="59"/>
      <c r="GB16" s="59"/>
      <c r="GC16" s="59"/>
      <c r="GD16" s="59"/>
      <c r="GE16" s="59"/>
      <c r="GF16" s="60"/>
      <c r="GG16" s="59"/>
      <c r="GH16" s="59"/>
      <c r="GI16" s="59"/>
      <c r="GJ16" s="59"/>
      <c r="GK16" s="59"/>
      <c r="GL16" s="59"/>
      <c r="GM16" s="59"/>
      <c r="GN16" s="59"/>
      <c r="GO16" s="59"/>
      <c r="GP16" s="59"/>
      <c r="GQ16" s="59"/>
      <c r="GR16" s="59"/>
      <c r="GS16" s="59"/>
      <c r="GT16" s="59"/>
      <c r="GU16" s="59"/>
      <c r="GV16" s="59"/>
      <c r="GW16" s="59"/>
      <c r="GX16" s="59"/>
      <c r="GY16" s="59"/>
      <c r="GZ16" s="59"/>
      <c r="HA16" s="59"/>
      <c r="HB16" s="59"/>
      <c r="HC16" s="59"/>
      <c r="HD16" s="59"/>
      <c r="HE16" s="59"/>
      <c r="HF16" s="59"/>
      <c r="HG16" s="59"/>
      <c r="HH16" s="59"/>
      <c r="HI16" s="59"/>
      <c r="HJ16" s="59"/>
      <c r="HK16" s="60"/>
      <c r="HL16" s="59"/>
      <c r="HM16" s="59"/>
      <c r="HN16" s="59"/>
      <c r="HO16" s="59"/>
      <c r="HP16" s="59"/>
      <c r="HQ16" s="59"/>
      <c r="HR16" s="59"/>
      <c r="HS16" s="59"/>
      <c r="HT16" s="59"/>
      <c r="HU16" s="59"/>
      <c r="HV16" s="59"/>
      <c r="HW16" s="59"/>
      <c r="HX16" s="59"/>
      <c r="HY16" s="59"/>
      <c r="HZ16" s="59"/>
      <c r="IA16" s="59"/>
      <c r="IB16" s="59"/>
      <c r="IC16" s="59"/>
      <c r="ID16" s="59"/>
      <c r="IE16" s="59"/>
      <c r="IF16" s="59"/>
      <c r="IG16" s="59"/>
      <c r="IH16" s="59"/>
      <c r="II16" s="59"/>
      <c r="IJ16" s="59"/>
      <c r="IK16" s="59"/>
      <c r="IL16" s="59"/>
      <c r="IM16" s="59"/>
      <c r="IN16" s="59"/>
      <c r="IO16" s="59"/>
      <c r="IP16" s="60"/>
      <c r="IQ16" s="59"/>
      <c r="IR16" s="59"/>
      <c r="IS16" s="59"/>
      <c r="IT16" s="59"/>
      <c r="IU16" s="59"/>
      <c r="IV16" s="59"/>
      <c r="IW16" s="59"/>
      <c r="IX16" s="59"/>
      <c r="IY16" s="59"/>
      <c r="IZ16" s="59"/>
      <c r="JA16" s="59"/>
      <c r="JB16" s="59"/>
      <c r="JC16" s="59"/>
      <c r="JD16" s="59"/>
      <c r="JE16" s="59"/>
      <c r="JF16" s="59"/>
      <c r="JG16" s="59"/>
      <c r="JH16" s="59"/>
      <c r="JI16" s="59"/>
      <c r="JJ16" s="59"/>
      <c r="JK16" s="59"/>
      <c r="JL16" s="59"/>
      <c r="JM16" s="59"/>
      <c r="JN16" s="59"/>
      <c r="JO16" s="59"/>
      <c r="JP16" s="59"/>
      <c r="JQ16" s="59"/>
      <c r="JR16" s="59"/>
      <c r="JS16" s="59"/>
      <c r="JT16" s="60"/>
      <c r="JU16" s="59"/>
      <c r="JV16" s="59"/>
      <c r="JW16" s="59"/>
      <c r="JX16" s="59"/>
      <c r="JY16" s="59"/>
      <c r="JZ16" s="59"/>
      <c r="KA16" s="59"/>
      <c r="KB16" s="59"/>
      <c r="KC16" s="59"/>
      <c r="KD16" s="59"/>
      <c r="KE16" s="59"/>
      <c r="KF16" s="59"/>
      <c r="KG16" s="59"/>
      <c r="KH16" s="59"/>
      <c r="KI16" s="59"/>
      <c r="KJ16" s="59"/>
      <c r="KK16" s="59"/>
      <c r="KL16" s="59"/>
      <c r="KM16" s="59"/>
      <c r="KN16" s="59"/>
      <c r="KO16" s="59"/>
      <c r="KP16" s="59"/>
      <c r="KQ16" s="59"/>
      <c r="KR16" s="59"/>
      <c r="KS16" s="59"/>
      <c r="KT16" s="59"/>
      <c r="KU16" s="59"/>
      <c r="KV16" s="59"/>
      <c r="KW16" s="59"/>
      <c r="KX16" s="59"/>
      <c r="KY16" s="60"/>
      <c r="KZ16" s="59"/>
      <c r="LA16" s="59"/>
      <c r="LB16" s="59"/>
      <c r="LC16" s="59"/>
      <c r="LD16" s="59"/>
      <c r="LE16" s="59"/>
      <c r="LF16" s="59"/>
      <c r="LG16" s="59"/>
      <c r="LH16" s="59"/>
      <c r="LI16" s="59"/>
      <c r="LJ16" s="59"/>
      <c r="LK16" s="59"/>
      <c r="LL16" s="59"/>
      <c r="LM16" s="59"/>
      <c r="LN16" s="59"/>
      <c r="LO16" s="59"/>
      <c r="LP16" s="59"/>
      <c r="LQ16" s="59"/>
      <c r="LR16" s="59"/>
      <c r="LS16" s="59"/>
      <c r="LT16" s="59"/>
      <c r="LU16" s="59"/>
      <c r="LV16" s="59"/>
      <c r="LW16" s="59"/>
      <c r="LX16" s="59"/>
      <c r="LY16" s="59"/>
      <c r="LZ16" s="59"/>
      <c r="MA16" s="59"/>
      <c r="MB16" s="59"/>
      <c r="MC16" s="60"/>
      <c r="MD16" s="59"/>
      <c r="ME16" s="59"/>
      <c r="MF16" s="59"/>
      <c r="MG16" s="59"/>
      <c r="MH16" s="59"/>
      <c r="MI16" s="59"/>
      <c r="MJ16" s="59"/>
      <c r="MK16" s="59"/>
      <c r="ML16" s="59"/>
      <c r="MM16" s="59"/>
      <c r="MN16" s="59"/>
      <c r="MO16" s="59"/>
      <c r="MP16" s="59"/>
      <c r="MQ16" s="59"/>
      <c r="MR16" s="59"/>
      <c r="MS16" s="59"/>
      <c r="MT16" s="59"/>
      <c r="MU16" s="59"/>
      <c r="MV16" s="59"/>
      <c r="MW16" s="59"/>
      <c r="MX16" s="59"/>
      <c r="MY16" s="59"/>
      <c r="MZ16" s="59"/>
      <c r="NA16" s="59"/>
      <c r="NB16" s="59"/>
      <c r="NC16" s="59"/>
      <c r="ND16" s="59"/>
      <c r="NE16" s="59"/>
      <c r="NF16" s="59"/>
      <c r="NG16" s="59"/>
    </row>
    <row r="17" hidden="1" outlineLevel="1">
      <c r="A17" s="66"/>
      <c r="B17" s="61">
        <v>46251.0</v>
      </c>
      <c r="C17" s="53"/>
      <c r="D17" s="53"/>
      <c r="E17" s="53"/>
      <c r="F17" s="54"/>
      <c r="G17" s="54"/>
      <c r="H17" s="54"/>
      <c r="I17" s="55"/>
      <c r="J17" s="56"/>
      <c r="K17" s="54"/>
      <c r="L17" s="54"/>
      <c r="M17" s="54"/>
      <c r="N17" s="54"/>
      <c r="O17" s="54"/>
      <c r="P17" s="54"/>
      <c r="Q17" s="54"/>
      <c r="R17" s="12"/>
      <c r="S17" s="13"/>
      <c r="T17" s="13"/>
      <c r="U17" s="12"/>
      <c r="V17" s="12"/>
      <c r="W17" s="12"/>
      <c r="X17" s="12"/>
      <c r="Y17" s="12"/>
      <c r="Z17" s="12"/>
      <c r="AA17" s="12"/>
      <c r="AB17" s="13"/>
      <c r="AC17" s="13"/>
      <c r="AD17" s="57"/>
      <c r="AE17" s="57"/>
      <c r="AF17" s="57"/>
      <c r="AG17" s="57"/>
      <c r="AH17" s="57"/>
      <c r="AI17" s="57"/>
      <c r="AJ17" s="57"/>
      <c r="AK17" s="57"/>
      <c r="AL17" s="58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8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60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60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60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59"/>
      <c r="FU17" s="59"/>
      <c r="FV17" s="59"/>
      <c r="FW17" s="59"/>
      <c r="FX17" s="59"/>
      <c r="FY17" s="59"/>
      <c r="FZ17" s="59"/>
      <c r="GA17" s="59"/>
      <c r="GB17" s="59"/>
      <c r="GC17" s="59"/>
      <c r="GD17" s="59"/>
      <c r="GE17" s="59"/>
      <c r="GF17" s="60"/>
      <c r="GG17" s="59"/>
      <c r="GH17" s="59"/>
      <c r="GI17" s="59"/>
      <c r="GJ17" s="59"/>
      <c r="GK17" s="59"/>
      <c r="GL17" s="59"/>
      <c r="GM17" s="59"/>
      <c r="GN17" s="59"/>
      <c r="GO17" s="59"/>
      <c r="GP17" s="59"/>
      <c r="GQ17" s="59"/>
      <c r="GR17" s="59"/>
      <c r="GS17" s="59"/>
      <c r="GT17" s="59"/>
      <c r="GU17" s="59"/>
      <c r="GV17" s="59"/>
      <c r="GW17" s="59"/>
      <c r="GX17" s="59"/>
      <c r="GY17" s="59"/>
      <c r="GZ17" s="59"/>
      <c r="HA17" s="59"/>
      <c r="HB17" s="59"/>
      <c r="HC17" s="59"/>
      <c r="HD17" s="59"/>
      <c r="HE17" s="59"/>
      <c r="HF17" s="59"/>
      <c r="HG17" s="59"/>
      <c r="HH17" s="59"/>
      <c r="HI17" s="59"/>
      <c r="HJ17" s="59"/>
      <c r="HK17" s="60"/>
      <c r="HL17" s="59"/>
      <c r="HM17" s="59"/>
      <c r="HN17" s="59"/>
      <c r="HO17" s="59"/>
      <c r="HP17" s="59"/>
      <c r="HQ17" s="59"/>
      <c r="HR17" s="59"/>
      <c r="HS17" s="59"/>
      <c r="HT17" s="59"/>
      <c r="HU17" s="59"/>
      <c r="HV17" s="59"/>
      <c r="HW17" s="59"/>
      <c r="HX17" s="59"/>
      <c r="HY17" s="59"/>
      <c r="HZ17" s="59"/>
      <c r="IA17" s="59"/>
      <c r="IB17" s="59"/>
      <c r="IC17" s="59"/>
      <c r="ID17" s="59"/>
      <c r="IE17" s="59"/>
      <c r="IF17" s="59"/>
      <c r="IG17" s="59"/>
      <c r="IH17" s="59"/>
      <c r="II17" s="59"/>
      <c r="IJ17" s="59"/>
      <c r="IK17" s="59"/>
      <c r="IL17" s="59"/>
      <c r="IM17" s="59"/>
      <c r="IN17" s="59"/>
      <c r="IO17" s="59"/>
      <c r="IP17" s="60"/>
      <c r="IQ17" s="59"/>
      <c r="IR17" s="59"/>
      <c r="IS17" s="59"/>
      <c r="IT17" s="59"/>
      <c r="IU17" s="59"/>
      <c r="IV17" s="59"/>
      <c r="IW17" s="59"/>
      <c r="IX17" s="59"/>
      <c r="IY17" s="59"/>
      <c r="IZ17" s="59"/>
      <c r="JA17" s="59"/>
      <c r="JB17" s="59"/>
      <c r="JC17" s="59"/>
      <c r="JD17" s="59"/>
      <c r="JE17" s="59"/>
      <c r="JF17" s="59"/>
      <c r="JG17" s="59"/>
      <c r="JH17" s="59"/>
      <c r="JI17" s="59"/>
      <c r="JJ17" s="59"/>
      <c r="JK17" s="59"/>
      <c r="JL17" s="59"/>
      <c r="JM17" s="59"/>
      <c r="JN17" s="59"/>
      <c r="JO17" s="59"/>
      <c r="JP17" s="59"/>
      <c r="JQ17" s="59"/>
      <c r="JR17" s="59"/>
      <c r="JS17" s="59"/>
      <c r="JT17" s="60"/>
      <c r="JU17" s="59"/>
      <c r="JV17" s="59"/>
      <c r="JW17" s="59"/>
      <c r="JX17" s="59"/>
      <c r="JY17" s="59"/>
      <c r="JZ17" s="59"/>
      <c r="KA17" s="59"/>
      <c r="KB17" s="59"/>
      <c r="KC17" s="59"/>
      <c r="KD17" s="59"/>
      <c r="KE17" s="59"/>
      <c r="KF17" s="59"/>
      <c r="KG17" s="59"/>
      <c r="KH17" s="59"/>
      <c r="KI17" s="59"/>
      <c r="KJ17" s="59"/>
      <c r="KK17" s="59"/>
      <c r="KL17" s="59"/>
      <c r="KM17" s="59"/>
      <c r="KN17" s="59"/>
      <c r="KO17" s="59"/>
      <c r="KP17" s="59"/>
      <c r="KQ17" s="59"/>
      <c r="KR17" s="59"/>
      <c r="KS17" s="59"/>
      <c r="KT17" s="59"/>
      <c r="KU17" s="59"/>
      <c r="KV17" s="59"/>
      <c r="KW17" s="59"/>
      <c r="KX17" s="59"/>
      <c r="KY17" s="60"/>
      <c r="KZ17" s="59"/>
      <c r="LA17" s="59"/>
      <c r="LB17" s="59"/>
      <c r="LC17" s="59"/>
      <c r="LD17" s="59"/>
      <c r="LE17" s="59"/>
      <c r="LF17" s="59"/>
      <c r="LG17" s="59"/>
      <c r="LH17" s="59"/>
      <c r="LI17" s="59"/>
      <c r="LJ17" s="59"/>
      <c r="LK17" s="59"/>
      <c r="LL17" s="59"/>
      <c r="LM17" s="59"/>
      <c r="LN17" s="59"/>
      <c r="LO17" s="59"/>
      <c r="LP17" s="59"/>
      <c r="LQ17" s="59"/>
      <c r="LR17" s="59"/>
      <c r="LS17" s="59"/>
      <c r="LT17" s="59"/>
      <c r="LU17" s="59"/>
      <c r="LV17" s="59"/>
      <c r="LW17" s="59"/>
      <c r="LX17" s="59"/>
      <c r="LY17" s="59"/>
      <c r="LZ17" s="59"/>
      <c r="MA17" s="59"/>
      <c r="MB17" s="59"/>
      <c r="MC17" s="60"/>
      <c r="MD17" s="59"/>
      <c r="ME17" s="59"/>
      <c r="MF17" s="59"/>
      <c r="MG17" s="59"/>
      <c r="MH17" s="59"/>
      <c r="MI17" s="59"/>
      <c r="MJ17" s="59"/>
      <c r="MK17" s="59"/>
      <c r="ML17" s="59"/>
      <c r="MM17" s="59"/>
      <c r="MN17" s="59"/>
      <c r="MO17" s="59"/>
      <c r="MP17" s="59"/>
      <c r="MQ17" s="59"/>
      <c r="MR17" s="59"/>
      <c r="MS17" s="59"/>
      <c r="MT17" s="59"/>
      <c r="MU17" s="59"/>
      <c r="MV17" s="59"/>
      <c r="MW17" s="59"/>
      <c r="MX17" s="59"/>
      <c r="MY17" s="59"/>
      <c r="MZ17" s="59"/>
      <c r="NA17" s="59"/>
      <c r="NB17" s="59"/>
      <c r="NC17" s="59"/>
      <c r="ND17" s="59"/>
      <c r="NE17" s="59"/>
      <c r="NF17" s="59"/>
      <c r="NG17" s="59"/>
    </row>
    <row r="18" hidden="1" outlineLevel="1">
      <c r="A18" s="10" t="s">
        <v>106</v>
      </c>
      <c r="B18" s="61">
        <v>46289.0</v>
      </c>
      <c r="C18" s="53"/>
      <c r="D18" s="53"/>
      <c r="E18" s="53"/>
      <c r="F18" s="54"/>
      <c r="G18" s="54"/>
      <c r="H18" s="54"/>
      <c r="I18" s="55"/>
      <c r="J18" s="56"/>
      <c r="K18" s="54"/>
      <c r="L18" s="54"/>
      <c r="M18" s="54"/>
      <c r="N18" s="54"/>
      <c r="O18" s="54"/>
      <c r="P18" s="54"/>
      <c r="Q18" s="54"/>
      <c r="R18" s="12"/>
      <c r="S18" s="13"/>
      <c r="T18" s="13"/>
      <c r="U18" s="12"/>
      <c r="V18" s="12"/>
      <c r="W18" s="12"/>
      <c r="X18" s="12"/>
      <c r="Y18" s="12"/>
      <c r="Z18" s="12"/>
      <c r="AA18" s="12"/>
      <c r="AB18" s="13"/>
      <c r="AC18" s="13"/>
      <c r="AD18" s="57"/>
      <c r="AE18" s="57"/>
      <c r="AF18" s="57"/>
      <c r="AG18" s="57"/>
      <c r="AH18" s="57"/>
      <c r="AI18" s="57"/>
      <c r="AJ18" s="57"/>
      <c r="AK18" s="57"/>
      <c r="AL18" s="58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8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60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60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60"/>
      <c r="FC18" s="59"/>
      <c r="FD18" s="59"/>
      <c r="FE18" s="59"/>
      <c r="FF18" s="59"/>
      <c r="FG18" s="59"/>
      <c r="FH18" s="59"/>
      <c r="FI18" s="59"/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59"/>
      <c r="FU18" s="59"/>
      <c r="FV18" s="59"/>
      <c r="FW18" s="59"/>
      <c r="FX18" s="59"/>
      <c r="FY18" s="59"/>
      <c r="FZ18" s="59"/>
      <c r="GA18" s="59"/>
      <c r="GB18" s="59"/>
      <c r="GC18" s="59"/>
      <c r="GD18" s="59"/>
      <c r="GE18" s="59"/>
      <c r="GF18" s="60"/>
      <c r="GG18" s="59"/>
      <c r="GH18" s="59"/>
      <c r="GI18" s="59"/>
      <c r="GJ18" s="59"/>
      <c r="GK18" s="59"/>
      <c r="GL18" s="59"/>
      <c r="GM18" s="59"/>
      <c r="GN18" s="59"/>
      <c r="GO18" s="59"/>
      <c r="GP18" s="59"/>
      <c r="GQ18" s="59"/>
      <c r="GR18" s="59"/>
      <c r="GS18" s="59"/>
      <c r="GT18" s="59"/>
      <c r="GU18" s="59"/>
      <c r="GV18" s="59"/>
      <c r="GW18" s="59"/>
      <c r="GX18" s="59"/>
      <c r="GY18" s="59"/>
      <c r="GZ18" s="59"/>
      <c r="HA18" s="59"/>
      <c r="HB18" s="59"/>
      <c r="HC18" s="59"/>
      <c r="HD18" s="59"/>
      <c r="HE18" s="59"/>
      <c r="HF18" s="59"/>
      <c r="HG18" s="59"/>
      <c r="HH18" s="59"/>
      <c r="HI18" s="59"/>
      <c r="HJ18" s="59"/>
      <c r="HK18" s="60"/>
      <c r="HL18" s="59"/>
      <c r="HM18" s="59"/>
      <c r="HN18" s="59"/>
      <c r="HO18" s="59"/>
      <c r="HP18" s="59"/>
      <c r="HQ18" s="59"/>
      <c r="HR18" s="59"/>
      <c r="HS18" s="59"/>
      <c r="HT18" s="59"/>
      <c r="HU18" s="59"/>
      <c r="HV18" s="59"/>
      <c r="HW18" s="59"/>
      <c r="HX18" s="59"/>
      <c r="HY18" s="59"/>
      <c r="HZ18" s="59"/>
      <c r="IA18" s="59"/>
      <c r="IB18" s="59"/>
      <c r="IC18" s="59"/>
      <c r="ID18" s="59"/>
      <c r="IE18" s="59"/>
      <c r="IF18" s="59"/>
      <c r="IG18" s="59"/>
      <c r="IH18" s="59"/>
      <c r="II18" s="59"/>
      <c r="IJ18" s="59"/>
      <c r="IK18" s="59"/>
      <c r="IL18" s="59"/>
      <c r="IM18" s="59"/>
      <c r="IN18" s="59"/>
      <c r="IO18" s="59"/>
      <c r="IP18" s="60"/>
      <c r="IQ18" s="59"/>
      <c r="IR18" s="59"/>
      <c r="IS18" s="59"/>
      <c r="IT18" s="59"/>
      <c r="IU18" s="59"/>
      <c r="IV18" s="59"/>
      <c r="IW18" s="59"/>
      <c r="IX18" s="59"/>
      <c r="IY18" s="59"/>
      <c r="IZ18" s="59"/>
      <c r="JA18" s="59"/>
      <c r="JB18" s="59"/>
      <c r="JC18" s="59"/>
      <c r="JD18" s="59"/>
      <c r="JE18" s="59"/>
      <c r="JF18" s="59"/>
      <c r="JG18" s="59"/>
      <c r="JH18" s="59"/>
      <c r="JI18" s="59"/>
      <c r="JJ18" s="59"/>
      <c r="JK18" s="59"/>
      <c r="JL18" s="59"/>
      <c r="JM18" s="59"/>
      <c r="JN18" s="59"/>
      <c r="JO18" s="59"/>
      <c r="JP18" s="59"/>
      <c r="JQ18" s="59"/>
      <c r="JR18" s="59"/>
      <c r="JS18" s="59"/>
      <c r="JT18" s="60"/>
      <c r="JU18" s="59"/>
      <c r="JV18" s="59"/>
      <c r="JW18" s="59"/>
      <c r="JX18" s="59"/>
      <c r="JY18" s="59"/>
      <c r="JZ18" s="59"/>
      <c r="KA18" s="59"/>
      <c r="KB18" s="59"/>
      <c r="KC18" s="59"/>
      <c r="KD18" s="59"/>
      <c r="KE18" s="59"/>
      <c r="KF18" s="59"/>
      <c r="KG18" s="59"/>
      <c r="KH18" s="59"/>
      <c r="KI18" s="59"/>
      <c r="KJ18" s="59"/>
      <c r="KK18" s="59"/>
      <c r="KL18" s="59"/>
      <c r="KM18" s="59"/>
      <c r="KN18" s="59"/>
      <c r="KO18" s="59"/>
      <c r="KP18" s="59"/>
      <c r="KQ18" s="59"/>
      <c r="KR18" s="59"/>
      <c r="KS18" s="59"/>
      <c r="KT18" s="59"/>
      <c r="KU18" s="59"/>
      <c r="KV18" s="59"/>
      <c r="KW18" s="59"/>
      <c r="KX18" s="59"/>
      <c r="KY18" s="60"/>
      <c r="KZ18" s="59"/>
      <c r="LA18" s="59"/>
      <c r="LB18" s="59"/>
      <c r="LC18" s="59"/>
      <c r="LD18" s="59"/>
      <c r="LE18" s="59"/>
      <c r="LF18" s="59"/>
      <c r="LG18" s="59"/>
      <c r="LH18" s="59"/>
      <c r="LI18" s="59"/>
      <c r="LJ18" s="59"/>
      <c r="LK18" s="59"/>
      <c r="LL18" s="59"/>
      <c r="LM18" s="59"/>
      <c r="LN18" s="59"/>
      <c r="LO18" s="59"/>
      <c r="LP18" s="59"/>
      <c r="LQ18" s="59"/>
      <c r="LR18" s="59"/>
      <c r="LS18" s="59"/>
      <c r="LT18" s="59"/>
      <c r="LU18" s="59"/>
      <c r="LV18" s="59"/>
      <c r="LW18" s="59"/>
      <c r="LX18" s="59"/>
      <c r="LY18" s="59"/>
      <c r="LZ18" s="59"/>
      <c r="MA18" s="59"/>
      <c r="MB18" s="59"/>
      <c r="MC18" s="60"/>
      <c r="MD18" s="59"/>
      <c r="ME18" s="59"/>
      <c r="MF18" s="59"/>
      <c r="MG18" s="59"/>
      <c r="MH18" s="59"/>
      <c r="MI18" s="59"/>
      <c r="MJ18" s="59"/>
      <c r="MK18" s="59"/>
      <c r="ML18" s="59"/>
      <c r="MM18" s="59"/>
      <c r="MN18" s="59"/>
      <c r="MO18" s="59"/>
      <c r="MP18" s="59"/>
      <c r="MQ18" s="59"/>
      <c r="MR18" s="59"/>
      <c r="MS18" s="59"/>
      <c r="MT18" s="59"/>
      <c r="MU18" s="59"/>
      <c r="MV18" s="59"/>
      <c r="MW18" s="59"/>
      <c r="MX18" s="59"/>
      <c r="MY18" s="59"/>
      <c r="MZ18" s="59"/>
      <c r="NA18" s="59"/>
      <c r="NB18" s="59"/>
      <c r="NC18" s="59"/>
      <c r="ND18" s="59"/>
      <c r="NE18" s="59"/>
      <c r="NF18" s="59"/>
      <c r="NG18" s="59"/>
    </row>
    <row r="19" hidden="1" outlineLevel="1">
      <c r="A19" s="66"/>
      <c r="B19" s="61">
        <v>46290.0</v>
      </c>
      <c r="C19" s="53"/>
      <c r="D19" s="53"/>
      <c r="E19" s="53"/>
      <c r="F19" s="54"/>
      <c r="G19" s="54"/>
      <c r="H19" s="54"/>
      <c r="I19" s="55"/>
      <c r="J19" s="56"/>
      <c r="K19" s="54"/>
      <c r="L19" s="54"/>
      <c r="M19" s="54"/>
      <c r="N19" s="54"/>
      <c r="O19" s="54"/>
      <c r="P19" s="54"/>
      <c r="Q19" s="54"/>
      <c r="R19" s="12"/>
      <c r="S19" s="13"/>
      <c r="T19" s="13"/>
      <c r="U19" s="12"/>
      <c r="V19" s="12"/>
      <c r="W19" s="12"/>
      <c r="X19" s="12"/>
      <c r="Y19" s="12"/>
      <c r="Z19" s="12"/>
      <c r="AA19" s="12"/>
      <c r="AB19" s="13"/>
      <c r="AC19" s="13"/>
      <c r="AD19" s="57"/>
      <c r="AE19" s="57"/>
      <c r="AF19" s="57"/>
      <c r="AG19" s="57"/>
      <c r="AH19" s="57"/>
      <c r="AI19" s="57"/>
      <c r="AJ19" s="57"/>
      <c r="AK19" s="57"/>
      <c r="AL19" s="58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8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60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60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60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59"/>
      <c r="FU19" s="59"/>
      <c r="FV19" s="59"/>
      <c r="FW19" s="59"/>
      <c r="FX19" s="59"/>
      <c r="FY19" s="59"/>
      <c r="FZ19" s="59"/>
      <c r="GA19" s="59"/>
      <c r="GB19" s="59"/>
      <c r="GC19" s="59"/>
      <c r="GD19" s="59"/>
      <c r="GE19" s="59"/>
      <c r="GF19" s="60"/>
      <c r="GG19" s="59"/>
      <c r="GH19" s="59"/>
      <c r="GI19" s="59"/>
      <c r="GJ19" s="59"/>
      <c r="GK19" s="59"/>
      <c r="GL19" s="59"/>
      <c r="GM19" s="59"/>
      <c r="GN19" s="59"/>
      <c r="GO19" s="59"/>
      <c r="GP19" s="59"/>
      <c r="GQ19" s="59"/>
      <c r="GR19" s="59"/>
      <c r="GS19" s="59"/>
      <c r="GT19" s="59"/>
      <c r="GU19" s="59"/>
      <c r="GV19" s="59"/>
      <c r="GW19" s="59"/>
      <c r="GX19" s="59"/>
      <c r="GY19" s="59"/>
      <c r="GZ19" s="59"/>
      <c r="HA19" s="59"/>
      <c r="HB19" s="59"/>
      <c r="HC19" s="59"/>
      <c r="HD19" s="59"/>
      <c r="HE19" s="59"/>
      <c r="HF19" s="59"/>
      <c r="HG19" s="59"/>
      <c r="HH19" s="59"/>
      <c r="HI19" s="59"/>
      <c r="HJ19" s="59"/>
      <c r="HK19" s="60"/>
      <c r="HL19" s="59"/>
      <c r="HM19" s="59"/>
      <c r="HN19" s="59"/>
      <c r="HO19" s="59"/>
      <c r="HP19" s="59"/>
      <c r="HQ19" s="59"/>
      <c r="HR19" s="59"/>
      <c r="HS19" s="59"/>
      <c r="HT19" s="59"/>
      <c r="HU19" s="59"/>
      <c r="HV19" s="59"/>
      <c r="HW19" s="59"/>
      <c r="HX19" s="59"/>
      <c r="HY19" s="59"/>
      <c r="HZ19" s="59"/>
      <c r="IA19" s="59"/>
      <c r="IB19" s="59"/>
      <c r="IC19" s="59"/>
      <c r="ID19" s="59"/>
      <c r="IE19" s="59"/>
      <c r="IF19" s="59"/>
      <c r="IG19" s="59"/>
      <c r="IH19" s="59"/>
      <c r="II19" s="59"/>
      <c r="IJ19" s="59"/>
      <c r="IK19" s="59"/>
      <c r="IL19" s="59"/>
      <c r="IM19" s="59"/>
      <c r="IN19" s="59"/>
      <c r="IO19" s="59"/>
      <c r="IP19" s="60"/>
      <c r="IQ19" s="59"/>
      <c r="IR19" s="59"/>
      <c r="IS19" s="59"/>
      <c r="IT19" s="59"/>
      <c r="IU19" s="59"/>
      <c r="IV19" s="59"/>
      <c r="IW19" s="59"/>
      <c r="IX19" s="59"/>
      <c r="IY19" s="59"/>
      <c r="IZ19" s="59"/>
      <c r="JA19" s="59"/>
      <c r="JB19" s="59"/>
      <c r="JC19" s="59"/>
      <c r="JD19" s="59"/>
      <c r="JE19" s="59"/>
      <c r="JF19" s="59"/>
      <c r="JG19" s="59"/>
      <c r="JH19" s="59"/>
      <c r="JI19" s="59"/>
      <c r="JJ19" s="59"/>
      <c r="JK19" s="59"/>
      <c r="JL19" s="59"/>
      <c r="JM19" s="59"/>
      <c r="JN19" s="59"/>
      <c r="JO19" s="59"/>
      <c r="JP19" s="59"/>
      <c r="JQ19" s="59"/>
      <c r="JR19" s="59"/>
      <c r="JS19" s="59"/>
      <c r="JT19" s="60"/>
      <c r="JU19" s="59"/>
      <c r="JV19" s="59"/>
      <c r="JW19" s="59"/>
      <c r="JX19" s="59"/>
      <c r="JY19" s="59"/>
      <c r="JZ19" s="59"/>
      <c r="KA19" s="59"/>
      <c r="KB19" s="59"/>
      <c r="KC19" s="59"/>
      <c r="KD19" s="59"/>
      <c r="KE19" s="59"/>
      <c r="KF19" s="59"/>
      <c r="KG19" s="59"/>
      <c r="KH19" s="59"/>
      <c r="KI19" s="59"/>
      <c r="KJ19" s="59"/>
      <c r="KK19" s="59"/>
      <c r="KL19" s="59"/>
      <c r="KM19" s="59"/>
      <c r="KN19" s="59"/>
      <c r="KO19" s="59"/>
      <c r="KP19" s="59"/>
      <c r="KQ19" s="59"/>
      <c r="KR19" s="59"/>
      <c r="KS19" s="59"/>
      <c r="KT19" s="59"/>
      <c r="KU19" s="59"/>
      <c r="KV19" s="59"/>
      <c r="KW19" s="59"/>
      <c r="KX19" s="59"/>
      <c r="KY19" s="60"/>
      <c r="KZ19" s="59"/>
      <c r="LA19" s="59"/>
      <c r="LB19" s="59"/>
      <c r="LC19" s="59"/>
      <c r="LD19" s="59"/>
      <c r="LE19" s="59"/>
      <c r="LF19" s="59"/>
      <c r="LG19" s="59"/>
      <c r="LH19" s="59"/>
      <c r="LI19" s="59"/>
      <c r="LJ19" s="59"/>
      <c r="LK19" s="59"/>
      <c r="LL19" s="59"/>
      <c r="LM19" s="59"/>
      <c r="LN19" s="59"/>
      <c r="LO19" s="59"/>
      <c r="LP19" s="59"/>
      <c r="LQ19" s="59"/>
      <c r="LR19" s="59"/>
      <c r="LS19" s="59"/>
      <c r="LT19" s="59"/>
      <c r="LU19" s="59"/>
      <c r="LV19" s="59"/>
      <c r="LW19" s="59"/>
      <c r="LX19" s="59"/>
      <c r="LY19" s="59"/>
      <c r="LZ19" s="59"/>
      <c r="MA19" s="59"/>
      <c r="MB19" s="59"/>
      <c r="MC19" s="60"/>
      <c r="MD19" s="59"/>
      <c r="ME19" s="59"/>
      <c r="MF19" s="59"/>
      <c r="MG19" s="59"/>
      <c r="MH19" s="59"/>
      <c r="MI19" s="59"/>
      <c r="MJ19" s="59"/>
      <c r="MK19" s="59"/>
      <c r="ML19" s="59"/>
      <c r="MM19" s="59"/>
      <c r="MN19" s="59"/>
      <c r="MO19" s="59"/>
      <c r="MP19" s="59"/>
      <c r="MQ19" s="59"/>
      <c r="MR19" s="59"/>
      <c r="MS19" s="59"/>
      <c r="MT19" s="59"/>
      <c r="MU19" s="59"/>
      <c r="MV19" s="59"/>
      <c r="MW19" s="59"/>
      <c r="MX19" s="59"/>
      <c r="MY19" s="59"/>
      <c r="MZ19" s="59"/>
      <c r="NA19" s="59"/>
      <c r="NB19" s="59"/>
      <c r="NC19" s="59"/>
      <c r="ND19" s="59"/>
      <c r="NE19" s="59"/>
      <c r="NF19" s="59"/>
      <c r="NG19" s="59"/>
    </row>
    <row r="20" hidden="1" outlineLevel="1">
      <c r="A20" s="10" t="s">
        <v>107</v>
      </c>
      <c r="B20" s="61">
        <v>46298.0</v>
      </c>
      <c r="C20" s="53"/>
      <c r="D20" s="53"/>
      <c r="E20" s="53"/>
      <c r="F20" s="54"/>
      <c r="G20" s="54"/>
      <c r="H20" s="54"/>
      <c r="I20" s="55"/>
      <c r="J20" s="56"/>
      <c r="K20" s="54"/>
      <c r="L20" s="54"/>
      <c r="M20" s="54"/>
      <c r="N20" s="54"/>
      <c r="O20" s="54"/>
      <c r="P20" s="54"/>
      <c r="Q20" s="54"/>
      <c r="R20" s="12"/>
      <c r="S20" s="13"/>
      <c r="T20" s="13"/>
      <c r="U20" s="12"/>
      <c r="V20" s="12"/>
      <c r="W20" s="12"/>
      <c r="X20" s="12"/>
      <c r="Y20" s="12"/>
      <c r="Z20" s="12"/>
      <c r="AA20" s="12"/>
      <c r="AB20" s="13"/>
      <c r="AC20" s="13"/>
      <c r="AD20" s="57"/>
      <c r="AE20" s="57"/>
      <c r="AF20" s="57"/>
      <c r="AG20" s="57"/>
      <c r="AH20" s="57"/>
      <c r="AI20" s="57"/>
      <c r="AJ20" s="57"/>
      <c r="AK20" s="57"/>
      <c r="AL20" s="58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8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60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60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60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GD20" s="59"/>
      <c r="GE20" s="59"/>
      <c r="GF20" s="60"/>
      <c r="GG20" s="59"/>
      <c r="GH20" s="59"/>
      <c r="GI20" s="59"/>
      <c r="GJ20" s="59"/>
      <c r="GK20" s="59"/>
      <c r="GL20" s="59"/>
      <c r="GM20" s="59"/>
      <c r="GN20" s="59"/>
      <c r="GO20" s="59"/>
      <c r="GP20" s="59"/>
      <c r="GQ20" s="59"/>
      <c r="GR20" s="59"/>
      <c r="GS20" s="59"/>
      <c r="GT20" s="59"/>
      <c r="GU20" s="59"/>
      <c r="GV20" s="59"/>
      <c r="GW20" s="59"/>
      <c r="GX20" s="59"/>
      <c r="GY20" s="59"/>
      <c r="GZ20" s="59"/>
      <c r="HA20" s="59"/>
      <c r="HB20" s="59"/>
      <c r="HC20" s="59"/>
      <c r="HD20" s="59"/>
      <c r="HE20" s="59"/>
      <c r="HF20" s="59"/>
      <c r="HG20" s="59"/>
      <c r="HH20" s="59"/>
      <c r="HI20" s="59"/>
      <c r="HJ20" s="59"/>
      <c r="HK20" s="60"/>
      <c r="HL20" s="59"/>
      <c r="HM20" s="59"/>
      <c r="HN20" s="59"/>
      <c r="HO20" s="59"/>
      <c r="HP20" s="59"/>
      <c r="HQ20" s="59"/>
      <c r="HR20" s="59"/>
      <c r="HS20" s="59"/>
      <c r="HT20" s="59"/>
      <c r="HU20" s="59"/>
      <c r="HV20" s="59"/>
      <c r="HW20" s="59"/>
      <c r="HX20" s="59"/>
      <c r="HY20" s="59"/>
      <c r="HZ20" s="59"/>
      <c r="IA20" s="59"/>
      <c r="IB20" s="59"/>
      <c r="IC20" s="59"/>
      <c r="ID20" s="59"/>
      <c r="IE20" s="59"/>
      <c r="IF20" s="59"/>
      <c r="IG20" s="59"/>
      <c r="IH20" s="59"/>
      <c r="II20" s="59"/>
      <c r="IJ20" s="59"/>
      <c r="IK20" s="59"/>
      <c r="IL20" s="59"/>
      <c r="IM20" s="59"/>
      <c r="IN20" s="59"/>
      <c r="IO20" s="59"/>
      <c r="IP20" s="60"/>
      <c r="IQ20" s="59"/>
      <c r="IR20" s="59"/>
      <c r="IS20" s="59"/>
      <c r="IT20" s="59"/>
      <c r="IU20" s="59"/>
      <c r="IV20" s="59"/>
      <c r="IW20" s="59"/>
      <c r="IX20" s="59"/>
      <c r="IY20" s="59"/>
      <c r="IZ20" s="59"/>
      <c r="JA20" s="59"/>
      <c r="JB20" s="59"/>
      <c r="JC20" s="59"/>
      <c r="JD20" s="59"/>
      <c r="JE20" s="59"/>
      <c r="JF20" s="59"/>
      <c r="JG20" s="59"/>
      <c r="JH20" s="59"/>
      <c r="JI20" s="59"/>
      <c r="JJ20" s="59"/>
      <c r="JK20" s="59"/>
      <c r="JL20" s="59"/>
      <c r="JM20" s="59"/>
      <c r="JN20" s="59"/>
      <c r="JO20" s="59"/>
      <c r="JP20" s="59"/>
      <c r="JQ20" s="59"/>
      <c r="JR20" s="59"/>
      <c r="JS20" s="59"/>
      <c r="JT20" s="60"/>
      <c r="JU20" s="59"/>
      <c r="JV20" s="59"/>
      <c r="JW20" s="59"/>
      <c r="JX20" s="59"/>
      <c r="JY20" s="59"/>
      <c r="JZ20" s="59"/>
      <c r="KA20" s="59"/>
      <c r="KB20" s="59"/>
      <c r="KC20" s="59"/>
      <c r="KD20" s="59"/>
      <c r="KE20" s="59"/>
      <c r="KF20" s="59"/>
      <c r="KG20" s="59"/>
      <c r="KH20" s="59"/>
      <c r="KI20" s="59"/>
      <c r="KJ20" s="59"/>
      <c r="KK20" s="59"/>
      <c r="KL20" s="59"/>
      <c r="KM20" s="59"/>
      <c r="KN20" s="59"/>
      <c r="KO20" s="59"/>
      <c r="KP20" s="59"/>
      <c r="KQ20" s="59"/>
      <c r="KR20" s="59"/>
      <c r="KS20" s="59"/>
      <c r="KT20" s="59"/>
      <c r="KU20" s="59"/>
      <c r="KV20" s="59"/>
      <c r="KW20" s="59"/>
      <c r="KX20" s="59"/>
      <c r="KY20" s="60"/>
      <c r="KZ20" s="59"/>
      <c r="LA20" s="59"/>
      <c r="LB20" s="59"/>
      <c r="LC20" s="59"/>
      <c r="LD20" s="59"/>
      <c r="LE20" s="59"/>
      <c r="LF20" s="59"/>
      <c r="LG20" s="59"/>
      <c r="LH20" s="59"/>
      <c r="LI20" s="59"/>
      <c r="LJ20" s="59"/>
      <c r="LK20" s="59"/>
      <c r="LL20" s="59"/>
      <c r="LM20" s="59"/>
      <c r="LN20" s="59"/>
      <c r="LO20" s="59"/>
      <c r="LP20" s="59"/>
      <c r="LQ20" s="59"/>
      <c r="LR20" s="59"/>
      <c r="LS20" s="59"/>
      <c r="LT20" s="59"/>
      <c r="LU20" s="59"/>
      <c r="LV20" s="59"/>
      <c r="LW20" s="59"/>
      <c r="LX20" s="59"/>
      <c r="LY20" s="59"/>
      <c r="LZ20" s="59"/>
      <c r="MA20" s="59"/>
      <c r="MB20" s="59"/>
      <c r="MC20" s="60"/>
      <c r="MD20" s="59"/>
      <c r="ME20" s="59"/>
      <c r="MF20" s="59"/>
      <c r="MG20" s="59"/>
      <c r="MH20" s="59"/>
      <c r="MI20" s="59"/>
      <c r="MJ20" s="59"/>
      <c r="MK20" s="59"/>
      <c r="ML20" s="59"/>
      <c r="MM20" s="59"/>
      <c r="MN20" s="59"/>
      <c r="MO20" s="59"/>
      <c r="MP20" s="59"/>
      <c r="MQ20" s="59"/>
      <c r="MR20" s="59"/>
      <c r="MS20" s="59"/>
      <c r="MT20" s="59"/>
      <c r="MU20" s="59"/>
      <c r="MV20" s="59"/>
      <c r="MW20" s="59"/>
      <c r="MX20" s="59"/>
      <c r="MY20" s="59"/>
      <c r="MZ20" s="59"/>
      <c r="NA20" s="59"/>
      <c r="NB20" s="59"/>
      <c r="NC20" s="59"/>
      <c r="ND20" s="59"/>
      <c r="NE20" s="59"/>
      <c r="NF20" s="59"/>
      <c r="NG20" s="59"/>
    </row>
    <row r="21" hidden="1" outlineLevel="1">
      <c r="A21" s="66"/>
      <c r="B21" s="61">
        <v>46300.0</v>
      </c>
      <c r="C21" s="53"/>
      <c r="D21" s="53"/>
      <c r="E21" s="53"/>
      <c r="F21" s="54"/>
      <c r="G21" s="54"/>
      <c r="H21" s="54"/>
      <c r="I21" s="55"/>
      <c r="J21" s="56"/>
      <c r="K21" s="54"/>
      <c r="L21" s="54"/>
      <c r="M21" s="54"/>
      <c r="N21" s="54"/>
      <c r="O21" s="54"/>
      <c r="P21" s="54"/>
      <c r="Q21" s="54"/>
      <c r="R21" s="12"/>
      <c r="S21" s="13"/>
      <c r="T21" s="13"/>
      <c r="U21" s="12"/>
      <c r="V21" s="12"/>
      <c r="W21" s="12"/>
      <c r="X21" s="12"/>
      <c r="Y21" s="12"/>
      <c r="Z21" s="12"/>
      <c r="AA21" s="12"/>
      <c r="AB21" s="13"/>
      <c r="AC21" s="13"/>
      <c r="AD21" s="57"/>
      <c r="AE21" s="57"/>
      <c r="AF21" s="57"/>
      <c r="AG21" s="57"/>
      <c r="AH21" s="57"/>
      <c r="AI21" s="57"/>
      <c r="AJ21" s="57"/>
      <c r="AK21" s="57"/>
      <c r="AL21" s="58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8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60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60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60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59"/>
      <c r="FU21" s="59"/>
      <c r="FV21" s="59"/>
      <c r="FW21" s="59"/>
      <c r="FX21" s="59"/>
      <c r="FY21" s="59"/>
      <c r="FZ21" s="59"/>
      <c r="GA21" s="59"/>
      <c r="GB21" s="59"/>
      <c r="GC21" s="59"/>
      <c r="GD21" s="59"/>
      <c r="GE21" s="59"/>
      <c r="GF21" s="60"/>
      <c r="GG21" s="59"/>
      <c r="GH21" s="59"/>
      <c r="GI21" s="59"/>
      <c r="GJ21" s="59"/>
      <c r="GK21" s="59"/>
      <c r="GL21" s="59"/>
      <c r="GM21" s="59"/>
      <c r="GN21" s="59"/>
      <c r="GO21" s="59"/>
      <c r="GP21" s="59"/>
      <c r="GQ21" s="59"/>
      <c r="GR21" s="59"/>
      <c r="GS21" s="59"/>
      <c r="GT21" s="59"/>
      <c r="GU21" s="59"/>
      <c r="GV21" s="59"/>
      <c r="GW21" s="59"/>
      <c r="GX21" s="59"/>
      <c r="GY21" s="59"/>
      <c r="GZ21" s="59"/>
      <c r="HA21" s="59"/>
      <c r="HB21" s="59"/>
      <c r="HC21" s="59"/>
      <c r="HD21" s="59"/>
      <c r="HE21" s="59"/>
      <c r="HF21" s="59"/>
      <c r="HG21" s="59"/>
      <c r="HH21" s="59"/>
      <c r="HI21" s="59"/>
      <c r="HJ21" s="59"/>
      <c r="HK21" s="60"/>
      <c r="HL21" s="59"/>
      <c r="HM21" s="59"/>
      <c r="HN21" s="59"/>
      <c r="HO21" s="59"/>
      <c r="HP21" s="59"/>
      <c r="HQ21" s="59"/>
      <c r="HR21" s="59"/>
      <c r="HS21" s="59"/>
      <c r="HT21" s="59"/>
      <c r="HU21" s="59"/>
      <c r="HV21" s="59"/>
      <c r="HW21" s="59"/>
      <c r="HX21" s="59"/>
      <c r="HY21" s="59"/>
      <c r="HZ21" s="59"/>
      <c r="IA21" s="59"/>
      <c r="IB21" s="59"/>
      <c r="IC21" s="59"/>
      <c r="ID21" s="59"/>
      <c r="IE21" s="59"/>
      <c r="IF21" s="59"/>
      <c r="IG21" s="59"/>
      <c r="IH21" s="59"/>
      <c r="II21" s="59"/>
      <c r="IJ21" s="59"/>
      <c r="IK21" s="59"/>
      <c r="IL21" s="59"/>
      <c r="IM21" s="59"/>
      <c r="IN21" s="59"/>
      <c r="IO21" s="59"/>
      <c r="IP21" s="60"/>
      <c r="IQ21" s="59"/>
      <c r="IR21" s="59"/>
      <c r="IS21" s="59"/>
      <c r="IT21" s="59"/>
      <c r="IU21" s="59"/>
      <c r="IV21" s="59"/>
      <c r="IW21" s="59"/>
      <c r="IX21" s="59"/>
      <c r="IY21" s="59"/>
      <c r="IZ21" s="59"/>
      <c r="JA21" s="59"/>
      <c r="JB21" s="59"/>
      <c r="JC21" s="59"/>
      <c r="JD21" s="59"/>
      <c r="JE21" s="59"/>
      <c r="JF21" s="59"/>
      <c r="JG21" s="59"/>
      <c r="JH21" s="59"/>
      <c r="JI21" s="59"/>
      <c r="JJ21" s="59"/>
      <c r="JK21" s="59"/>
      <c r="JL21" s="59"/>
      <c r="JM21" s="59"/>
      <c r="JN21" s="59"/>
      <c r="JO21" s="59"/>
      <c r="JP21" s="59"/>
      <c r="JQ21" s="59"/>
      <c r="JR21" s="59"/>
      <c r="JS21" s="59"/>
      <c r="JT21" s="60"/>
      <c r="JU21" s="59"/>
      <c r="JV21" s="59"/>
      <c r="JW21" s="59"/>
      <c r="JX21" s="59"/>
      <c r="JY21" s="59"/>
      <c r="JZ21" s="59"/>
      <c r="KA21" s="59"/>
      <c r="KB21" s="59"/>
      <c r="KC21" s="59"/>
      <c r="KD21" s="59"/>
      <c r="KE21" s="59"/>
      <c r="KF21" s="59"/>
      <c r="KG21" s="59"/>
      <c r="KH21" s="59"/>
      <c r="KI21" s="59"/>
      <c r="KJ21" s="59"/>
      <c r="KK21" s="59"/>
      <c r="KL21" s="59"/>
      <c r="KM21" s="59"/>
      <c r="KN21" s="59"/>
      <c r="KO21" s="59"/>
      <c r="KP21" s="59"/>
      <c r="KQ21" s="59"/>
      <c r="KR21" s="59"/>
      <c r="KS21" s="59"/>
      <c r="KT21" s="59"/>
      <c r="KU21" s="59"/>
      <c r="KV21" s="59"/>
      <c r="KW21" s="59"/>
      <c r="KX21" s="59"/>
      <c r="KY21" s="60"/>
      <c r="KZ21" s="59"/>
      <c r="LA21" s="59"/>
      <c r="LB21" s="59"/>
      <c r="LC21" s="59"/>
      <c r="LD21" s="59"/>
      <c r="LE21" s="59"/>
      <c r="LF21" s="59"/>
      <c r="LG21" s="59"/>
      <c r="LH21" s="59"/>
      <c r="LI21" s="59"/>
      <c r="LJ21" s="59"/>
      <c r="LK21" s="59"/>
      <c r="LL21" s="59"/>
      <c r="LM21" s="59"/>
      <c r="LN21" s="59"/>
      <c r="LO21" s="59"/>
      <c r="LP21" s="59"/>
      <c r="LQ21" s="59"/>
      <c r="LR21" s="59"/>
      <c r="LS21" s="59"/>
      <c r="LT21" s="59"/>
      <c r="LU21" s="59"/>
      <c r="LV21" s="59"/>
      <c r="LW21" s="59"/>
      <c r="LX21" s="59"/>
      <c r="LY21" s="59"/>
      <c r="LZ21" s="59"/>
      <c r="MA21" s="59"/>
      <c r="MB21" s="59"/>
      <c r="MC21" s="60"/>
      <c r="MD21" s="59"/>
      <c r="ME21" s="59"/>
      <c r="MF21" s="59"/>
      <c r="MG21" s="59"/>
      <c r="MH21" s="59"/>
      <c r="MI21" s="59"/>
      <c r="MJ21" s="59"/>
      <c r="MK21" s="59"/>
      <c r="ML21" s="59"/>
      <c r="MM21" s="59"/>
      <c r="MN21" s="59"/>
      <c r="MO21" s="59"/>
      <c r="MP21" s="59"/>
      <c r="MQ21" s="59"/>
      <c r="MR21" s="59"/>
      <c r="MS21" s="59"/>
      <c r="MT21" s="59"/>
      <c r="MU21" s="59"/>
      <c r="MV21" s="59"/>
      <c r="MW21" s="59"/>
      <c r="MX21" s="59"/>
      <c r="MY21" s="59"/>
      <c r="MZ21" s="59"/>
      <c r="NA21" s="59"/>
      <c r="NB21" s="59"/>
      <c r="NC21" s="59"/>
      <c r="ND21" s="59"/>
      <c r="NE21" s="59"/>
      <c r="NF21" s="59"/>
      <c r="NG21" s="59"/>
    </row>
    <row r="22" hidden="1" outlineLevel="1">
      <c r="A22" s="10" t="s">
        <v>108</v>
      </c>
      <c r="B22" s="61">
        <v>46304.0</v>
      </c>
      <c r="C22" s="53"/>
      <c r="D22" s="53"/>
      <c r="E22" s="53"/>
      <c r="F22" s="54"/>
      <c r="G22" s="54"/>
      <c r="H22" s="54"/>
      <c r="I22" s="55"/>
      <c r="J22" s="56"/>
      <c r="K22" s="54"/>
      <c r="L22" s="54"/>
      <c r="M22" s="54"/>
      <c r="N22" s="54"/>
      <c r="O22" s="54"/>
      <c r="P22" s="54"/>
      <c r="Q22" s="54"/>
      <c r="R22" s="12"/>
      <c r="S22" s="13"/>
      <c r="T22" s="13"/>
      <c r="U22" s="12"/>
      <c r="V22" s="12"/>
      <c r="W22" s="12"/>
      <c r="X22" s="12"/>
      <c r="Y22" s="12"/>
      <c r="Z22" s="12"/>
      <c r="AA22" s="12"/>
      <c r="AB22" s="13"/>
      <c r="AC22" s="13"/>
      <c r="AD22" s="57"/>
      <c r="AE22" s="57"/>
      <c r="AF22" s="57"/>
      <c r="AG22" s="57"/>
      <c r="AH22" s="57"/>
      <c r="AI22" s="57"/>
      <c r="AJ22" s="57"/>
      <c r="AK22" s="57"/>
      <c r="AL22" s="58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8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60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9"/>
      <c r="DG22" s="59"/>
      <c r="DH22" s="59"/>
      <c r="DI22" s="59"/>
      <c r="DJ22" s="59"/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60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L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60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59"/>
      <c r="FU22" s="59"/>
      <c r="FV22" s="59"/>
      <c r="FW22" s="59"/>
      <c r="FX22" s="59"/>
      <c r="FY22" s="59"/>
      <c r="FZ22" s="59"/>
      <c r="GA22" s="59"/>
      <c r="GB22" s="59"/>
      <c r="GC22" s="59"/>
      <c r="GD22" s="59"/>
      <c r="GE22" s="59"/>
      <c r="GF22" s="60"/>
      <c r="GG22" s="59"/>
      <c r="GH22" s="59"/>
      <c r="GI22" s="59"/>
      <c r="GJ22" s="59"/>
      <c r="GK22" s="59"/>
      <c r="GL22" s="59"/>
      <c r="GM22" s="59"/>
      <c r="GN22" s="59"/>
      <c r="GO22" s="59"/>
      <c r="GP22" s="59"/>
      <c r="GQ22" s="59"/>
      <c r="GR22" s="59"/>
      <c r="GS22" s="59"/>
      <c r="GT22" s="59"/>
      <c r="GU22" s="59"/>
      <c r="GV22" s="59"/>
      <c r="GW22" s="59"/>
      <c r="GX22" s="59"/>
      <c r="GY22" s="59"/>
      <c r="GZ22" s="59"/>
      <c r="HA22" s="59"/>
      <c r="HB22" s="59"/>
      <c r="HC22" s="59"/>
      <c r="HD22" s="59"/>
      <c r="HE22" s="59"/>
      <c r="HF22" s="59"/>
      <c r="HG22" s="59"/>
      <c r="HH22" s="59"/>
      <c r="HI22" s="59"/>
      <c r="HJ22" s="59"/>
      <c r="HK22" s="60"/>
      <c r="HL22" s="59"/>
      <c r="HM22" s="59"/>
      <c r="HN22" s="59"/>
      <c r="HO22" s="59"/>
      <c r="HP22" s="59"/>
      <c r="HQ22" s="59"/>
      <c r="HR22" s="59"/>
      <c r="HS22" s="59"/>
      <c r="HT22" s="59"/>
      <c r="HU22" s="59"/>
      <c r="HV22" s="59"/>
      <c r="HW22" s="59"/>
      <c r="HX22" s="59"/>
      <c r="HY22" s="59"/>
      <c r="HZ22" s="59"/>
      <c r="IA22" s="59"/>
      <c r="IB22" s="59"/>
      <c r="IC22" s="59"/>
      <c r="ID22" s="59"/>
      <c r="IE22" s="59"/>
      <c r="IF22" s="59"/>
      <c r="IG22" s="59"/>
      <c r="IH22" s="59"/>
      <c r="II22" s="59"/>
      <c r="IJ22" s="59"/>
      <c r="IK22" s="59"/>
      <c r="IL22" s="59"/>
      <c r="IM22" s="59"/>
      <c r="IN22" s="59"/>
      <c r="IO22" s="59"/>
      <c r="IP22" s="60"/>
      <c r="IQ22" s="59"/>
      <c r="IR22" s="59"/>
      <c r="IS22" s="59"/>
      <c r="IT22" s="59"/>
      <c r="IU22" s="59"/>
      <c r="IV22" s="59"/>
      <c r="IW22" s="59"/>
      <c r="IX22" s="59"/>
      <c r="IY22" s="59"/>
      <c r="IZ22" s="59"/>
      <c r="JA22" s="59"/>
      <c r="JB22" s="59"/>
      <c r="JC22" s="59"/>
      <c r="JD22" s="59"/>
      <c r="JE22" s="59"/>
      <c r="JF22" s="59"/>
      <c r="JG22" s="59"/>
      <c r="JH22" s="59"/>
      <c r="JI22" s="59"/>
      <c r="JJ22" s="59"/>
      <c r="JK22" s="59"/>
      <c r="JL22" s="59"/>
      <c r="JM22" s="59"/>
      <c r="JN22" s="59"/>
      <c r="JO22" s="59"/>
      <c r="JP22" s="59"/>
      <c r="JQ22" s="59"/>
      <c r="JR22" s="59"/>
      <c r="JS22" s="59"/>
      <c r="JT22" s="60"/>
      <c r="JU22" s="59"/>
      <c r="JV22" s="59"/>
      <c r="JW22" s="59"/>
      <c r="JX22" s="59"/>
      <c r="JY22" s="59"/>
      <c r="JZ22" s="59"/>
      <c r="KA22" s="59"/>
      <c r="KB22" s="59"/>
      <c r="KC22" s="59"/>
      <c r="KD22" s="59"/>
      <c r="KE22" s="59"/>
      <c r="KF22" s="59"/>
      <c r="KG22" s="59"/>
      <c r="KH22" s="59"/>
      <c r="KI22" s="59"/>
      <c r="KJ22" s="59"/>
      <c r="KK22" s="59"/>
      <c r="KL22" s="59"/>
      <c r="KM22" s="59"/>
      <c r="KN22" s="59"/>
      <c r="KO22" s="59"/>
      <c r="KP22" s="59"/>
      <c r="KQ22" s="59"/>
      <c r="KR22" s="59"/>
      <c r="KS22" s="59"/>
      <c r="KT22" s="59"/>
      <c r="KU22" s="59"/>
      <c r="KV22" s="59"/>
      <c r="KW22" s="59"/>
      <c r="KX22" s="59"/>
      <c r="KY22" s="60"/>
      <c r="KZ22" s="59"/>
      <c r="LA22" s="59"/>
      <c r="LB22" s="59"/>
      <c r="LC22" s="59"/>
      <c r="LD22" s="59"/>
      <c r="LE22" s="59"/>
      <c r="LF22" s="59"/>
      <c r="LG22" s="59"/>
      <c r="LH22" s="59"/>
      <c r="LI22" s="59"/>
      <c r="LJ22" s="59"/>
      <c r="LK22" s="59"/>
      <c r="LL22" s="59"/>
      <c r="LM22" s="59"/>
      <c r="LN22" s="59"/>
      <c r="LO22" s="59"/>
      <c r="LP22" s="59"/>
      <c r="LQ22" s="59"/>
      <c r="LR22" s="59"/>
      <c r="LS22" s="59"/>
      <c r="LT22" s="59"/>
      <c r="LU22" s="59"/>
      <c r="LV22" s="59"/>
      <c r="LW22" s="59"/>
      <c r="LX22" s="59"/>
      <c r="LY22" s="59"/>
      <c r="LZ22" s="59"/>
      <c r="MA22" s="59"/>
      <c r="MB22" s="59"/>
      <c r="MC22" s="60"/>
      <c r="MD22" s="59"/>
      <c r="ME22" s="59"/>
      <c r="MF22" s="59"/>
      <c r="MG22" s="59"/>
      <c r="MH22" s="59"/>
      <c r="MI22" s="59"/>
      <c r="MJ22" s="59"/>
      <c r="MK22" s="59"/>
      <c r="ML22" s="59"/>
      <c r="MM22" s="59"/>
      <c r="MN22" s="59"/>
      <c r="MO22" s="59"/>
      <c r="MP22" s="59"/>
      <c r="MQ22" s="59"/>
      <c r="MR22" s="59"/>
      <c r="MS22" s="59"/>
      <c r="MT22" s="59"/>
      <c r="MU22" s="59"/>
      <c r="MV22" s="59"/>
      <c r="MW22" s="59"/>
      <c r="MX22" s="59"/>
      <c r="MY22" s="59"/>
      <c r="MZ22" s="59"/>
      <c r="NA22" s="59"/>
      <c r="NB22" s="59"/>
      <c r="NC22" s="59"/>
      <c r="ND22" s="59"/>
      <c r="NE22" s="59"/>
      <c r="NF22" s="59"/>
      <c r="NG22" s="59"/>
    </row>
    <row r="23" hidden="1" outlineLevel="1">
      <c r="A23" s="10" t="s">
        <v>109</v>
      </c>
      <c r="B23" s="61">
        <v>46381.0</v>
      </c>
      <c r="C23" s="53"/>
      <c r="D23" s="53"/>
      <c r="E23" s="53"/>
      <c r="F23" s="54"/>
      <c r="G23" s="54"/>
      <c r="H23" s="54"/>
      <c r="I23" s="55"/>
      <c r="J23" s="56"/>
      <c r="K23" s="54"/>
      <c r="L23" s="54"/>
      <c r="M23" s="54"/>
      <c r="N23" s="54"/>
      <c r="O23" s="54"/>
      <c r="P23" s="54"/>
      <c r="Q23" s="54"/>
      <c r="R23" s="12"/>
      <c r="S23" s="13"/>
      <c r="T23" s="13"/>
      <c r="U23" s="12"/>
      <c r="V23" s="12"/>
      <c r="W23" s="12"/>
      <c r="X23" s="12"/>
      <c r="Y23" s="12"/>
      <c r="Z23" s="12"/>
      <c r="AA23" s="12"/>
      <c r="AB23" s="13"/>
      <c r="AC23" s="13"/>
      <c r="AD23" s="57"/>
      <c r="AE23" s="57"/>
      <c r="AF23" s="57"/>
      <c r="AG23" s="57"/>
      <c r="AH23" s="57"/>
      <c r="AI23" s="57"/>
      <c r="AJ23" s="57"/>
      <c r="AK23" s="57"/>
      <c r="AL23" s="58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8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60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T23" s="59"/>
      <c r="DU23" s="59"/>
      <c r="DV23" s="59"/>
      <c r="DW23" s="60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60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  <c r="FT23" s="59"/>
      <c r="FU23" s="59"/>
      <c r="FV23" s="59"/>
      <c r="FW23" s="59"/>
      <c r="FX23" s="59"/>
      <c r="FY23" s="59"/>
      <c r="FZ23" s="59"/>
      <c r="GA23" s="59"/>
      <c r="GB23" s="59"/>
      <c r="GC23" s="59"/>
      <c r="GD23" s="59"/>
      <c r="GE23" s="59"/>
      <c r="GF23" s="60"/>
      <c r="GG23" s="59"/>
      <c r="GH23" s="59"/>
      <c r="GI23" s="59"/>
      <c r="GJ23" s="59"/>
      <c r="GK23" s="59"/>
      <c r="GL23" s="59"/>
      <c r="GM23" s="59"/>
      <c r="GN23" s="59"/>
      <c r="GO23" s="59"/>
      <c r="GP23" s="59"/>
      <c r="GQ23" s="59"/>
      <c r="GR23" s="59"/>
      <c r="GS23" s="59"/>
      <c r="GT23" s="59"/>
      <c r="GU23" s="59"/>
      <c r="GV23" s="59"/>
      <c r="GW23" s="59"/>
      <c r="GX23" s="59"/>
      <c r="GY23" s="59"/>
      <c r="GZ23" s="59"/>
      <c r="HA23" s="59"/>
      <c r="HB23" s="59"/>
      <c r="HC23" s="59"/>
      <c r="HD23" s="59"/>
      <c r="HE23" s="59"/>
      <c r="HF23" s="59"/>
      <c r="HG23" s="59"/>
      <c r="HH23" s="59"/>
      <c r="HI23" s="59"/>
      <c r="HJ23" s="59"/>
      <c r="HK23" s="60"/>
      <c r="HL23" s="59"/>
      <c r="HM23" s="59"/>
      <c r="HN23" s="59"/>
      <c r="HO23" s="59"/>
      <c r="HP23" s="59"/>
      <c r="HQ23" s="59"/>
      <c r="HR23" s="59"/>
      <c r="HS23" s="59"/>
      <c r="HT23" s="59"/>
      <c r="HU23" s="59"/>
      <c r="HV23" s="59"/>
      <c r="HW23" s="59"/>
      <c r="HX23" s="59"/>
      <c r="HY23" s="59"/>
      <c r="HZ23" s="59"/>
      <c r="IA23" s="59"/>
      <c r="IB23" s="59"/>
      <c r="IC23" s="59"/>
      <c r="ID23" s="59"/>
      <c r="IE23" s="59"/>
      <c r="IF23" s="59"/>
      <c r="IG23" s="59"/>
      <c r="IH23" s="59"/>
      <c r="II23" s="59"/>
      <c r="IJ23" s="59"/>
      <c r="IK23" s="59"/>
      <c r="IL23" s="59"/>
      <c r="IM23" s="59"/>
      <c r="IN23" s="59"/>
      <c r="IO23" s="59"/>
      <c r="IP23" s="60"/>
      <c r="IQ23" s="59"/>
      <c r="IR23" s="59"/>
      <c r="IS23" s="59"/>
      <c r="IT23" s="59"/>
      <c r="IU23" s="59"/>
      <c r="IV23" s="59"/>
      <c r="IW23" s="59"/>
      <c r="IX23" s="59"/>
      <c r="IY23" s="59"/>
      <c r="IZ23" s="59"/>
      <c r="JA23" s="59"/>
      <c r="JB23" s="59"/>
      <c r="JC23" s="59"/>
      <c r="JD23" s="59"/>
      <c r="JE23" s="59"/>
      <c r="JF23" s="59"/>
      <c r="JG23" s="59"/>
      <c r="JH23" s="59"/>
      <c r="JI23" s="59"/>
      <c r="JJ23" s="59"/>
      <c r="JK23" s="59"/>
      <c r="JL23" s="59"/>
      <c r="JM23" s="59"/>
      <c r="JN23" s="59"/>
      <c r="JO23" s="59"/>
      <c r="JP23" s="59"/>
      <c r="JQ23" s="59"/>
      <c r="JR23" s="59"/>
      <c r="JS23" s="59"/>
      <c r="JT23" s="60"/>
      <c r="JU23" s="59"/>
      <c r="JV23" s="59"/>
      <c r="JW23" s="59"/>
      <c r="JX23" s="59"/>
      <c r="JY23" s="59"/>
      <c r="JZ23" s="59"/>
      <c r="KA23" s="59"/>
      <c r="KB23" s="59"/>
      <c r="KC23" s="59"/>
      <c r="KD23" s="59"/>
      <c r="KE23" s="59"/>
      <c r="KF23" s="59"/>
      <c r="KG23" s="59"/>
      <c r="KH23" s="59"/>
      <c r="KI23" s="59"/>
      <c r="KJ23" s="59"/>
      <c r="KK23" s="59"/>
      <c r="KL23" s="59"/>
      <c r="KM23" s="59"/>
      <c r="KN23" s="59"/>
      <c r="KO23" s="59"/>
      <c r="KP23" s="59"/>
      <c r="KQ23" s="59"/>
      <c r="KR23" s="59"/>
      <c r="KS23" s="59"/>
      <c r="KT23" s="59"/>
      <c r="KU23" s="59"/>
      <c r="KV23" s="59"/>
      <c r="KW23" s="59"/>
      <c r="KX23" s="59"/>
      <c r="KY23" s="60"/>
      <c r="KZ23" s="59"/>
      <c r="LA23" s="59"/>
      <c r="LB23" s="59"/>
      <c r="LC23" s="59"/>
      <c r="LD23" s="59"/>
      <c r="LE23" s="59"/>
      <c r="LF23" s="59"/>
      <c r="LG23" s="59"/>
      <c r="LH23" s="59"/>
      <c r="LI23" s="59"/>
      <c r="LJ23" s="59"/>
      <c r="LK23" s="59"/>
      <c r="LL23" s="59"/>
      <c r="LM23" s="59"/>
      <c r="LN23" s="59"/>
      <c r="LO23" s="59"/>
      <c r="LP23" s="59"/>
      <c r="LQ23" s="59"/>
      <c r="LR23" s="59"/>
      <c r="LS23" s="59"/>
      <c r="LT23" s="59"/>
      <c r="LU23" s="59"/>
      <c r="LV23" s="59"/>
      <c r="LW23" s="59"/>
      <c r="LX23" s="59"/>
      <c r="LY23" s="59"/>
      <c r="LZ23" s="59"/>
      <c r="MA23" s="59"/>
      <c r="MB23" s="59"/>
      <c r="MC23" s="60"/>
      <c r="MD23" s="59"/>
      <c r="ME23" s="59"/>
      <c r="MF23" s="59"/>
      <c r="MG23" s="59"/>
      <c r="MH23" s="59"/>
      <c r="MI23" s="59"/>
      <c r="MJ23" s="59"/>
      <c r="MK23" s="59"/>
      <c r="ML23" s="59"/>
      <c r="MM23" s="59"/>
      <c r="MN23" s="59"/>
      <c r="MO23" s="59"/>
      <c r="MP23" s="59"/>
      <c r="MQ23" s="59"/>
      <c r="MR23" s="59"/>
      <c r="MS23" s="59"/>
      <c r="MT23" s="59"/>
      <c r="MU23" s="59"/>
      <c r="MV23" s="59"/>
      <c r="MW23" s="59"/>
      <c r="MX23" s="59"/>
      <c r="MY23" s="59"/>
      <c r="MZ23" s="59"/>
      <c r="NA23" s="59"/>
      <c r="NB23" s="59"/>
      <c r="NC23" s="59"/>
      <c r="ND23" s="59"/>
      <c r="NE23" s="59"/>
      <c r="NF23" s="59"/>
      <c r="NG23" s="59"/>
    </row>
    <row r="24" ht="32.25" customHeight="1" collapsed="1">
      <c r="A24" s="75" t="s">
        <v>110</v>
      </c>
      <c r="G24" s="56"/>
      <c r="H24" s="13"/>
      <c r="I24" s="13"/>
      <c r="J24" s="13"/>
      <c r="K24" s="54"/>
      <c r="L24" s="54"/>
      <c r="M24" s="54"/>
      <c r="N24" s="54"/>
      <c r="O24" s="54"/>
      <c r="P24" s="54"/>
      <c r="Q24" s="54"/>
      <c r="R24" s="12"/>
      <c r="S24" s="13"/>
      <c r="T24" s="13"/>
      <c r="U24" s="12"/>
      <c r="V24" s="12"/>
      <c r="W24" s="12"/>
      <c r="X24" s="12"/>
      <c r="Y24" s="12"/>
      <c r="Z24" s="12"/>
      <c r="AA24" s="12"/>
      <c r="AB24" s="13"/>
      <c r="AC24" s="13"/>
      <c r="AD24" s="57"/>
      <c r="AE24" s="57"/>
      <c r="AF24" s="57"/>
      <c r="AG24" s="57"/>
      <c r="AH24" s="57"/>
      <c r="AI24" s="57"/>
      <c r="AJ24" s="57"/>
      <c r="AK24" s="57"/>
      <c r="AL24" s="58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8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8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8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8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8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8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8"/>
      <c r="IQ24" s="57"/>
      <c r="IR24" s="57"/>
      <c r="IS24" s="57"/>
      <c r="IT24" s="57"/>
      <c r="IU24" s="57"/>
      <c r="IV24" s="57"/>
      <c r="IW24" s="57"/>
      <c r="IX24" s="57"/>
      <c r="IY24" s="57"/>
      <c r="IZ24" s="57"/>
      <c r="JA24" s="57"/>
      <c r="JB24" s="57"/>
      <c r="JC24" s="57"/>
      <c r="JD24" s="57"/>
      <c r="JE24" s="57"/>
      <c r="JF24" s="57"/>
      <c r="JG24" s="57"/>
      <c r="JH24" s="57"/>
      <c r="JI24" s="57"/>
      <c r="JJ24" s="57"/>
      <c r="JK24" s="57"/>
      <c r="JL24" s="57"/>
      <c r="JM24" s="57"/>
      <c r="JN24" s="57"/>
      <c r="JO24" s="57"/>
      <c r="JP24" s="57"/>
      <c r="JQ24" s="57"/>
      <c r="JR24" s="57"/>
      <c r="JS24" s="57"/>
      <c r="JT24" s="58"/>
      <c r="JU24" s="57"/>
      <c r="JV24" s="57"/>
      <c r="JW24" s="57"/>
      <c r="JX24" s="57"/>
      <c r="JY24" s="57"/>
      <c r="JZ24" s="57"/>
      <c r="KA24" s="57"/>
      <c r="KB24" s="57"/>
      <c r="KC24" s="57"/>
      <c r="KD24" s="57"/>
      <c r="KE24" s="57"/>
      <c r="KF24" s="57"/>
      <c r="KG24" s="57"/>
      <c r="KH24" s="57"/>
      <c r="KI24" s="57"/>
      <c r="KJ24" s="57"/>
      <c r="KK24" s="57"/>
      <c r="KL24" s="57"/>
      <c r="KM24" s="57"/>
      <c r="KN24" s="57"/>
      <c r="KO24" s="57"/>
      <c r="KP24" s="57"/>
      <c r="KQ24" s="57"/>
      <c r="KR24" s="57"/>
      <c r="KS24" s="57"/>
      <c r="KT24" s="57"/>
      <c r="KU24" s="57"/>
      <c r="KV24" s="57"/>
      <c r="KW24" s="57"/>
      <c r="KX24" s="57"/>
      <c r="KY24" s="58"/>
      <c r="KZ24" s="57"/>
      <c r="LA24" s="57"/>
      <c r="LB24" s="57"/>
      <c r="LC24" s="57"/>
      <c r="LD24" s="57"/>
      <c r="LE24" s="57"/>
      <c r="LF24" s="57"/>
      <c r="LG24" s="57"/>
      <c r="LH24" s="57"/>
      <c r="LI24" s="57"/>
      <c r="LJ24" s="57"/>
      <c r="LK24" s="57"/>
      <c r="LL24" s="57"/>
      <c r="LM24" s="57"/>
      <c r="LN24" s="57"/>
      <c r="LO24" s="57"/>
      <c r="LP24" s="57"/>
      <c r="LQ24" s="57"/>
      <c r="LR24" s="57"/>
      <c r="LS24" s="57"/>
      <c r="LT24" s="57"/>
      <c r="LU24" s="57"/>
      <c r="LV24" s="57"/>
      <c r="LW24" s="57"/>
      <c r="LX24" s="57"/>
      <c r="LY24" s="57"/>
      <c r="LZ24" s="57"/>
      <c r="MA24" s="57"/>
      <c r="MB24" s="57"/>
      <c r="MC24" s="58"/>
      <c r="MD24" s="57"/>
      <c r="ME24" s="57"/>
      <c r="MF24" s="57"/>
      <c r="MG24" s="57"/>
      <c r="MH24" s="57"/>
      <c r="MI24" s="57"/>
      <c r="MJ24" s="57"/>
      <c r="MK24" s="57"/>
      <c r="ML24" s="57"/>
      <c r="MM24" s="57"/>
      <c r="MN24" s="57"/>
      <c r="MO24" s="57"/>
      <c r="MP24" s="57"/>
      <c r="MQ24" s="57"/>
      <c r="MR24" s="57"/>
      <c r="MS24" s="57"/>
      <c r="MT24" s="57"/>
      <c r="MU24" s="57"/>
      <c r="MV24" s="57"/>
      <c r="MW24" s="57"/>
      <c r="MX24" s="57"/>
      <c r="MY24" s="57"/>
      <c r="MZ24" s="57"/>
      <c r="NA24" s="57"/>
      <c r="NB24" s="57"/>
      <c r="NC24" s="57"/>
      <c r="ND24" s="57"/>
      <c r="NE24" s="57"/>
      <c r="NF24" s="57"/>
      <c r="NG24" s="57"/>
    </row>
    <row r="25">
      <c r="A25" s="77" t="str">
        <f>"오늘은 " &amp; month(TODAY()) &amp;"월 " &amp; day(today())&amp;"일 " &amp; choose(weekday(today()),"일","월","화","수","목","금","토")&amp;"요일 입니다."</f>
        <v>오늘은 9월 9일 수요일 입니다.</v>
      </c>
      <c r="B25" s="77"/>
      <c r="C25" s="77"/>
      <c r="D25" s="78"/>
      <c r="E25" s="78"/>
      <c r="F25" s="79"/>
      <c r="G25" s="79"/>
      <c r="H25" s="13"/>
      <c r="I25" s="13"/>
      <c r="J25" s="13"/>
      <c r="K25" s="54"/>
      <c r="L25" s="54"/>
      <c r="M25" s="54"/>
      <c r="N25" s="54"/>
      <c r="O25" s="54"/>
      <c r="P25" s="54"/>
      <c r="Q25" s="80"/>
      <c r="R25" s="12"/>
      <c r="S25" s="13"/>
      <c r="T25" s="13"/>
      <c r="U25" s="12"/>
      <c r="V25" s="12"/>
      <c r="W25" s="12"/>
      <c r="X25" s="12"/>
      <c r="Y25" s="12"/>
      <c r="Z25" s="12"/>
      <c r="AA25" s="12"/>
      <c r="AB25" s="13"/>
      <c r="AC25" s="13"/>
      <c r="AD25" s="57"/>
      <c r="AE25" s="57"/>
      <c r="AF25" s="57"/>
      <c r="AG25" s="57"/>
      <c r="AH25" s="57"/>
      <c r="AI25" s="57"/>
      <c r="AJ25" s="57"/>
      <c r="AK25" s="57"/>
      <c r="AL25" s="58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8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8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8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8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8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8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8"/>
      <c r="IQ25" s="57"/>
      <c r="IR25" s="57"/>
      <c r="IS25" s="57"/>
      <c r="IT25" s="57"/>
      <c r="IU25" s="57"/>
      <c r="IV25" s="57"/>
      <c r="IW25" s="57"/>
      <c r="IX25" s="57"/>
      <c r="IY25" s="57"/>
      <c r="IZ25" s="57"/>
      <c r="JA25" s="57"/>
      <c r="JB25" s="57"/>
      <c r="JC25" s="57"/>
      <c r="JD25" s="57"/>
      <c r="JE25" s="57"/>
      <c r="JF25" s="57"/>
      <c r="JG25" s="57"/>
      <c r="JH25" s="57"/>
      <c r="JI25" s="57"/>
      <c r="JJ25" s="57"/>
      <c r="JK25" s="57"/>
      <c r="JL25" s="57"/>
      <c r="JM25" s="57"/>
      <c r="JN25" s="57"/>
      <c r="JO25" s="57"/>
      <c r="JP25" s="57"/>
      <c r="JQ25" s="57"/>
      <c r="JR25" s="57"/>
      <c r="JS25" s="57"/>
      <c r="JT25" s="58"/>
      <c r="JU25" s="57"/>
      <c r="JV25" s="57"/>
      <c r="JW25" s="57"/>
      <c r="JX25" s="57"/>
      <c r="JY25" s="57"/>
      <c r="JZ25" s="57"/>
      <c r="KA25" s="57"/>
      <c r="KB25" s="57"/>
      <c r="KC25" s="57"/>
      <c r="KD25" s="57"/>
      <c r="KE25" s="57"/>
      <c r="KF25" s="57"/>
      <c r="KG25" s="57"/>
      <c r="KH25" s="57"/>
      <c r="KI25" s="57"/>
      <c r="KJ25" s="57"/>
      <c r="KK25" s="57"/>
      <c r="KL25" s="57"/>
      <c r="KM25" s="57"/>
      <c r="KN25" s="57"/>
      <c r="KO25" s="57"/>
      <c r="KP25" s="57"/>
      <c r="KQ25" s="57"/>
      <c r="KR25" s="57"/>
      <c r="KS25" s="57"/>
      <c r="KT25" s="57"/>
      <c r="KU25" s="57"/>
      <c r="KV25" s="57"/>
      <c r="KW25" s="57"/>
      <c r="KX25" s="57"/>
      <c r="KY25" s="58"/>
      <c r="KZ25" s="57"/>
      <c r="LA25" s="57"/>
      <c r="LB25" s="57"/>
      <c r="LC25" s="57"/>
      <c r="LD25" s="57"/>
      <c r="LE25" s="57"/>
      <c r="LF25" s="57"/>
      <c r="LG25" s="57"/>
      <c r="LH25" s="57"/>
      <c r="LI25" s="57"/>
      <c r="LJ25" s="57"/>
      <c r="LK25" s="57"/>
      <c r="LL25" s="57"/>
      <c r="LM25" s="57"/>
      <c r="LN25" s="57"/>
      <c r="LO25" s="57"/>
      <c r="LP25" s="57"/>
      <c r="LQ25" s="57"/>
      <c r="LR25" s="57"/>
      <c r="LS25" s="57"/>
      <c r="LT25" s="57"/>
      <c r="LU25" s="57"/>
      <c r="LV25" s="57"/>
      <c r="LW25" s="57"/>
      <c r="LX25" s="57"/>
      <c r="LY25" s="57"/>
      <c r="LZ25" s="57"/>
      <c r="MA25" s="57"/>
      <c r="MB25" s="57"/>
      <c r="MC25" s="58"/>
      <c r="MD25" s="57"/>
      <c r="ME25" s="57"/>
      <c r="MF25" s="57"/>
      <c r="MG25" s="57"/>
      <c r="MH25" s="57"/>
      <c r="MI25" s="57"/>
      <c r="MJ25" s="57"/>
      <c r="MK25" s="57"/>
      <c r="ML25" s="57"/>
      <c r="MM25" s="57"/>
      <c r="MN25" s="57"/>
      <c r="MO25" s="57"/>
      <c r="MP25" s="57"/>
      <c r="MQ25" s="57"/>
      <c r="MR25" s="57"/>
      <c r="MS25" s="57"/>
      <c r="MT25" s="57"/>
      <c r="MU25" s="57"/>
      <c r="MV25" s="57"/>
      <c r="MW25" s="57"/>
      <c r="MX25" s="57"/>
      <c r="MY25" s="57"/>
      <c r="MZ25" s="57"/>
      <c r="NA25" s="57"/>
      <c r="NB25" s="57"/>
      <c r="NC25" s="57"/>
      <c r="ND25" s="57"/>
      <c r="NE25" s="57"/>
      <c r="NF25" s="57"/>
      <c r="NG25" s="57"/>
    </row>
    <row r="26">
      <c r="A26" s="81" t="s">
        <v>111</v>
      </c>
      <c r="B26" s="81"/>
      <c r="C26" s="81"/>
      <c r="D26" s="81"/>
      <c r="E26" s="81"/>
      <c r="F26" s="82"/>
      <c r="G26" s="82"/>
      <c r="H26" s="82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4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4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6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6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6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  <c r="FU26" s="85"/>
      <c r="FV26" s="85"/>
      <c r="FW26" s="85"/>
      <c r="FX26" s="85"/>
      <c r="FY26" s="85"/>
      <c r="FZ26" s="85"/>
      <c r="GA26" s="85"/>
      <c r="GB26" s="85"/>
      <c r="GC26" s="85"/>
      <c r="GD26" s="85"/>
      <c r="GE26" s="85"/>
      <c r="GF26" s="86"/>
      <c r="GG26" s="85"/>
      <c r="GH26" s="85"/>
      <c r="GI26" s="85"/>
      <c r="GJ26" s="85"/>
      <c r="GK26" s="85"/>
      <c r="GL26" s="85"/>
      <c r="GM26" s="85"/>
      <c r="GN26" s="85"/>
      <c r="GO26" s="85"/>
      <c r="GP26" s="85"/>
      <c r="GQ26" s="85"/>
      <c r="GR26" s="85"/>
      <c r="GS26" s="85"/>
      <c r="GT26" s="85"/>
      <c r="GU26" s="85"/>
      <c r="GV26" s="85"/>
      <c r="GW26" s="85"/>
      <c r="GX26" s="85"/>
      <c r="GY26" s="85"/>
      <c r="GZ26" s="85"/>
      <c r="HA26" s="85"/>
      <c r="HB26" s="85"/>
      <c r="HC26" s="85"/>
      <c r="HD26" s="85"/>
      <c r="HE26" s="85"/>
      <c r="HF26" s="85"/>
      <c r="HG26" s="85"/>
      <c r="HH26" s="85"/>
      <c r="HI26" s="85"/>
      <c r="HJ26" s="85"/>
      <c r="HK26" s="86"/>
      <c r="HL26" s="85"/>
      <c r="HM26" s="85"/>
      <c r="HN26" s="85"/>
      <c r="HO26" s="85"/>
      <c r="HP26" s="85"/>
      <c r="HQ26" s="85"/>
      <c r="HR26" s="85"/>
      <c r="HS26" s="85"/>
      <c r="HT26" s="85"/>
      <c r="HU26" s="85"/>
      <c r="HV26" s="85"/>
      <c r="HW26" s="85"/>
      <c r="HX26" s="85"/>
      <c r="HY26" s="85"/>
      <c r="HZ26" s="85"/>
      <c r="IA26" s="85"/>
      <c r="IB26" s="85"/>
      <c r="IC26" s="85"/>
      <c r="ID26" s="85"/>
      <c r="IE26" s="85"/>
      <c r="IF26" s="85"/>
      <c r="IG26" s="85"/>
      <c r="IH26" s="85"/>
      <c r="II26" s="85"/>
      <c r="IJ26" s="85"/>
      <c r="IK26" s="85"/>
      <c r="IL26" s="85"/>
      <c r="IM26" s="85"/>
      <c r="IN26" s="85"/>
      <c r="IO26" s="85"/>
      <c r="IP26" s="86"/>
      <c r="IQ26" s="85"/>
      <c r="IR26" s="85"/>
      <c r="IS26" s="85"/>
      <c r="IT26" s="85"/>
      <c r="IU26" s="85"/>
      <c r="IV26" s="85"/>
      <c r="IW26" s="85"/>
      <c r="IX26" s="85"/>
      <c r="IY26" s="85"/>
      <c r="IZ26" s="85"/>
      <c r="JA26" s="85"/>
      <c r="JB26" s="85"/>
      <c r="JC26" s="85"/>
      <c r="JD26" s="85"/>
      <c r="JE26" s="85"/>
      <c r="JF26" s="85"/>
      <c r="JG26" s="85"/>
      <c r="JH26" s="85"/>
      <c r="JI26" s="85"/>
      <c r="JJ26" s="85"/>
      <c r="JK26" s="85"/>
      <c r="JL26" s="85"/>
      <c r="JM26" s="85"/>
      <c r="JN26" s="85"/>
      <c r="JO26" s="85"/>
      <c r="JP26" s="85"/>
      <c r="JQ26" s="85"/>
      <c r="JR26" s="85"/>
      <c r="JS26" s="85"/>
      <c r="JT26" s="86"/>
      <c r="JU26" s="85"/>
      <c r="JV26" s="85"/>
      <c r="JW26" s="85"/>
      <c r="JX26" s="85"/>
      <c r="JY26" s="85"/>
      <c r="JZ26" s="85"/>
      <c r="KA26" s="85"/>
      <c r="KB26" s="85"/>
      <c r="KC26" s="85"/>
      <c r="KD26" s="85"/>
      <c r="KE26" s="85"/>
      <c r="KF26" s="85"/>
      <c r="KG26" s="85"/>
      <c r="KH26" s="85"/>
      <c r="KI26" s="85"/>
      <c r="KJ26" s="85"/>
      <c r="KK26" s="85"/>
      <c r="KL26" s="85"/>
      <c r="KM26" s="85"/>
      <c r="KN26" s="85"/>
      <c r="KO26" s="85"/>
      <c r="KP26" s="85"/>
      <c r="KQ26" s="85"/>
      <c r="KR26" s="85"/>
      <c r="KS26" s="85"/>
      <c r="KT26" s="85"/>
      <c r="KU26" s="85"/>
      <c r="KV26" s="85"/>
      <c r="KW26" s="85"/>
      <c r="KX26" s="85"/>
      <c r="KY26" s="86"/>
      <c r="KZ26" s="85"/>
      <c r="LA26" s="85"/>
      <c r="LB26" s="85"/>
      <c r="LC26" s="85"/>
      <c r="LD26" s="85"/>
      <c r="LE26" s="85"/>
      <c r="LF26" s="85"/>
      <c r="LG26" s="85"/>
      <c r="LH26" s="85"/>
      <c r="LI26" s="85"/>
      <c r="LJ26" s="85"/>
      <c r="LK26" s="85"/>
      <c r="LL26" s="85"/>
      <c r="LM26" s="85"/>
      <c r="LN26" s="85"/>
      <c r="LO26" s="85"/>
      <c r="LP26" s="85"/>
      <c r="LQ26" s="85"/>
      <c r="LR26" s="85"/>
      <c r="LS26" s="85"/>
      <c r="LT26" s="85"/>
      <c r="LU26" s="85"/>
      <c r="LV26" s="85"/>
      <c r="LW26" s="85"/>
      <c r="LX26" s="85"/>
      <c r="LY26" s="85"/>
      <c r="LZ26" s="85"/>
      <c r="MA26" s="85"/>
      <c r="MB26" s="85"/>
      <c r="MC26" s="86"/>
      <c r="MD26" s="85"/>
      <c r="ME26" s="85"/>
      <c r="MF26" s="85"/>
      <c r="MG26" s="85"/>
      <c r="MH26" s="85"/>
      <c r="MI26" s="85"/>
      <c r="MJ26" s="85"/>
      <c r="MK26" s="85"/>
      <c r="ML26" s="85"/>
      <c r="MM26" s="85"/>
      <c r="MN26" s="85"/>
      <c r="MO26" s="85"/>
      <c r="MP26" s="85"/>
      <c r="MQ26" s="85"/>
      <c r="MR26" s="85"/>
      <c r="MS26" s="85"/>
      <c r="MT26" s="85"/>
      <c r="MU26" s="85"/>
      <c r="MV26" s="85"/>
      <c r="MW26" s="85"/>
      <c r="MX26" s="85"/>
      <c r="MY26" s="85"/>
      <c r="MZ26" s="85"/>
      <c r="NA26" s="85"/>
      <c r="NB26" s="85"/>
      <c r="NC26" s="85"/>
      <c r="ND26" s="85"/>
      <c r="NE26" s="85"/>
      <c r="NF26" s="85"/>
      <c r="NG26" s="85"/>
    </row>
    <row r="27" ht="20.25" customHeight="1">
      <c r="A27" s="81" t="s">
        <v>114</v>
      </c>
      <c r="B27" s="81"/>
      <c r="C27" s="81"/>
      <c r="D27" s="81"/>
      <c r="E27" s="81"/>
      <c r="F27" s="82"/>
      <c r="G27" s="82"/>
      <c r="H27" s="82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4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4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6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6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6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  <c r="FU27" s="85"/>
      <c r="FV27" s="85"/>
      <c r="FW27" s="85"/>
      <c r="FX27" s="85"/>
      <c r="FY27" s="85"/>
      <c r="FZ27" s="85"/>
      <c r="GA27" s="85"/>
      <c r="GB27" s="85"/>
      <c r="GC27" s="85"/>
      <c r="GD27" s="85"/>
      <c r="GE27" s="85"/>
      <c r="GF27" s="86"/>
      <c r="GG27" s="85"/>
      <c r="GH27" s="85"/>
      <c r="GI27" s="85"/>
      <c r="GJ27" s="85"/>
      <c r="GK27" s="85"/>
      <c r="GL27" s="85"/>
      <c r="GM27" s="85"/>
      <c r="GN27" s="85"/>
      <c r="GO27" s="85"/>
      <c r="GP27" s="85"/>
      <c r="GQ27" s="85"/>
      <c r="GR27" s="85"/>
      <c r="GS27" s="85"/>
      <c r="GT27" s="85"/>
      <c r="GU27" s="85"/>
      <c r="GV27" s="85"/>
      <c r="GW27" s="85"/>
      <c r="GX27" s="85"/>
      <c r="GY27" s="85"/>
      <c r="GZ27" s="85"/>
      <c r="HA27" s="85"/>
      <c r="HB27" s="85"/>
      <c r="HC27" s="85"/>
      <c r="HD27" s="85"/>
      <c r="HE27" s="85"/>
      <c r="HF27" s="85"/>
      <c r="HG27" s="85"/>
      <c r="HH27" s="85"/>
      <c r="HI27" s="85"/>
      <c r="HJ27" s="85"/>
      <c r="HK27" s="86"/>
      <c r="HL27" s="85"/>
      <c r="HM27" s="85"/>
      <c r="HN27" s="85"/>
      <c r="HO27" s="85"/>
      <c r="HP27" s="85"/>
      <c r="HQ27" s="85"/>
      <c r="HR27" s="85"/>
      <c r="HS27" s="85"/>
      <c r="HT27" s="85"/>
      <c r="HU27" s="85"/>
      <c r="HV27" s="85"/>
      <c r="HW27" s="85"/>
      <c r="HX27" s="85"/>
      <c r="HY27" s="85"/>
      <c r="HZ27" s="85"/>
      <c r="IA27" s="85"/>
      <c r="IB27" s="85"/>
      <c r="IC27" s="85"/>
      <c r="ID27" s="85"/>
      <c r="IE27" s="85"/>
      <c r="IF27" s="85"/>
      <c r="IG27" s="85"/>
      <c r="IH27" s="85"/>
      <c r="II27" s="85"/>
      <c r="IJ27" s="85"/>
      <c r="IK27" s="85"/>
      <c r="IL27" s="85"/>
      <c r="IM27" s="85"/>
      <c r="IN27" s="85"/>
      <c r="IO27" s="85"/>
      <c r="IP27" s="86"/>
      <c r="IQ27" s="85"/>
      <c r="IR27" s="85"/>
      <c r="IS27" s="85"/>
      <c r="IT27" s="85"/>
      <c r="IU27" s="85"/>
      <c r="IV27" s="85"/>
      <c r="IW27" s="85"/>
      <c r="IX27" s="85"/>
      <c r="IY27" s="85"/>
      <c r="IZ27" s="85"/>
      <c r="JA27" s="85"/>
      <c r="JB27" s="85"/>
      <c r="JC27" s="85"/>
      <c r="JD27" s="85"/>
      <c r="JE27" s="85"/>
      <c r="JF27" s="85"/>
      <c r="JG27" s="85"/>
      <c r="JH27" s="85"/>
      <c r="JI27" s="85"/>
      <c r="JJ27" s="85"/>
      <c r="JK27" s="85"/>
      <c r="JL27" s="85"/>
      <c r="JM27" s="85"/>
      <c r="JN27" s="85"/>
      <c r="JO27" s="85"/>
      <c r="JP27" s="85"/>
      <c r="JQ27" s="85"/>
      <c r="JR27" s="85"/>
      <c r="JS27" s="85"/>
      <c r="JT27" s="86"/>
      <c r="JU27" s="85"/>
      <c r="JV27" s="85"/>
      <c r="JW27" s="85"/>
      <c r="JX27" s="85"/>
      <c r="JY27" s="85"/>
      <c r="JZ27" s="85"/>
      <c r="KA27" s="85"/>
      <c r="KB27" s="85"/>
      <c r="KC27" s="85"/>
      <c r="KD27" s="85"/>
      <c r="KE27" s="85"/>
      <c r="KF27" s="85"/>
      <c r="KG27" s="85"/>
      <c r="KH27" s="85"/>
      <c r="KI27" s="85"/>
      <c r="KJ27" s="85"/>
      <c r="KK27" s="85"/>
      <c r="KL27" s="85"/>
      <c r="KM27" s="85"/>
      <c r="KN27" s="85"/>
      <c r="KO27" s="85"/>
      <c r="KP27" s="85"/>
      <c r="KQ27" s="85"/>
      <c r="KR27" s="85"/>
      <c r="KS27" s="85"/>
      <c r="KT27" s="85"/>
      <c r="KU27" s="85"/>
      <c r="KV27" s="85"/>
      <c r="KW27" s="85"/>
      <c r="KX27" s="85"/>
      <c r="KY27" s="86"/>
      <c r="KZ27" s="85"/>
      <c r="LA27" s="85"/>
      <c r="LB27" s="85"/>
      <c r="LC27" s="85"/>
      <c r="LD27" s="85"/>
      <c r="LE27" s="85"/>
      <c r="LF27" s="85"/>
      <c r="LG27" s="85"/>
      <c r="LH27" s="85"/>
      <c r="LI27" s="85"/>
      <c r="LJ27" s="85"/>
      <c r="LK27" s="85"/>
      <c r="LL27" s="85"/>
      <c r="LM27" s="85"/>
      <c r="LN27" s="85"/>
      <c r="LO27" s="85"/>
      <c r="LP27" s="85"/>
      <c r="LQ27" s="85"/>
      <c r="LR27" s="85"/>
      <c r="LS27" s="85"/>
      <c r="LT27" s="85"/>
      <c r="LU27" s="85"/>
      <c r="LV27" s="85"/>
      <c r="LW27" s="85"/>
      <c r="LX27" s="85"/>
      <c r="LY27" s="85"/>
      <c r="LZ27" s="85"/>
      <c r="MA27" s="85"/>
      <c r="MB27" s="85"/>
      <c r="MC27" s="86"/>
      <c r="MD27" s="85"/>
      <c r="ME27" s="85"/>
      <c r="MF27" s="85"/>
      <c r="MG27" s="85"/>
      <c r="MH27" s="85"/>
      <c r="MI27" s="85"/>
      <c r="MJ27" s="85"/>
      <c r="MK27" s="85"/>
      <c r="ML27" s="85"/>
      <c r="MM27" s="85"/>
      <c r="MN27" s="85"/>
      <c r="MO27" s="85"/>
      <c r="MP27" s="85"/>
      <c r="MQ27" s="85"/>
      <c r="MR27" s="85"/>
      <c r="MS27" s="85"/>
      <c r="MT27" s="85"/>
      <c r="MU27" s="85"/>
      <c r="MV27" s="85"/>
      <c r="MW27" s="85"/>
      <c r="MX27" s="85"/>
      <c r="MY27" s="85"/>
      <c r="MZ27" s="85"/>
      <c r="NA27" s="85"/>
      <c r="NB27" s="85"/>
      <c r="NC27" s="85"/>
      <c r="ND27" s="85"/>
      <c r="NE27" s="85"/>
      <c r="NF27" s="85"/>
      <c r="NG27" s="85"/>
    </row>
    <row r="28" ht="9.0" customHeight="1">
      <c r="A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8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8"/>
      <c r="BO28" s="105"/>
    </row>
    <row r="29">
      <c r="A29" s="109"/>
      <c r="B29" s="109"/>
      <c r="C29" s="109"/>
      <c r="D29" s="109"/>
      <c r="E29" s="109"/>
      <c r="F29" s="110"/>
      <c r="G29" s="111" t="s">
        <v>158</v>
      </c>
      <c r="AL29" s="112" t="s">
        <v>159</v>
      </c>
      <c r="BN29" s="113" t="s">
        <v>160</v>
      </c>
      <c r="CS29" s="114" t="s">
        <v>161</v>
      </c>
      <c r="DW29" s="113" t="s">
        <v>162</v>
      </c>
      <c r="FB29" s="114" t="s">
        <v>163</v>
      </c>
      <c r="GF29" s="113" t="s">
        <v>164</v>
      </c>
      <c r="HK29" s="114" t="s">
        <v>165</v>
      </c>
      <c r="IP29" s="113" t="s">
        <v>166</v>
      </c>
      <c r="JT29" s="114" t="s">
        <v>144</v>
      </c>
      <c r="KY29" s="113" t="s">
        <v>167</v>
      </c>
      <c r="MC29" s="114" t="s">
        <v>168</v>
      </c>
    </row>
    <row r="30" ht="20.25" customHeight="1">
      <c r="A30" s="115" t="s">
        <v>169</v>
      </c>
      <c r="B30" s="116"/>
      <c r="C30" s="116"/>
      <c r="D30" s="116"/>
      <c r="E30" s="116"/>
      <c r="F30" s="117"/>
      <c r="G30" s="118" t="s">
        <v>170</v>
      </c>
      <c r="H30" s="119"/>
      <c r="I30" s="119"/>
      <c r="J30" s="119"/>
      <c r="K30" s="120"/>
      <c r="L30" s="120"/>
      <c r="M30" s="119"/>
      <c r="N30" s="119"/>
      <c r="O30" s="119"/>
      <c r="P30" s="119"/>
      <c r="Q30" s="119"/>
      <c r="R30" s="119"/>
      <c r="S30" s="119"/>
      <c r="T30" s="119"/>
      <c r="U30" s="120"/>
      <c r="V30" s="119"/>
      <c r="W30" s="119"/>
      <c r="X30" s="119"/>
      <c r="Y30" s="121"/>
      <c r="Z30" s="119"/>
      <c r="AA30" s="119"/>
      <c r="AB30" s="122"/>
      <c r="AC30" s="119"/>
      <c r="AD30" s="119"/>
      <c r="AE30" s="119"/>
      <c r="AF30" s="119"/>
      <c r="AG30" s="119"/>
      <c r="AH30" s="119"/>
      <c r="AJ30" s="119"/>
      <c r="AK30" s="119"/>
      <c r="AL30" s="123"/>
      <c r="AM30" s="119"/>
      <c r="AN30" s="119"/>
      <c r="AO30" s="119"/>
      <c r="AP30" s="119"/>
      <c r="AQ30" s="119"/>
      <c r="AR30" s="119"/>
      <c r="AS30" s="119"/>
      <c r="AT30" s="119"/>
      <c r="AU30" s="122"/>
      <c r="AV30" s="119"/>
      <c r="AW30" s="120"/>
      <c r="AX30" s="119"/>
      <c r="AY30" s="120"/>
      <c r="AZ30" s="119"/>
      <c r="BA30" s="119"/>
      <c r="BB30" s="118" t="s">
        <v>171</v>
      </c>
      <c r="BC30" s="119"/>
      <c r="BD30" s="119"/>
      <c r="BE30" s="120"/>
      <c r="BF30" s="119"/>
      <c r="BG30" s="119"/>
      <c r="BH30" s="119"/>
      <c r="BI30" s="119"/>
      <c r="BJ30" s="119"/>
      <c r="BK30" s="119"/>
      <c r="BL30" s="119"/>
      <c r="BM30" s="119"/>
      <c r="BN30" s="123" t="s">
        <v>172</v>
      </c>
      <c r="BO30" s="122"/>
      <c r="BP30" s="119"/>
      <c r="BQ30" s="119"/>
      <c r="BR30" s="119"/>
      <c r="BS30" s="119"/>
      <c r="BT30" s="119"/>
      <c r="BU30" s="119"/>
      <c r="BV30" s="118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24"/>
      <c r="CT30" s="119"/>
      <c r="CU30" s="119"/>
      <c r="CV30" s="119"/>
      <c r="CW30" s="119"/>
      <c r="CX30" s="119"/>
      <c r="CY30" s="119"/>
      <c r="CZ30" s="118"/>
      <c r="DA30" s="119"/>
      <c r="DB30" s="118" t="s">
        <v>173</v>
      </c>
      <c r="DD30" s="119"/>
      <c r="DE30" s="122"/>
      <c r="DF30" s="119"/>
      <c r="DG30" s="119"/>
      <c r="DH30" s="119"/>
      <c r="DI30" s="119"/>
      <c r="DJ30" s="119"/>
      <c r="DK30" s="119"/>
      <c r="DL30" s="119"/>
      <c r="DM30" s="120"/>
      <c r="DN30" s="119"/>
      <c r="DO30" s="119"/>
      <c r="DP30" s="119"/>
      <c r="DQ30" s="119"/>
      <c r="DR30" s="119"/>
      <c r="DS30" s="119"/>
      <c r="DT30" s="119"/>
      <c r="DU30" s="119"/>
      <c r="DV30" s="120"/>
      <c r="DW30" s="123" t="s">
        <v>174</v>
      </c>
      <c r="DX30" s="122"/>
      <c r="DY30" s="119"/>
      <c r="DZ30" s="119"/>
      <c r="EA30" s="118" t="s">
        <v>175</v>
      </c>
      <c r="EB30" s="118"/>
      <c r="EC30" s="120"/>
      <c r="ED30" s="118"/>
      <c r="EE30" s="125"/>
      <c r="EF30" s="119"/>
      <c r="EG30" s="119"/>
      <c r="EH30" s="119"/>
      <c r="EI30" s="119"/>
      <c r="EJ30" s="119"/>
      <c r="EK30" s="119"/>
      <c r="EL30" s="118"/>
      <c r="EM30" s="119"/>
      <c r="EN30" s="126"/>
      <c r="EO30" s="125"/>
      <c r="EP30" s="119"/>
      <c r="EQ30" s="119"/>
      <c r="ER30" s="119"/>
      <c r="ES30" s="119"/>
      <c r="ET30" s="118" t="s">
        <v>176</v>
      </c>
      <c r="EU30" s="119"/>
      <c r="EV30" s="119"/>
      <c r="EW30" s="122"/>
      <c r="EX30" s="119"/>
      <c r="EY30" s="119"/>
      <c r="EZ30" s="119"/>
      <c r="FA30" s="119"/>
      <c r="FB30" s="123"/>
      <c r="FC30" s="127"/>
      <c r="FD30" s="118" t="s">
        <v>177</v>
      </c>
      <c r="FE30" s="127"/>
      <c r="FF30" s="127"/>
      <c r="FG30" s="118" t="s">
        <v>178</v>
      </c>
      <c r="FH30" s="122"/>
      <c r="FI30" s="127"/>
      <c r="FJ30" s="127"/>
      <c r="FK30" s="127"/>
      <c r="FL30" s="127"/>
      <c r="FM30" s="127"/>
      <c r="FN30" s="127"/>
      <c r="FO30" s="127"/>
      <c r="FP30" s="127"/>
      <c r="FQ30" s="127"/>
      <c r="FR30" s="127"/>
      <c r="FS30" s="127"/>
      <c r="FT30" s="127"/>
      <c r="FU30" s="127"/>
      <c r="FV30" s="127"/>
      <c r="FW30" s="127"/>
      <c r="FX30" s="127"/>
      <c r="FY30" s="127"/>
      <c r="FZ30" s="127"/>
      <c r="GA30" s="127"/>
      <c r="GB30" s="127"/>
      <c r="GC30" s="127"/>
      <c r="GD30" s="127"/>
      <c r="GE30" s="127"/>
      <c r="GF30" s="128"/>
      <c r="GG30" s="120"/>
      <c r="GH30" s="127"/>
      <c r="GI30" s="127"/>
      <c r="GJ30" s="127"/>
      <c r="GK30" s="127"/>
      <c r="GL30" s="118"/>
      <c r="GM30" s="127"/>
      <c r="GN30" s="127"/>
      <c r="GO30" s="127"/>
      <c r="GP30" s="127"/>
      <c r="GQ30" s="127"/>
      <c r="GR30" s="127"/>
      <c r="GS30" s="127"/>
      <c r="GT30" s="120"/>
      <c r="GU30" s="127"/>
      <c r="GV30" s="127"/>
      <c r="GW30" s="127"/>
      <c r="GX30" s="127"/>
      <c r="GY30" s="127"/>
      <c r="GZ30" s="125"/>
      <c r="HA30" s="127"/>
      <c r="HB30" s="127"/>
      <c r="HC30" s="127"/>
      <c r="HD30" s="127"/>
      <c r="HE30" s="127"/>
      <c r="HF30" s="118"/>
      <c r="HG30" s="125"/>
      <c r="HH30" s="127"/>
      <c r="HI30" s="127"/>
      <c r="HJ30" s="127"/>
      <c r="HK30" s="129"/>
      <c r="HL30" s="118"/>
      <c r="HM30" s="127"/>
      <c r="HN30" s="127"/>
      <c r="HO30" s="127"/>
      <c r="HP30" s="127"/>
      <c r="HQ30" s="127"/>
      <c r="HR30" s="125"/>
      <c r="HS30" s="127"/>
      <c r="HT30" s="127"/>
      <c r="HU30" s="127"/>
      <c r="HV30" s="127"/>
      <c r="HW30" s="127"/>
      <c r="HX30" s="127"/>
      <c r="HY30" s="118" t="s">
        <v>179</v>
      </c>
      <c r="HZ30" s="122"/>
      <c r="IA30" s="127"/>
      <c r="IB30" s="127"/>
      <c r="IC30" s="127"/>
      <c r="ID30" s="127"/>
      <c r="IE30" s="127"/>
      <c r="IF30" s="127"/>
      <c r="IG30" s="127"/>
      <c r="IH30" s="127"/>
      <c r="II30" s="127"/>
      <c r="IJ30" s="127"/>
      <c r="IK30" s="127"/>
      <c r="IL30" s="127"/>
      <c r="IM30" s="127"/>
      <c r="IN30" s="127"/>
      <c r="IO30" s="127"/>
      <c r="IP30" s="129"/>
      <c r="IQ30" s="127"/>
      <c r="IR30" s="127"/>
      <c r="IS30" s="127"/>
      <c r="IT30" s="127"/>
      <c r="IU30" s="127"/>
      <c r="IV30" s="127"/>
      <c r="IW30" s="122"/>
      <c r="IX30" s="127"/>
      <c r="IY30" s="127"/>
      <c r="IZ30" s="118"/>
      <c r="JA30" s="125"/>
      <c r="JB30" s="127"/>
      <c r="JC30" s="130"/>
      <c r="JD30" s="131"/>
      <c r="JE30" s="127"/>
      <c r="JF30" s="127"/>
      <c r="JG30" s="122"/>
      <c r="JH30" s="125"/>
      <c r="JI30" s="127"/>
      <c r="JJ30" s="127"/>
      <c r="JK30" s="127"/>
      <c r="JL30" s="127"/>
      <c r="JM30" s="127"/>
      <c r="JN30" s="118" t="s">
        <v>180</v>
      </c>
      <c r="JO30" s="132"/>
      <c r="JP30" s="127"/>
      <c r="JQ30" s="127"/>
      <c r="JR30" s="127"/>
      <c r="JS30" s="122"/>
      <c r="JT30" s="129"/>
      <c r="JU30" s="118"/>
      <c r="JV30" s="118" t="s">
        <v>181</v>
      </c>
      <c r="JW30" s="122"/>
      <c r="JX30" s="127"/>
      <c r="JZ30" s="130"/>
      <c r="KA30" s="127"/>
      <c r="KB30" s="118" t="s">
        <v>182</v>
      </c>
      <c r="KC30" s="122"/>
      <c r="KD30" s="127"/>
      <c r="KE30" s="127"/>
      <c r="KF30" s="127"/>
      <c r="KG30" s="130"/>
      <c r="KH30" s="125"/>
      <c r="KI30" s="127"/>
      <c r="KJ30" s="127"/>
      <c r="KK30" s="127"/>
      <c r="KL30" s="127"/>
      <c r="KM30" s="127"/>
      <c r="KN30" s="127"/>
      <c r="KO30" s="127"/>
      <c r="KP30" s="127"/>
      <c r="KQ30" s="125"/>
      <c r="KR30" s="127"/>
      <c r="KS30" s="127"/>
      <c r="KT30" s="127"/>
      <c r="KU30" s="127"/>
      <c r="KV30" s="127"/>
      <c r="KW30" s="127"/>
      <c r="KX30" s="127"/>
      <c r="KY30" s="129"/>
      <c r="KZ30" s="127"/>
      <c r="LA30" s="127"/>
      <c r="LB30" s="127"/>
      <c r="LC30" s="127"/>
      <c r="LD30" s="127"/>
      <c r="LE30" s="127"/>
      <c r="LF30" s="127"/>
      <c r="LG30" s="127"/>
      <c r="LH30" s="127"/>
      <c r="LI30" s="127"/>
      <c r="LJ30" s="127"/>
      <c r="LK30" s="127"/>
      <c r="LL30" s="125"/>
      <c r="LM30" s="127"/>
      <c r="LN30" s="127"/>
      <c r="LO30" s="127"/>
      <c r="LP30" s="127"/>
      <c r="LQ30" s="127"/>
      <c r="LR30" s="127"/>
      <c r="LS30" s="127"/>
      <c r="LT30" s="127"/>
      <c r="LU30" s="127"/>
      <c r="LV30" s="127"/>
      <c r="LW30" s="127"/>
      <c r="LX30" s="127"/>
      <c r="LY30" s="127"/>
      <c r="LZ30" s="127"/>
      <c r="MA30" s="127"/>
      <c r="MB30" s="127"/>
      <c r="MC30" s="129"/>
      <c r="MD30" s="127"/>
      <c r="ME30" s="127"/>
      <c r="MF30" s="127"/>
      <c r="MG30" s="127"/>
      <c r="MH30" s="127"/>
      <c r="MI30" s="127"/>
      <c r="MJ30" s="127"/>
      <c r="MK30" s="127"/>
      <c r="ML30" s="127"/>
      <c r="MM30" s="127"/>
      <c r="MN30" s="127"/>
      <c r="MO30" s="127"/>
      <c r="MP30" s="127"/>
      <c r="MQ30" s="127"/>
      <c r="MR30" s="127"/>
      <c r="MS30" s="127"/>
      <c r="MT30" s="127"/>
      <c r="MU30" s="127"/>
      <c r="MV30" s="127"/>
      <c r="MW30" s="127"/>
      <c r="MX30" s="127"/>
      <c r="MY30" s="127"/>
      <c r="MZ30" s="127"/>
      <c r="NA30" s="118" t="s">
        <v>183</v>
      </c>
      <c r="NB30" s="122"/>
      <c r="NC30" s="127"/>
      <c r="ND30" s="127"/>
      <c r="NE30" s="127"/>
      <c r="NF30" s="127"/>
      <c r="NG30" s="127"/>
    </row>
    <row r="31">
      <c r="A31" s="133" t="s">
        <v>184</v>
      </c>
      <c r="B31" s="134" t="s">
        <v>185</v>
      </c>
      <c r="C31" s="135"/>
      <c r="D31" s="135"/>
      <c r="E31" s="136"/>
      <c r="F31" s="137" t="s">
        <v>186</v>
      </c>
      <c r="G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46023</v>
      </c>
      <c r="H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46024</v>
      </c>
      <c r="I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46025</v>
      </c>
      <c r="J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46026</v>
      </c>
      <c r="K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46027</v>
      </c>
      <c r="L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46028</v>
      </c>
      <c r="M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46029</v>
      </c>
      <c r="N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46030</v>
      </c>
      <c r="O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46031</v>
      </c>
      <c r="P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46032</v>
      </c>
      <c r="Q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46033</v>
      </c>
      <c r="R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46034</v>
      </c>
      <c r="S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46035</v>
      </c>
      <c r="T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46036</v>
      </c>
      <c r="U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46037</v>
      </c>
      <c r="V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46038</v>
      </c>
      <c r="W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46039</v>
      </c>
      <c r="X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46040</v>
      </c>
      <c r="Y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46041</v>
      </c>
      <c r="Z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46042</v>
      </c>
      <c r="AA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46043</v>
      </c>
      <c r="AB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46044</v>
      </c>
      <c r="AC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46045</v>
      </c>
      <c r="AD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46046</v>
      </c>
      <c r="AE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46047</v>
      </c>
      <c r="AF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46048</v>
      </c>
      <c r="AG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46049</v>
      </c>
      <c r="AH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46050</v>
      </c>
      <c r="AI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46051</v>
      </c>
      <c r="AJ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46052</v>
      </c>
      <c r="AK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46053</v>
      </c>
      <c r="AL31" s="124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46054</v>
      </c>
      <c r="AM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46055</v>
      </c>
      <c r="AN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46056</v>
      </c>
      <c r="AO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46057</v>
      </c>
      <c r="AP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46058</v>
      </c>
      <c r="AQ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46059</v>
      </c>
      <c r="AR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46060</v>
      </c>
      <c r="AS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46061</v>
      </c>
      <c r="AT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46062</v>
      </c>
      <c r="AU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46063</v>
      </c>
      <c r="AV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46064</v>
      </c>
      <c r="AW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46065</v>
      </c>
      <c r="AX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46066</v>
      </c>
      <c r="AY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46067</v>
      </c>
      <c r="AZ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46068</v>
      </c>
      <c r="BA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46069</v>
      </c>
      <c r="BB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46070</v>
      </c>
      <c r="BC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46071</v>
      </c>
      <c r="BD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46072</v>
      </c>
      <c r="BE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46073</v>
      </c>
      <c r="BF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46074</v>
      </c>
      <c r="BG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46075</v>
      </c>
      <c r="BH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46076</v>
      </c>
      <c r="BI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46077</v>
      </c>
      <c r="BJ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46078</v>
      </c>
      <c r="BK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46079</v>
      </c>
      <c r="BL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46080</v>
      </c>
      <c r="BM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46081</v>
      </c>
      <c r="BN31" s="124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46082</v>
      </c>
      <c r="BO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46083</v>
      </c>
      <c r="BP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46084</v>
      </c>
      <c r="BQ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46085</v>
      </c>
      <c r="BR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46086</v>
      </c>
      <c r="BS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46087</v>
      </c>
      <c r="BT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46088</v>
      </c>
      <c r="BU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46089</v>
      </c>
      <c r="BV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46090</v>
      </c>
      <c r="BW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46091</v>
      </c>
      <c r="BX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46092</v>
      </c>
      <c r="BY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46093</v>
      </c>
      <c r="BZ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46094</v>
      </c>
      <c r="CA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46095</v>
      </c>
      <c r="CB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46096</v>
      </c>
      <c r="CC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46097</v>
      </c>
      <c r="CD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46098</v>
      </c>
      <c r="CE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46099</v>
      </c>
      <c r="CF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46100</v>
      </c>
      <c r="CG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46101</v>
      </c>
      <c r="CH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46102</v>
      </c>
      <c r="CI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46103</v>
      </c>
      <c r="CJ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46104</v>
      </c>
      <c r="CK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46105</v>
      </c>
      <c r="CL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46106</v>
      </c>
      <c r="CM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46107</v>
      </c>
      <c r="CN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46108</v>
      </c>
      <c r="CO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46109</v>
      </c>
      <c r="CP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46110</v>
      </c>
      <c r="CQ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46111</v>
      </c>
      <c r="CR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46112</v>
      </c>
      <c r="CS31" s="124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46113</v>
      </c>
      <c r="CT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46114</v>
      </c>
      <c r="CU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46115</v>
      </c>
      <c r="CV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46116</v>
      </c>
      <c r="CW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46117</v>
      </c>
      <c r="CX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46118</v>
      </c>
      <c r="CY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46119</v>
      </c>
      <c r="CZ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46120</v>
      </c>
      <c r="DA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46121</v>
      </c>
      <c r="DB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46122</v>
      </c>
      <c r="DC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46123</v>
      </c>
      <c r="DD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46124</v>
      </c>
      <c r="DE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46125</v>
      </c>
      <c r="DF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46126</v>
      </c>
      <c r="DG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46127</v>
      </c>
      <c r="DH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46128</v>
      </c>
      <c r="DI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46129</v>
      </c>
      <c r="DJ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46130</v>
      </c>
      <c r="DK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46131</v>
      </c>
      <c r="DL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46132</v>
      </c>
      <c r="DM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46133</v>
      </c>
      <c r="DN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46134</v>
      </c>
      <c r="DO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46135</v>
      </c>
      <c r="DP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46136</v>
      </c>
      <c r="DQ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46137</v>
      </c>
      <c r="DR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46138</v>
      </c>
      <c r="DS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46139</v>
      </c>
      <c r="DT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46140</v>
      </c>
      <c r="DU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46141</v>
      </c>
      <c r="DV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46142</v>
      </c>
      <c r="DW31" s="124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46143</v>
      </c>
      <c r="DX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46144</v>
      </c>
      <c r="DY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46145</v>
      </c>
      <c r="DZ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46146</v>
      </c>
      <c r="EA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46147</v>
      </c>
      <c r="EB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46148</v>
      </c>
      <c r="EC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46149</v>
      </c>
      <c r="ED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46150</v>
      </c>
      <c r="EE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46151</v>
      </c>
      <c r="EF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46152</v>
      </c>
      <c r="EG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46153</v>
      </c>
      <c r="EH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46154</v>
      </c>
      <c r="EI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46155</v>
      </c>
      <c r="EJ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46156</v>
      </c>
      <c r="EK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46157</v>
      </c>
      <c r="EL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46158</v>
      </c>
      <c r="EM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46159</v>
      </c>
      <c r="EN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46160</v>
      </c>
      <c r="EO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46161</v>
      </c>
      <c r="EP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46162</v>
      </c>
      <c r="EQ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46163</v>
      </c>
      <c r="ER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46164</v>
      </c>
      <c r="ES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46165</v>
      </c>
      <c r="ET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46166</v>
      </c>
      <c r="EU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46167</v>
      </c>
      <c r="EV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46168</v>
      </c>
      <c r="EW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46169</v>
      </c>
      <c r="EX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46170</v>
      </c>
      <c r="EY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46171</v>
      </c>
      <c r="EZ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46172</v>
      </c>
      <c r="FA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46173</v>
      </c>
      <c r="FB31" s="124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46174</v>
      </c>
      <c r="FC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46175</v>
      </c>
      <c r="FD31" s="160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46176</v>
      </c>
      <c r="FE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46177</v>
      </c>
      <c r="FF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46178</v>
      </c>
      <c r="FG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46179</v>
      </c>
      <c r="FH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46180</v>
      </c>
      <c r="FI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46181</v>
      </c>
      <c r="FJ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46182</v>
      </c>
      <c r="FK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46183</v>
      </c>
      <c r="FL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46184</v>
      </c>
      <c r="FM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46185</v>
      </c>
      <c r="FN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46186</v>
      </c>
      <c r="FO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46187</v>
      </c>
      <c r="FP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46188</v>
      </c>
      <c r="FQ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46189</v>
      </c>
      <c r="FR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46190</v>
      </c>
      <c r="FS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46191</v>
      </c>
      <c r="FT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46192</v>
      </c>
      <c r="FU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46193</v>
      </c>
      <c r="FV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46194</v>
      </c>
      <c r="FW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46195</v>
      </c>
      <c r="FX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46196</v>
      </c>
      <c r="FY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46197</v>
      </c>
      <c r="FZ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46198</v>
      </c>
      <c r="GA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46199</v>
      </c>
      <c r="GB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46200</v>
      </c>
      <c r="GC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46201</v>
      </c>
      <c r="GD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46202</v>
      </c>
      <c r="GE31" s="119">
        <f>IF(DATE('▧ 26년 휴가대장'!휴가_년, '▧ 26년 휴가대장'!휴가_월_1, COLUMN()-6) &gt; EOMONTH(DATE('▧ 26년 휴가대장'!휴가_년, '▧ 26년 휴가대장'!휴가_월_1, 1), 6), "", DATE('▧ 26년 휴가대장'!휴가_년, '▧ 26년 휴가대장'!휴가_월_1, COLUMN()-6))
</f>
        <v>46203</v>
      </c>
      <c r="GF31" s="124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46204</v>
      </c>
      <c r="GG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46205</v>
      </c>
      <c r="GH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46206</v>
      </c>
      <c r="GI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46207</v>
      </c>
      <c r="GJ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46208</v>
      </c>
      <c r="GK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46209</v>
      </c>
      <c r="GL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46210</v>
      </c>
      <c r="GM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46211</v>
      </c>
      <c r="GN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46212</v>
      </c>
      <c r="GO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46213</v>
      </c>
      <c r="GP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46214</v>
      </c>
      <c r="GQ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46215</v>
      </c>
      <c r="GR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46216</v>
      </c>
      <c r="GS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46217</v>
      </c>
      <c r="GT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46218</v>
      </c>
      <c r="GU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46219</v>
      </c>
      <c r="GV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46220</v>
      </c>
      <c r="GW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46221</v>
      </c>
      <c r="GX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46222</v>
      </c>
      <c r="GY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46223</v>
      </c>
      <c r="GZ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46224</v>
      </c>
      <c r="HA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46225</v>
      </c>
      <c r="HB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46226</v>
      </c>
      <c r="HC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46227</v>
      </c>
      <c r="HD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46228</v>
      </c>
      <c r="HE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46229</v>
      </c>
      <c r="HF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46230</v>
      </c>
      <c r="HG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46231</v>
      </c>
      <c r="HH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46232</v>
      </c>
      <c r="HI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46233</v>
      </c>
      <c r="HJ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46234</v>
      </c>
      <c r="HK31" s="124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46235</v>
      </c>
      <c r="HL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46236</v>
      </c>
      <c r="HM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46237</v>
      </c>
      <c r="HN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46238</v>
      </c>
      <c r="HO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46239</v>
      </c>
      <c r="HP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46240</v>
      </c>
      <c r="HQ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46241</v>
      </c>
      <c r="HR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46242</v>
      </c>
      <c r="HS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46243</v>
      </c>
      <c r="HT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46244</v>
      </c>
      <c r="HU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46245</v>
      </c>
      <c r="HV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46246</v>
      </c>
      <c r="HW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46247</v>
      </c>
      <c r="HX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46248</v>
      </c>
      <c r="HY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46249</v>
      </c>
      <c r="HZ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46250</v>
      </c>
      <c r="IA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46251</v>
      </c>
      <c r="IB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46252</v>
      </c>
      <c r="IC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46253</v>
      </c>
      <c r="ID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46254</v>
      </c>
      <c r="IE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46255</v>
      </c>
      <c r="IF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46256</v>
      </c>
      <c r="IG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46257</v>
      </c>
      <c r="IH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46258</v>
      </c>
      <c r="II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46259</v>
      </c>
      <c r="IJ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46260</v>
      </c>
      <c r="IK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46261</v>
      </c>
      <c r="IL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46262</v>
      </c>
      <c r="IM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46263</v>
      </c>
      <c r="IN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46264</v>
      </c>
      <c r="IO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46265</v>
      </c>
      <c r="IP31" s="124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46266</v>
      </c>
      <c r="IQ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46267</v>
      </c>
      <c r="IR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46268</v>
      </c>
      <c r="IS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46269</v>
      </c>
      <c r="IT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46270</v>
      </c>
      <c r="IU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46271</v>
      </c>
      <c r="IV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46272</v>
      </c>
      <c r="IW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46273</v>
      </c>
      <c r="IX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46274</v>
      </c>
      <c r="IY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46275</v>
      </c>
      <c r="IZ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46276</v>
      </c>
      <c r="JA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46277</v>
      </c>
      <c r="JB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46278</v>
      </c>
      <c r="JC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46279</v>
      </c>
      <c r="JD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46280</v>
      </c>
      <c r="JE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46281</v>
      </c>
      <c r="JF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46282</v>
      </c>
      <c r="JG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46283</v>
      </c>
      <c r="JH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46284</v>
      </c>
      <c r="JI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46285</v>
      </c>
      <c r="JJ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46286</v>
      </c>
      <c r="JK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46287</v>
      </c>
      <c r="JL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46288</v>
      </c>
      <c r="JM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46289</v>
      </c>
      <c r="JN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46290</v>
      </c>
      <c r="JO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46291</v>
      </c>
      <c r="JP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46292</v>
      </c>
      <c r="JQ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46293</v>
      </c>
      <c r="JR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46294</v>
      </c>
      <c r="JS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46295</v>
      </c>
      <c r="JT31" s="124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46296</v>
      </c>
      <c r="JU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46297</v>
      </c>
      <c r="JV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46298</v>
      </c>
      <c r="JW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46299</v>
      </c>
      <c r="JX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46300</v>
      </c>
      <c r="JY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46301</v>
      </c>
      <c r="JZ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46302</v>
      </c>
      <c r="KA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46303</v>
      </c>
      <c r="KB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46304</v>
      </c>
      <c r="KC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46305</v>
      </c>
      <c r="KD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46306</v>
      </c>
      <c r="KE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46307</v>
      </c>
      <c r="KF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46308</v>
      </c>
      <c r="KG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46309</v>
      </c>
      <c r="KH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46310</v>
      </c>
      <c r="KI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46311</v>
      </c>
      <c r="KJ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46312</v>
      </c>
      <c r="KK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46313</v>
      </c>
      <c r="KL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46314</v>
      </c>
      <c r="KM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46315</v>
      </c>
      <c r="KN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46316</v>
      </c>
      <c r="KO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46317</v>
      </c>
      <c r="KP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46318</v>
      </c>
      <c r="KQ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46319</v>
      </c>
      <c r="KR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46320</v>
      </c>
      <c r="KS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46321</v>
      </c>
      <c r="KT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46322</v>
      </c>
      <c r="KU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46323</v>
      </c>
      <c r="KV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46324</v>
      </c>
      <c r="KW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46325</v>
      </c>
      <c r="KX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46326</v>
      </c>
      <c r="KY31" s="124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46327</v>
      </c>
      <c r="KZ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46328</v>
      </c>
      <c r="LA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46329</v>
      </c>
      <c r="LB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46330</v>
      </c>
      <c r="LC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46331</v>
      </c>
      <c r="LD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46332</v>
      </c>
      <c r="LE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46333</v>
      </c>
      <c r="LF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46334</v>
      </c>
      <c r="LG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46335</v>
      </c>
      <c r="LH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46336</v>
      </c>
      <c r="LI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46337</v>
      </c>
      <c r="LJ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46338</v>
      </c>
      <c r="LK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46339</v>
      </c>
      <c r="LL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46340</v>
      </c>
      <c r="LM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46341</v>
      </c>
      <c r="LN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46342</v>
      </c>
      <c r="LO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46343</v>
      </c>
      <c r="LP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46344</v>
      </c>
      <c r="LQ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46345</v>
      </c>
      <c r="LR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46346</v>
      </c>
      <c r="LS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46347</v>
      </c>
      <c r="LT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46348</v>
      </c>
      <c r="LU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46349</v>
      </c>
      <c r="LV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46350</v>
      </c>
      <c r="LW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46351</v>
      </c>
      <c r="LX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46352</v>
      </c>
      <c r="LY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46353</v>
      </c>
      <c r="LZ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46354</v>
      </c>
      <c r="MA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46355</v>
      </c>
      <c r="MB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46356</v>
      </c>
      <c r="MC31" s="124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46357</v>
      </c>
      <c r="MD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46358</v>
      </c>
      <c r="ME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46359</v>
      </c>
      <c r="MF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46360</v>
      </c>
      <c r="MG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46361</v>
      </c>
      <c r="MH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46362</v>
      </c>
      <c r="MI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46363</v>
      </c>
      <c r="MJ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46364</v>
      </c>
      <c r="MK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46365</v>
      </c>
      <c r="ML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46366</v>
      </c>
      <c r="MM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46367</v>
      </c>
      <c r="MN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46368</v>
      </c>
      <c r="MO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46369</v>
      </c>
      <c r="MP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46370</v>
      </c>
      <c r="MQ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46371</v>
      </c>
      <c r="MR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46372</v>
      </c>
      <c r="MS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46373</v>
      </c>
      <c r="MT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46374</v>
      </c>
      <c r="MU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46375</v>
      </c>
      <c r="MV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46376</v>
      </c>
      <c r="MW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46377</v>
      </c>
      <c r="MX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46378</v>
      </c>
      <c r="MY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46379</v>
      </c>
      <c r="MZ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46380</v>
      </c>
      <c r="NA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46381</v>
      </c>
      <c r="NB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46382</v>
      </c>
      <c r="NC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46383</v>
      </c>
      <c r="ND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46384</v>
      </c>
      <c r="NE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46385</v>
      </c>
      <c r="NF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46386</v>
      </c>
      <c r="NG31" s="119">
        <f>IF(DATE('▧ 26년 휴가대장'!휴가_년,'▧ 26년 휴가대장'!휴가_월_6,COLUMN()-157)&gt;DATE('▧ 26년 휴가대장'!휴가_년,'▧ 26년 휴가대장'!휴가_월_6+157,0),"",DATE('▧ 26년 휴가대장'!휴가_년,'▧ 26년 휴가대장'!휴가_월_6,COLUMN()-157))</f>
        <v>46387</v>
      </c>
    </row>
    <row r="32">
      <c r="A32" s="164"/>
      <c r="B32" s="165"/>
      <c r="C32" s="166"/>
      <c r="D32" s="166"/>
      <c r="E32" s="167"/>
      <c r="F32" s="165"/>
      <c r="G32" s="168">
        <f t="shared" ref="G32:NG32" si="1">G31</f>
        <v>46023</v>
      </c>
      <c r="H32" s="168">
        <f t="shared" si="1"/>
        <v>46024</v>
      </c>
      <c r="I32" s="168">
        <f t="shared" si="1"/>
        <v>46025</v>
      </c>
      <c r="J32" s="168">
        <f t="shared" si="1"/>
        <v>46026</v>
      </c>
      <c r="K32" s="168">
        <f t="shared" si="1"/>
        <v>46027</v>
      </c>
      <c r="L32" s="168">
        <f t="shared" si="1"/>
        <v>46028</v>
      </c>
      <c r="M32" s="168">
        <f t="shared" si="1"/>
        <v>46029</v>
      </c>
      <c r="N32" s="168">
        <f t="shared" si="1"/>
        <v>46030</v>
      </c>
      <c r="O32" s="168">
        <f t="shared" si="1"/>
        <v>46031</v>
      </c>
      <c r="P32" s="168">
        <f t="shared" si="1"/>
        <v>46032</v>
      </c>
      <c r="Q32" s="168">
        <f t="shared" si="1"/>
        <v>46033</v>
      </c>
      <c r="R32" s="168">
        <f t="shared" si="1"/>
        <v>46034</v>
      </c>
      <c r="S32" s="168">
        <f t="shared" si="1"/>
        <v>46035</v>
      </c>
      <c r="T32" s="168">
        <f t="shared" si="1"/>
        <v>46036</v>
      </c>
      <c r="U32" s="168">
        <f t="shared" si="1"/>
        <v>46037</v>
      </c>
      <c r="V32" s="168">
        <f t="shared" si="1"/>
        <v>46038</v>
      </c>
      <c r="W32" s="168">
        <f t="shared" si="1"/>
        <v>46039</v>
      </c>
      <c r="X32" s="168">
        <f t="shared" si="1"/>
        <v>46040</v>
      </c>
      <c r="Y32" s="168">
        <f t="shared" si="1"/>
        <v>46041</v>
      </c>
      <c r="Z32" s="168">
        <f t="shared" si="1"/>
        <v>46042</v>
      </c>
      <c r="AA32" s="168">
        <f t="shared" si="1"/>
        <v>46043</v>
      </c>
      <c r="AB32" s="168">
        <f t="shared" si="1"/>
        <v>46044</v>
      </c>
      <c r="AC32" s="168">
        <f t="shared" si="1"/>
        <v>46045</v>
      </c>
      <c r="AD32" s="168">
        <f t="shared" si="1"/>
        <v>46046</v>
      </c>
      <c r="AE32" s="168">
        <f t="shared" si="1"/>
        <v>46047</v>
      </c>
      <c r="AF32" s="168">
        <f t="shared" si="1"/>
        <v>46048</v>
      </c>
      <c r="AG32" s="168">
        <f t="shared" si="1"/>
        <v>46049</v>
      </c>
      <c r="AH32" s="168">
        <f t="shared" si="1"/>
        <v>46050</v>
      </c>
      <c r="AI32" s="168">
        <f t="shared" si="1"/>
        <v>46051</v>
      </c>
      <c r="AJ32" s="168">
        <f t="shared" si="1"/>
        <v>46052</v>
      </c>
      <c r="AK32" s="168">
        <f t="shared" si="1"/>
        <v>46053</v>
      </c>
      <c r="AL32" s="169">
        <f t="shared" si="1"/>
        <v>46054</v>
      </c>
      <c r="AM32" s="168">
        <f t="shared" si="1"/>
        <v>46055</v>
      </c>
      <c r="AN32" s="168">
        <f t="shared" si="1"/>
        <v>46056</v>
      </c>
      <c r="AO32" s="168">
        <f t="shared" si="1"/>
        <v>46057</v>
      </c>
      <c r="AP32" s="168">
        <f t="shared" si="1"/>
        <v>46058</v>
      </c>
      <c r="AQ32" s="168">
        <f t="shared" si="1"/>
        <v>46059</v>
      </c>
      <c r="AR32" s="168">
        <f t="shared" si="1"/>
        <v>46060</v>
      </c>
      <c r="AS32" s="168">
        <f t="shared" si="1"/>
        <v>46061</v>
      </c>
      <c r="AT32" s="168">
        <f t="shared" si="1"/>
        <v>46062</v>
      </c>
      <c r="AU32" s="168">
        <f t="shared" si="1"/>
        <v>46063</v>
      </c>
      <c r="AV32" s="168">
        <f t="shared" si="1"/>
        <v>46064</v>
      </c>
      <c r="AW32" s="168">
        <f t="shared" si="1"/>
        <v>46065</v>
      </c>
      <c r="AX32" s="168">
        <f t="shared" si="1"/>
        <v>46066</v>
      </c>
      <c r="AY32" s="168">
        <f t="shared" si="1"/>
        <v>46067</v>
      </c>
      <c r="AZ32" s="168">
        <f t="shared" si="1"/>
        <v>46068</v>
      </c>
      <c r="BA32" s="168">
        <f t="shared" si="1"/>
        <v>46069</v>
      </c>
      <c r="BB32" s="168">
        <f t="shared" si="1"/>
        <v>46070</v>
      </c>
      <c r="BC32" s="168">
        <f t="shared" si="1"/>
        <v>46071</v>
      </c>
      <c r="BD32" s="168">
        <f t="shared" si="1"/>
        <v>46072</v>
      </c>
      <c r="BE32" s="168">
        <f t="shared" si="1"/>
        <v>46073</v>
      </c>
      <c r="BF32" s="168">
        <f t="shared" si="1"/>
        <v>46074</v>
      </c>
      <c r="BG32" s="168">
        <f t="shared" si="1"/>
        <v>46075</v>
      </c>
      <c r="BH32" s="168">
        <f t="shared" si="1"/>
        <v>46076</v>
      </c>
      <c r="BI32" s="168">
        <f t="shared" si="1"/>
        <v>46077</v>
      </c>
      <c r="BJ32" s="168">
        <f t="shared" si="1"/>
        <v>46078</v>
      </c>
      <c r="BK32" s="168">
        <f t="shared" si="1"/>
        <v>46079</v>
      </c>
      <c r="BL32" s="168">
        <f t="shared" si="1"/>
        <v>46080</v>
      </c>
      <c r="BM32" s="168">
        <f t="shared" si="1"/>
        <v>46081</v>
      </c>
      <c r="BN32" s="169">
        <f t="shared" si="1"/>
        <v>46082</v>
      </c>
      <c r="BO32" s="170">
        <f t="shared" si="1"/>
        <v>46083</v>
      </c>
      <c r="BP32" s="170">
        <f t="shared" si="1"/>
        <v>46084</v>
      </c>
      <c r="BQ32" s="170">
        <f t="shared" si="1"/>
        <v>46085</v>
      </c>
      <c r="BR32" s="170">
        <f t="shared" si="1"/>
        <v>46086</v>
      </c>
      <c r="BS32" s="170">
        <f t="shared" si="1"/>
        <v>46087</v>
      </c>
      <c r="BT32" s="170">
        <f t="shared" si="1"/>
        <v>46088</v>
      </c>
      <c r="BU32" s="170">
        <f t="shared" si="1"/>
        <v>46089</v>
      </c>
      <c r="BV32" s="170">
        <f t="shared" si="1"/>
        <v>46090</v>
      </c>
      <c r="BW32" s="170">
        <f t="shared" si="1"/>
        <v>46091</v>
      </c>
      <c r="BX32" s="170">
        <f t="shared" si="1"/>
        <v>46092</v>
      </c>
      <c r="BY32" s="170">
        <f t="shared" si="1"/>
        <v>46093</v>
      </c>
      <c r="BZ32" s="170">
        <f t="shared" si="1"/>
        <v>46094</v>
      </c>
      <c r="CA32" s="170">
        <f t="shared" si="1"/>
        <v>46095</v>
      </c>
      <c r="CB32" s="170">
        <f t="shared" si="1"/>
        <v>46096</v>
      </c>
      <c r="CC32" s="170">
        <f t="shared" si="1"/>
        <v>46097</v>
      </c>
      <c r="CD32" s="170">
        <f t="shared" si="1"/>
        <v>46098</v>
      </c>
      <c r="CE32" s="170">
        <f t="shared" si="1"/>
        <v>46099</v>
      </c>
      <c r="CF32" s="170">
        <f t="shared" si="1"/>
        <v>46100</v>
      </c>
      <c r="CG32" s="170">
        <f t="shared" si="1"/>
        <v>46101</v>
      </c>
      <c r="CH32" s="170">
        <f t="shared" si="1"/>
        <v>46102</v>
      </c>
      <c r="CI32" s="170">
        <f t="shared" si="1"/>
        <v>46103</v>
      </c>
      <c r="CJ32" s="170">
        <f t="shared" si="1"/>
        <v>46104</v>
      </c>
      <c r="CK32" s="170">
        <f t="shared" si="1"/>
        <v>46105</v>
      </c>
      <c r="CL32" s="170">
        <f t="shared" si="1"/>
        <v>46106</v>
      </c>
      <c r="CM32" s="170">
        <f t="shared" si="1"/>
        <v>46107</v>
      </c>
      <c r="CN32" s="170">
        <f t="shared" si="1"/>
        <v>46108</v>
      </c>
      <c r="CO32" s="170">
        <f t="shared" si="1"/>
        <v>46109</v>
      </c>
      <c r="CP32" s="170">
        <f t="shared" si="1"/>
        <v>46110</v>
      </c>
      <c r="CQ32" s="170">
        <f t="shared" si="1"/>
        <v>46111</v>
      </c>
      <c r="CR32" s="170">
        <f t="shared" si="1"/>
        <v>46112</v>
      </c>
      <c r="CS32" s="171">
        <f t="shared" si="1"/>
        <v>46113</v>
      </c>
      <c r="CT32" s="170">
        <f t="shared" si="1"/>
        <v>46114</v>
      </c>
      <c r="CU32" s="170">
        <f t="shared" si="1"/>
        <v>46115</v>
      </c>
      <c r="CV32" s="170">
        <f t="shared" si="1"/>
        <v>46116</v>
      </c>
      <c r="CW32" s="170">
        <f t="shared" si="1"/>
        <v>46117</v>
      </c>
      <c r="CX32" s="170">
        <f t="shared" si="1"/>
        <v>46118</v>
      </c>
      <c r="CY32" s="170">
        <f t="shared" si="1"/>
        <v>46119</v>
      </c>
      <c r="CZ32" s="170">
        <f t="shared" si="1"/>
        <v>46120</v>
      </c>
      <c r="DA32" s="170">
        <f t="shared" si="1"/>
        <v>46121</v>
      </c>
      <c r="DB32" s="170">
        <f t="shared" si="1"/>
        <v>46122</v>
      </c>
      <c r="DC32" s="170">
        <f t="shared" si="1"/>
        <v>46123</v>
      </c>
      <c r="DD32" s="170">
        <f t="shared" si="1"/>
        <v>46124</v>
      </c>
      <c r="DE32" s="170">
        <f t="shared" si="1"/>
        <v>46125</v>
      </c>
      <c r="DF32" s="170">
        <f t="shared" si="1"/>
        <v>46126</v>
      </c>
      <c r="DG32" s="170">
        <f t="shared" si="1"/>
        <v>46127</v>
      </c>
      <c r="DH32" s="170">
        <f t="shared" si="1"/>
        <v>46128</v>
      </c>
      <c r="DI32" s="170">
        <f t="shared" si="1"/>
        <v>46129</v>
      </c>
      <c r="DJ32" s="170">
        <f t="shared" si="1"/>
        <v>46130</v>
      </c>
      <c r="DK32" s="170">
        <f t="shared" si="1"/>
        <v>46131</v>
      </c>
      <c r="DL32" s="170">
        <f t="shared" si="1"/>
        <v>46132</v>
      </c>
      <c r="DM32" s="170">
        <f t="shared" si="1"/>
        <v>46133</v>
      </c>
      <c r="DN32" s="170">
        <f t="shared" si="1"/>
        <v>46134</v>
      </c>
      <c r="DO32" s="170">
        <f t="shared" si="1"/>
        <v>46135</v>
      </c>
      <c r="DP32" s="170">
        <f t="shared" si="1"/>
        <v>46136</v>
      </c>
      <c r="DQ32" s="170">
        <f t="shared" si="1"/>
        <v>46137</v>
      </c>
      <c r="DR32" s="170">
        <f t="shared" si="1"/>
        <v>46138</v>
      </c>
      <c r="DS32" s="170">
        <f t="shared" si="1"/>
        <v>46139</v>
      </c>
      <c r="DT32" s="170">
        <f t="shared" si="1"/>
        <v>46140</v>
      </c>
      <c r="DU32" s="170">
        <f t="shared" si="1"/>
        <v>46141</v>
      </c>
      <c r="DV32" s="170">
        <f t="shared" si="1"/>
        <v>46142</v>
      </c>
      <c r="DW32" s="171">
        <f t="shared" si="1"/>
        <v>46143</v>
      </c>
      <c r="DX32" s="170">
        <f t="shared" si="1"/>
        <v>46144</v>
      </c>
      <c r="DY32" s="170">
        <f t="shared" si="1"/>
        <v>46145</v>
      </c>
      <c r="DZ32" s="170">
        <f t="shared" si="1"/>
        <v>46146</v>
      </c>
      <c r="EA32" s="170">
        <f t="shared" si="1"/>
        <v>46147</v>
      </c>
      <c r="EB32" s="170">
        <f t="shared" si="1"/>
        <v>46148</v>
      </c>
      <c r="EC32" s="170">
        <f t="shared" si="1"/>
        <v>46149</v>
      </c>
      <c r="ED32" s="170">
        <f t="shared" si="1"/>
        <v>46150</v>
      </c>
      <c r="EE32" s="170">
        <f t="shared" si="1"/>
        <v>46151</v>
      </c>
      <c r="EF32" s="170">
        <f t="shared" si="1"/>
        <v>46152</v>
      </c>
      <c r="EG32" s="170">
        <f t="shared" si="1"/>
        <v>46153</v>
      </c>
      <c r="EH32" s="170">
        <f t="shared" si="1"/>
        <v>46154</v>
      </c>
      <c r="EI32" s="170">
        <f t="shared" si="1"/>
        <v>46155</v>
      </c>
      <c r="EJ32" s="170">
        <f t="shared" si="1"/>
        <v>46156</v>
      </c>
      <c r="EK32" s="170">
        <f t="shared" si="1"/>
        <v>46157</v>
      </c>
      <c r="EL32" s="170">
        <f t="shared" si="1"/>
        <v>46158</v>
      </c>
      <c r="EM32" s="170">
        <f t="shared" si="1"/>
        <v>46159</v>
      </c>
      <c r="EN32" s="170">
        <f t="shared" si="1"/>
        <v>46160</v>
      </c>
      <c r="EO32" s="170">
        <f t="shared" si="1"/>
        <v>46161</v>
      </c>
      <c r="EP32" s="170">
        <f t="shared" si="1"/>
        <v>46162</v>
      </c>
      <c r="EQ32" s="170">
        <f t="shared" si="1"/>
        <v>46163</v>
      </c>
      <c r="ER32" s="170">
        <f t="shared" si="1"/>
        <v>46164</v>
      </c>
      <c r="ES32" s="170">
        <f t="shared" si="1"/>
        <v>46165</v>
      </c>
      <c r="ET32" s="170">
        <f t="shared" si="1"/>
        <v>46166</v>
      </c>
      <c r="EU32" s="170">
        <f t="shared" si="1"/>
        <v>46167</v>
      </c>
      <c r="EV32" s="170">
        <f t="shared" si="1"/>
        <v>46168</v>
      </c>
      <c r="EW32" s="170">
        <f t="shared" si="1"/>
        <v>46169</v>
      </c>
      <c r="EX32" s="170">
        <f t="shared" si="1"/>
        <v>46170</v>
      </c>
      <c r="EY32" s="172">
        <f t="shared" si="1"/>
        <v>46171</v>
      </c>
      <c r="EZ32" s="170">
        <f t="shared" si="1"/>
        <v>46172</v>
      </c>
      <c r="FA32" s="170">
        <f t="shared" si="1"/>
        <v>46173</v>
      </c>
      <c r="FB32" s="171">
        <f t="shared" si="1"/>
        <v>46174</v>
      </c>
      <c r="FC32" s="170">
        <f t="shared" si="1"/>
        <v>46175</v>
      </c>
      <c r="FD32" s="173">
        <f t="shared" si="1"/>
        <v>46176</v>
      </c>
      <c r="FE32" s="170">
        <f t="shared" si="1"/>
        <v>46177</v>
      </c>
      <c r="FF32" s="170">
        <f t="shared" si="1"/>
        <v>46178</v>
      </c>
      <c r="FG32" s="170">
        <f t="shared" si="1"/>
        <v>46179</v>
      </c>
      <c r="FH32" s="170">
        <f t="shared" si="1"/>
        <v>46180</v>
      </c>
      <c r="FI32" s="170">
        <f t="shared" si="1"/>
        <v>46181</v>
      </c>
      <c r="FJ32" s="170">
        <f t="shared" si="1"/>
        <v>46182</v>
      </c>
      <c r="FK32" s="170">
        <f t="shared" si="1"/>
        <v>46183</v>
      </c>
      <c r="FL32" s="170">
        <f t="shared" si="1"/>
        <v>46184</v>
      </c>
      <c r="FM32" s="170">
        <f t="shared" si="1"/>
        <v>46185</v>
      </c>
      <c r="FN32" s="170">
        <f t="shared" si="1"/>
        <v>46186</v>
      </c>
      <c r="FO32" s="170">
        <f t="shared" si="1"/>
        <v>46187</v>
      </c>
      <c r="FP32" s="170">
        <f t="shared" si="1"/>
        <v>46188</v>
      </c>
      <c r="FQ32" s="170">
        <f t="shared" si="1"/>
        <v>46189</v>
      </c>
      <c r="FR32" s="170">
        <f t="shared" si="1"/>
        <v>46190</v>
      </c>
      <c r="FS32" s="170">
        <f t="shared" si="1"/>
        <v>46191</v>
      </c>
      <c r="FT32" s="170">
        <f t="shared" si="1"/>
        <v>46192</v>
      </c>
      <c r="FU32" s="170">
        <f t="shared" si="1"/>
        <v>46193</v>
      </c>
      <c r="FV32" s="170">
        <f t="shared" si="1"/>
        <v>46194</v>
      </c>
      <c r="FW32" s="170">
        <f t="shared" si="1"/>
        <v>46195</v>
      </c>
      <c r="FX32" s="170">
        <f t="shared" si="1"/>
        <v>46196</v>
      </c>
      <c r="FY32" s="170">
        <f t="shared" si="1"/>
        <v>46197</v>
      </c>
      <c r="FZ32" s="170">
        <f t="shared" si="1"/>
        <v>46198</v>
      </c>
      <c r="GA32" s="170">
        <f t="shared" si="1"/>
        <v>46199</v>
      </c>
      <c r="GB32" s="170">
        <f t="shared" si="1"/>
        <v>46200</v>
      </c>
      <c r="GC32" s="170">
        <f t="shared" si="1"/>
        <v>46201</v>
      </c>
      <c r="GD32" s="170">
        <f t="shared" si="1"/>
        <v>46202</v>
      </c>
      <c r="GE32" s="170">
        <f t="shared" si="1"/>
        <v>46203</v>
      </c>
      <c r="GF32" s="171">
        <f t="shared" si="1"/>
        <v>46204</v>
      </c>
      <c r="GG32" s="170">
        <f t="shared" si="1"/>
        <v>46205</v>
      </c>
      <c r="GH32" s="170">
        <f t="shared" si="1"/>
        <v>46206</v>
      </c>
      <c r="GI32" s="170">
        <f t="shared" si="1"/>
        <v>46207</v>
      </c>
      <c r="GJ32" s="170">
        <f t="shared" si="1"/>
        <v>46208</v>
      </c>
      <c r="GK32" s="170">
        <f t="shared" si="1"/>
        <v>46209</v>
      </c>
      <c r="GL32" s="170">
        <f t="shared" si="1"/>
        <v>46210</v>
      </c>
      <c r="GM32" s="170">
        <f t="shared" si="1"/>
        <v>46211</v>
      </c>
      <c r="GN32" s="170">
        <f t="shared" si="1"/>
        <v>46212</v>
      </c>
      <c r="GO32" s="170">
        <f t="shared" si="1"/>
        <v>46213</v>
      </c>
      <c r="GP32" s="170">
        <f t="shared" si="1"/>
        <v>46214</v>
      </c>
      <c r="GQ32" s="170">
        <f t="shared" si="1"/>
        <v>46215</v>
      </c>
      <c r="GR32" s="170">
        <f t="shared" si="1"/>
        <v>46216</v>
      </c>
      <c r="GS32" s="170">
        <f t="shared" si="1"/>
        <v>46217</v>
      </c>
      <c r="GT32" s="170">
        <f t="shared" si="1"/>
        <v>46218</v>
      </c>
      <c r="GU32" s="170">
        <f t="shared" si="1"/>
        <v>46219</v>
      </c>
      <c r="GV32" s="170">
        <f t="shared" si="1"/>
        <v>46220</v>
      </c>
      <c r="GW32" s="170">
        <f t="shared" si="1"/>
        <v>46221</v>
      </c>
      <c r="GX32" s="170">
        <f t="shared" si="1"/>
        <v>46222</v>
      </c>
      <c r="GY32" s="170">
        <f t="shared" si="1"/>
        <v>46223</v>
      </c>
      <c r="GZ32" s="170">
        <f t="shared" si="1"/>
        <v>46224</v>
      </c>
      <c r="HA32" s="170">
        <f t="shared" si="1"/>
        <v>46225</v>
      </c>
      <c r="HB32" s="170">
        <f t="shared" si="1"/>
        <v>46226</v>
      </c>
      <c r="HC32" s="170">
        <f t="shared" si="1"/>
        <v>46227</v>
      </c>
      <c r="HD32" s="170">
        <f t="shared" si="1"/>
        <v>46228</v>
      </c>
      <c r="HE32" s="170">
        <f t="shared" si="1"/>
        <v>46229</v>
      </c>
      <c r="HF32" s="170">
        <f t="shared" si="1"/>
        <v>46230</v>
      </c>
      <c r="HG32" s="170">
        <f t="shared" si="1"/>
        <v>46231</v>
      </c>
      <c r="HH32" s="170">
        <f t="shared" si="1"/>
        <v>46232</v>
      </c>
      <c r="HI32" s="170">
        <f t="shared" si="1"/>
        <v>46233</v>
      </c>
      <c r="HJ32" s="170">
        <f t="shared" si="1"/>
        <v>46234</v>
      </c>
      <c r="HK32" s="171">
        <f t="shared" si="1"/>
        <v>46235</v>
      </c>
      <c r="HL32" s="170">
        <f t="shared" si="1"/>
        <v>46236</v>
      </c>
      <c r="HM32" s="170">
        <f t="shared" si="1"/>
        <v>46237</v>
      </c>
      <c r="HN32" s="170">
        <f t="shared" si="1"/>
        <v>46238</v>
      </c>
      <c r="HO32" s="170">
        <f t="shared" si="1"/>
        <v>46239</v>
      </c>
      <c r="HP32" s="170">
        <f t="shared" si="1"/>
        <v>46240</v>
      </c>
      <c r="HQ32" s="170">
        <f t="shared" si="1"/>
        <v>46241</v>
      </c>
      <c r="HR32" s="170">
        <f t="shared" si="1"/>
        <v>46242</v>
      </c>
      <c r="HS32" s="170">
        <f t="shared" si="1"/>
        <v>46243</v>
      </c>
      <c r="HT32" s="170">
        <f t="shared" si="1"/>
        <v>46244</v>
      </c>
      <c r="HU32" s="170">
        <f t="shared" si="1"/>
        <v>46245</v>
      </c>
      <c r="HV32" s="170">
        <f t="shared" si="1"/>
        <v>46246</v>
      </c>
      <c r="HW32" s="170">
        <f t="shared" si="1"/>
        <v>46247</v>
      </c>
      <c r="HX32" s="170">
        <f t="shared" si="1"/>
        <v>46248</v>
      </c>
      <c r="HY32" s="170">
        <f t="shared" si="1"/>
        <v>46249</v>
      </c>
      <c r="HZ32" s="170">
        <f t="shared" si="1"/>
        <v>46250</v>
      </c>
      <c r="IA32" s="170">
        <f t="shared" si="1"/>
        <v>46251</v>
      </c>
      <c r="IB32" s="170">
        <f t="shared" si="1"/>
        <v>46252</v>
      </c>
      <c r="IC32" s="170">
        <f t="shared" si="1"/>
        <v>46253</v>
      </c>
      <c r="ID32" s="170">
        <f t="shared" si="1"/>
        <v>46254</v>
      </c>
      <c r="IE32" s="170">
        <f t="shared" si="1"/>
        <v>46255</v>
      </c>
      <c r="IF32" s="170">
        <f t="shared" si="1"/>
        <v>46256</v>
      </c>
      <c r="IG32" s="170">
        <f t="shared" si="1"/>
        <v>46257</v>
      </c>
      <c r="IH32" s="170">
        <f t="shared" si="1"/>
        <v>46258</v>
      </c>
      <c r="II32" s="170">
        <f t="shared" si="1"/>
        <v>46259</v>
      </c>
      <c r="IJ32" s="170">
        <f t="shared" si="1"/>
        <v>46260</v>
      </c>
      <c r="IK32" s="170">
        <f t="shared" si="1"/>
        <v>46261</v>
      </c>
      <c r="IL32" s="170">
        <f t="shared" si="1"/>
        <v>46262</v>
      </c>
      <c r="IM32" s="170">
        <f t="shared" si="1"/>
        <v>46263</v>
      </c>
      <c r="IN32" s="170">
        <f t="shared" si="1"/>
        <v>46264</v>
      </c>
      <c r="IO32" s="170">
        <f t="shared" si="1"/>
        <v>46265</v>
      </c>
      <c r="IP32" s="171">
        <f t="shared" si="1"/>
        <v>46266</v>
      </c>
      <c r="IQ32" s="170">
        <f t="shared" si="1"/>
        <v>46267</v>
      </c>
      <c r="IR32" s="170">
        <f t="shared" si="1"/>
        <v>46268</v>
      </c>
      <c r="IS32" s="170">
        <f t="shared" si="1"/>
        <v>46269</v>
      </c>
      <c r="IT32" s="170">
        <f t="shared" si="1"/>
        <v>46270</v>
      </c>
      <c r="IU32" s="170">
        <f t="shared" si="1"/>
        <v>46271</v>
      </c>
      <c r="IV32" s="170">
        <f t="shared" si="1"/>
        <v>46272</v>
      </c>
      <c r="IW32" s="170">
        <f t="shared" si="1"/>
        <v>46273</v>
      </c>
      <c r="IX32" s="170">
        <f t="shared" si="1"/>
        <v>46274</v>
      </c>
      <c r="IY32" s="170">
        <f t="shared" si="1"/>
        <v>46275</v>
      </c>
      <c r="IZ32" s="170">
        <f t="shared" si="1"/>
        <v>46276</v>
      </c>
      <c r="JA32" s="170">
        <f t="shared" si="1"/>
        <v>46277</v>
      </c>
      <c r="JB32" s="170">
        <f t="shared" si="1"/>
        <v>46278</v>
      </c>
      <c r="JC32" s="170">
        <f t="shared" si="1"/>
        <v>46279</v>
      </c>
      <c r="JD32" s="170">
        <f t="shared" si="1"/>
        <v>46280</v>
      </c>
      <c r="JE32" s="170">
        <f t="shared" si="1"/>
        <v>46281</v>
      </c>
      <c r="JF32" s="170">
        <f t="shared" si="1"/>
        <v>46282</v>
      </c>
      <c r="JG32" s="170">
        <f t="shared" si="1"/>
        <v>46283</v>
      </c>
      <c r="JH32" s="170">
        <f t="shared" si="1"/>
        <v>46284</v>
      </c>
      <c r="JI32" s="170">
        <f t="shared" si="1"/>
        <v>46285</v>
      </c>
      <c r="JJ32" s="170">
        <f t="shared" si="1"/>
        <v>46286</v>
      </c>
      <c r="JK32" s="170">
        <f t="shared" si="1"/>
        <v>46287</v>
      </c>
      <c r="JL32" s="170">
        <f t="shared" si="1"/>
        <v>46288</v>
      </c>
      <c r="JM32" s="170">
        <f t="shared" si="1"/>
        <v>46289</v>
      </c>
      <c r="JN32" s="170">
        <f t="shared" si="1"/>
        <v>46290</v>
      </c>
      <c r="JO32" s="170">
        <f t="shared" si="1"/>
        <v>46291</v>
      </c>
      <c r="JP32" s="170">
        <f t="shared" si="1"/>
        <v>46292</v>
      </c>
      <c r="JQ32" s="170">
        <f t="shared" si="1"/>
        <v>46293</v>
      </c>
      <c r="JR32" s="170">
        <f t="shared" si="1"/>
        <v>46294</v>
      </c>
      <c r="JS32" s="170">
        <f t="shared" si="1"/>
        <v>46295</v>
      </c>
      <c r="JT32" s="171">
        <f t="shared" si="1"/>
        <v>46296</v>
      </c>
      <c r="JU32" s="174">
        <f t="shared" si="1"/>
        <v>46297</v>
      </c>
      <c r="JV32" s="170">
        <f t="shared" si="1"/>
        <v>46298</v>
      </c>
      <c r="JW32" s="170">
        <f t="shared" si="1"/>
        <v>46299</v>
      </c>
      <c r="JX32" s="170">
        <f t="shared" si="1"/>
        <v>46300</v>
      </c>
      <c r="JY32" s="170">
        <f t="shared" si="1"/>
        <v>46301</v>
      </c>
      <c r="JZ32" s="170">
        <f t="shared" si="1"/>
        <v>46302</v>
      </c>
      <c r="KA32" s="170">
        <f t="shared" si="1"/>
        <v>46303</v>
      </c>
      <c r="KB32" s="170">
        <f t="shared" si="1"/>
        <v>46304</v>
      </c>
      <c r="KC32" s="170">
        <f t="shared" si="1"/>
        <v>46305</v>
      </c>
      <c r="KD32" s="170">
        <f t="shared" si="1"/>
        <v>46306</v>
      </c>
      <c r="KE32" s="170">
        <f t="shared" si="1"/>
        <v>46307</v>
      </c>
      <c r="KF32" s="170">
        <f t="shared" si="1"/>
        <v>46308</v>
      </c>
      <c r="KG32" s="170">
        <f t="shared" si="1"/>
        <v>46309</v>
      </c>
      <c r="KH32" s="170">
        <f t="shared" si="1"/>
        <v>46310</v>
      </c>
      <c r="KI32" s="170">
        <f t="shared" si="1"/>
        <v>46311</v>
      </c>
      <c r="KJ32" s="170">
        <f t="shared" si="1"/>
        <v>46312</v>
      </c>
      <c r="KK32" s="170">
        <f t="shared" si="1"/>
        <v>46313</v>
      </c>
      <c r="KL32" s="170">
        <f t="shared" si="1"/>
        <v>46314</v>
      </c>
      <c r="KM32" s="170">
        <f t="shared" si="1"/>
        <v>46315</v>
      </c>
      <c r="KN32" s="170">
        <f t="shared" si="1"/>
        <v>46316</v>
      </c>
      <c r="KO32" s="170">
        <f t="shared" si="1"/>
        <v>46317</v>
      </c>
      <c r="KP32" s="170">
        <f t="shared" si="1"/>
        <v>46318</v>
      </c>
      <c r="KQ32" s="170">
        <f t="shared" si="1"/>
        <v>46319</v>
      </c>
      <c r="KR32" s="170">
        <f t="shared" si="1"/>
        <v>46320</v>
      </c>
      <c r="KS32" s="170">
        <f t="shared" si="1"/>
        <v>46321</v>
      </c>
      <c r="KT32" s="170">
        <f t="shared" si="1"/>
        <v>46322</v>
      </c>
      <c r="KU32" s="170">
        <f t="shared" si="1"/>
        <v>46323</v>
      </c>
      <c r="KV32" s="170">
        <f t="shared" si="1"/>
        <v>46324</v>
      </c>
      <c r="KW32" s="170">
        <f t="shared" si="1"/>
        <v>46325</v>
      </c>
      <c r="KX32" s="170">
        <f t="shared" si="1"/>
        <v>46326</v>
      </c>
      <c r="KY32" s="171">
        <f t="shared" si="1"/>
        <v>46327</v>
      </c>
      <c r="KZ32" s="170">
        <f t="shared" si="1"/>
        <v>46328</v>
      </c>
      <c r="LA32" s="170">
        <f t="shared" si="1"/>
        <v>46329</v>
      </c>
      <c r="LB32" s="170">
        <f t="shared" si="1"/>
        <v>46330</v>
      </c>
      <c r="LC32" s="170">
        <f t="shared" si="1"/>
        <v>46331</v>
      </c>
      <c r="LD32" s="170">
        <f t="shared" si="1"/>
        <v>46332</v>
      </c>
      <c r="LE32" s="170">
        <f t="shared" si="1"/>
        <v>46333</v>
      </c>
      <c r="LF32" s="170">
        <f t="shared" si="1"/>
        <v>46334</v>
      </c>
      <c r="LG32" s="170">
        <f t="shared" si="1"/>
        <v>46335</v>
      </c>
      <c r="LH32" s="170">
        <f t="shared" si="1"/>
        <v>46336</v>
      </c>
      <c r="LI32" s="170">
        <f t="shared" si="1"/>
        <v>46337</v>
      </c>
      <c r="LJ32" s="170">
        <f t="shared" si="1"/>
        <v>46338</v>
      </c>
      <c r="LK32" s="170">
        <f t="shared" si="1"/>
        <v>46339</v>
      </c>
      <c r="LL32" s="170">
        <f t="shared" si="1"/>
        <v>46340</v>
      </c>
      <c r="LM32" s="170">
        <f t="shared" si="1"/>
        <v>46341</v>
      </c>
      <c r="LN32" s="170">
        <f t="shared" si="1"/>
        <v>46342</v>
      </c>
      <c r="LO32" s="170">
        <f t="shared" si="1"/>
        <v>46343</v>
      </c>
      <c r="LP32" s="170">
        <f t="shared" si="1"/>
        <v>46344</v>
      </c>
      <c r="LQ32" s="170">
        <f t="shared" si="1"/>
        <v>46345</v>
      </c>
      <c r="LR32" s="170">
        <f t="shared" si="1"/>
        <v>46346</v>
      </c>
      <c r="LS32" s="170">
        <f t="shared" si="1"/>
        <v>46347</v>
      </c>
      <c r="LT32" s="170">
        <f t="shared" si="1"/>
        <v>46348</v>
      </c>
      <c r="LU32" s="170">
        <f t="shared" si="1"/>
        <v>46349</v>
      </c>
      <c r="LV32" s="170">
        <f t="shared" si="1"/>
        <v>46350</v>
      </c>
      <c r="LW32" s="170">
        <f t="shared" si="1"/>
        <v>46351</v>
      </c>
      <c r="LX32" s="170">
        <f t="shared" si="1"/>
        <v>46352</v>
      </c>
      <c r="LY32" s="170">
        <f t="shared" si="1"/>
        <v>46353</v>
      </c>
      <c r="LZ32" s="170">
        <f t="shared" si="1"/>
        <v>46354</v>
      </c>
      <c r="MA32" s="170">
        <f t="shared" si="1"/>
        <v>46355</v>
      </c>
      <c r="MB32" s="170">
        <f t="shared" si="1"/>
        <v>46356</v>
      </c>
      <c r="MC32" s="171">
        <f t="shared" si="1"/>
        <v>46357</v>
      </c>
      <c r="MD32" s="170">
        <f t="shared" si="1"/>
        <v>46358</v>
      </c>
      <c r="ME32" s="170">
        <f t="shared" si="1"/>
        <v>46359</v>
      </c>
      <c r="MF32" s="170">
        <f t="shared" si="1"/>
        <v>46360</v>
      </c>
      <c r="MG32" s="170">
        <f t="shared" si="1"/>
        <v>46361</v>
      </c>
      <c r="MH32" s="170">
        <f t="shared" si="1"/>
        <v>46362</v>
      </c>
      <c r="MI32" s="170">
        <f t="shared" si="1"/>
        <v>46363</v>
      </c>
      <c r="MJ32" s="170">
        <f t="shared" si="1"/>
        <v>46364</v>
      </c>
      <c r="MK32" s="170">
        <f t="shared" si="1"/>
        <v>46365</v>
      </c>
      <c r="ML32" s="170">
        <f t="shared" si="1"/>
        <v>46366</v>
      </c>
      <c r="MM32" s="170">
        <f t="shared" si="1"/>
        <v>46367</v>
      </c>
      <c r="MN32" s="170">
        <f t="shared" si="1"/>
        <v>46368</v>
      </c>
      <c r="MO32" s="170">
        <f t="shared" si="1"/>
        <v>46369</v>
      </c>
      <c r="MP32" s="170">
        <f t="shared" si="1"/>
        <v>46370</v>
      </c>
      <c r="MQ32" s="170">
        <f t="shared" si="1"/>
        <v>46371</v>
      </c>
      <c r="MR32" s="170">
        <f t="shared" si="1"/>
        <v>46372</v>
      </c>
      <c r="MS32" s="170">
        <f t="shared" si="1"/>
        <v>46373</v>
      </c>
      <c r="MT32" s="170">
        <f t="shared" si="1"/>
        <v>46374</v>
      </c>
      <c r="MU32" s="170">
        <f t="shared" si="1"/>
        <v>46375</v>
      </c>
      <c r="MV32" s="170">
        <f t="shared" si="1"/>
        <v>46376</v>
      </c>
      <c r="MW32" s="170">
        <f t="shared" si="1"/>
        <v>46377</v>
      </c>
      <c r="MX32" s="170">
        <f t="shared" si="1"/>
        <v>46378</v>
      </c>
      <c r="MY32" s="170">
        <f t="shared" si="1"/>
        <v>46379</v>
      </c>
      <c r="MZ32" s="170">
        <f t="shared" si="1"/>
        <v>46380</v>
      </c>
      <c r="NA32" s="170">
        <f t="shared" si="1"/>
        <v>46381</v>
      </c>
      <c r="NB32" s="170">
        <f t="shared" si="1"/>
        <v>46382</v>
      </c>
      <c r="NC32" s="170">
        <f t="shared" si="1"/>
        <v>46383</v>
      </c>
      <c r="ND32" s="170">
        <f t="shared" si="1"/>
        <v>46384</v>
      </c>
      <c r="NE32" s="170">
        <f t="shared" si="1"/>
        <v>46385</v>
      </c>
      <c r="NF32" s="170">
        <f t="shared" si="1"/>
        <v>46386</v>
      </c>
      <c r="NG32" s="170">
        <f t="shared" si="1"/>
        <v>46387</v>
      </c>
    </row>
    <row r="33" ht="16.5" customHeight="1">
      <c r="A33" s="175">
        <v>1.0</v>
      </c>
      <c r="B33" s="176" t="s">
        <v>188</v>
      </c>
      <c r="C33" s="116"/>
      <c r="D33" s="116"/>
      <c r="E33" s="117"/>
      <c r="F33" s="177" t="str">
        <f>SUMPRODUCT(IF(('▧ 26년 휴가대장'!$G33:$NG33&lt;&gt;"") * (('▧ 26년 휴가대장'!$G33:$NG33="전") + ('▧ 26년 휴가대장'!$G33:$NG33="후")), 0.5, IF('▧ 26년 휴가대장'!$G33:$NG33="반", 0.25, IF('▧ 26년 휴가대장'!$G33:$NG33="휴", 1, 0)))) &amp; " 일"</f>
        <v>0 일</v>
      </c>
      <c r="G33" s="178"/>
      <c r="H33" s="178"/>
      <c r="I33" s="179"/>
      <c r="J33" s="179"/>
      <c r="K33" s="178"/>
      <c r="L33" s="178"/>
      <c r="M33" s="178"/>
      <c r="N33" s="178"/>
      <c r="O33" s="178"/>
      <c r="P33" s="178"/>
      <c r="Q33" s="180"/>
      <c r="R33" s="179"/>
      <c r="S33" s="178"/>
      <c r="T33" s="178"/>
      <c r="U33" s="178"/>
      <c r="V33" s="178"/>
      <c r="W33" s="179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81"/>
      <c r="AM33" s="178"/>
      <c r="AN33" s="178"/>
      <c r="AO33" s="178"/>
      <c r="AP33" s="178"/>
      <c r="AQ33" s="179"/>
      <c r="AR33" s="179"/>
      <c r="AS33" s="179"/>
      <c r="AT33" s="179"/>
      <c r="AU33" s="179"/>
      <c r="AV33" s="178"/>
      <c r="AW33" s="178"/>
      <c r="AX33" s="178"/>
      <c r="AY33" s="178"/>
      <c r="AZ33" s="178"/>
      <c r="BA33" s="178"/>
      <c r="BB33" s="179"/>
      <c r="BC33" s="178"/>
      <c r="BD33" s="178"/>
      <c r="BE33" s="178"/>
      <c r="BF33" s="178"/>
      <c r="BG33" s="178"/>
      <c r="BH33" s="178"/>
      <c r="BI33" s="178"/>
      <c r="BJ33" s="179"/>
      <c r="BK33" s="178"/>
      <c r="BL33" s="178"/>
      <c r="BM33" s="178"/>
      <c r="BN33" s="181"/>
      <c r="BO33" s="180"/>
      <c r="BP33" s="180"/>
      <c r="BQ33" s="180"/>
      <c r="BR33" s="180"/>
      <c r="BS33" s="180"/>
      <c r="BT33" s="180"/>
      <c r="BU33" s="179"/>
      <c r="BV33" s="180"/>
      <c r="BW33" s="180"/>
      <c r="BX33" s="180"/>
      <c r="BY33" s="182"/>
      <c r="BZ33" s="180"/>
      <c r="CA33" s="180"/>
      <c r="CB33" s="180"/>
      <c r="CC33" s="180"/>
      <c r="CD33" s="180"/>
      <c r="CE33" s="180"/>
      <c r="CF33" s="180"/>
      <c r="CG33" s="180"/>
      <c r="CH33" s="182"/>
      <c r="CI33" s="180"/>
      <c r="CJ33" s="180"/>
      <c r="CK33" s="180"/>
      <c r="CL33" s="180"/>
      <c r="CM33" s="180"/>
      <c r="CN33" s="179"/>
      <c r="CO33" s="180"/>
      <c r="CP33" s="180"/>
      <c r="CQ33" s="180"/>
      <c r="CR33" s="180"/>
      <c r="CS33" s="183"/>
      <c r="CT33" s="180"/>
      <c r="CU33" s="180"/>
      <c r="CV33" s="180"/>
      <c r="CW33" s="180"/>
      <c r="CX33" s="180"/>
      <c r="CY33" s="180"/>
      <c r="CZ33" s="180"/>
      <c r="DA33" s="180"/>
      <c r="DB33" s="180"/>
      <c r="DC33" s="180"/>
      <c r="DD33" s="182"/>
      <c r="DE33" s="180"/>
      <c r="DF33" s="180"/>
      <c r="DG33" s="182"/>
      <c r="DH33" s="180"/>
      <c r="DI33" s="180"/>
      <c r="DJ33" s="180"/>
      <c r="DK33" s="180"/>
      <c r="DL33" s="180"/>
      <c r="DM33" s="180"/>
      <c r="DN33" s="182"/>
      <c r="DO33" s="180"/>
      <c r="DP33" s="180"/>
      <c r="DQ33" s="180"/>
      <c r="DR33" s="180"/>
      <c r="DS33" s="180"/>
      <c r="DT33" s="180"/>
      <c r="DU33" s="180"/>
      <c r="DV33" s="184"/>
      <c r="DW33" s="183"/>
      <c r="DX33" s="180"/>
      <c r="DY33" s="180"/>
      <c r="DZ33" s="180"/>
      <c r="EA33" s="180"/>
      <c r="EB33" s="180"/>
      <c r="EC33" s="180"/>
      <c r="ED33" s="182"/>
      <c r="EE33" s="180"/>
      <c r="EF33" s="180"/>
      <c r="EG33" s="180"/>
      <c r="EH33" s="180"/>
      <c r="EI33" s="182"/>
      <c r="EJ33" s="180"/>
      <c r="EK33" s="180"/>
      <c r="EL33" s="182"/>
      <c r="EM33" s="180"/>
      <c r="EN33" s="182"/>
      <c r="EO33" s="180"/>
      <c r="EP33" s="180"/>
      <c r="EQ33" s="180"/>
      <c r="ER33" s="180"/>
      <c r="ES33" s="182"/>
      <c r="ET33" s="180"/>
      <c r="EU33" s="182"/>
      <c r="EV33" s="182"/>
      <c r="EW33" s="184"/>
      <c r="EX33" s="180"/>
      <c r="EY33" s="180"/>
      <c r="EZ33" s="182"/>
      <c r="FA33" s="180"/>
      <c r="FB33" s="185"/>
      <c r="FC33" s="180"/>
      <c r="FD33" s="179"/>
      <c r="FE33" s="180"/>
      <c r="FF33" s="180"/>
      <c r="FG33" s="179"/>
      <c r="FH33" s="180"/>
      <c r="FI33" s="180"/>
      <c r="FJ33" s="180"/>
      <c r="FK33" s="180"/>
      <c r="FL33" s="180"/>
      <c r="FM33" s="180"/>
      <c r="FN33" s="180"/>
      <c r="FO33" s="180"/>
      <c r="FP33" s="180"/>
      <c r="FQ33" s="180"/>
      <c r="FR33" s="180"/>
      <c r="FS33" s="180"/>
      <c r="FT33" s="180"/>
      <c r="FU33" s="180"/>
      <c r="FV33" s="180"/>
      <c r="FW33" s="180"/>
      <c r="FX33" s="180"/>
      <c r="FY33" s="180"/>
      <c r="FZ33" s="180"/>
      <c r="GA33" s="180"/>
      <c r="GB33" s="182"/>
      <c r="GC33" s="180"/>
      <c r="GD33" s="180"/>
      <c r="GE33" s="180"/>
      <c r="GF33" s="183"/>
      <c r="GG33" s="180"/>
      <c r="GH33" s="180"/>
      <c r="GI33" s="180"/>
      <c r="GJ33" s="180"/>
      <c r="GK33" s="180"/>
      <c r="GL33" s="182"/>
      <c r="GM33" s="180"/>
      <c r="GN33" s="180"/>
      <c r="GO33" s="180"/>
      <c r="GP33" s="180"/>
      <c r="GQ33" s="180"/>
      <c r="GR33" s="182"/>
      <c r="GS33" s="180"/>
      <c r="GT33" s="180"/>
      <c r="GU33" s="180"/>
      <c r="GV33" s="180"/>
      <c r="GW33" s="180"/>
      <c r="GX33" s="180"/>
      <c r="GY33" s="180"/>
      <c r="GZ33" s="180"/>
      <c r="HA33" s="180"/>
      <c r="HB33" s="180"/>
      <c r="HC33" s="180"/>
      <c r="HD33" s="180"/>
      <c r="HE33" s="180"/>
      <c r="HF33" s="180"/>
      <c r="HG33" s="180"/>
      <c r="HH33" s="182"/>
      <c r="HI33" s="182"/>
      <c r="HJ33" s="180"/>
      <c r="HK33" s="183"/>
      <c r="HL33" s="180"/>
      <c r="HM33" s="180"/>
      <c r="HN33" s="180"/>
      <c r="HO33" s="180"/>
      <c r="HP33" s="180"/>
      <c r="HQ33" s="182"/>
      <c r="HR33" s="182"/>
      <c r="HS33" s="182"/>
      <c r="HT33" s="182"/>
      <c r="HU33" s="180"/>
      <c r="HV33" s="182"/>
      <c r="HW33" s="182"/>
      <c r="HX33" s="182"/>
      <c r="HY33" s="182"/>
      <c r="HZ33" s="180"/>
      <c r="IA33" s="180"/>
      <c r="IB33" s="180"/>
      <c r="IC33" s="180"/>
      <c r="ID33" s="180"/>
      <c r="IE33" s="180"/>
      <c r="IF33" s="180"/>
      <c r="IG33" s="180"/>
      <c r="IH33" s="180"/>
      <c r="II33" s="180"/>
      <c r="IJ33" s="180"/>
      <c r="IK33" s="180"/>
      <c r="IL33" s="180"/>
      <c r="IM33" s="180"/>
      <c r="IN33" s="180"/>
      <c r="IO33" s="186"/>
      <c r="IP33" s="182"/>
      <c r="IQ33" s="182"/>
      <c r="IR33" s="182"/>
      <c r="IS33" s="182"/>
      <c r="IT33" s="182"/>
      <c r="IU33" s="180"/>
      <c r="IV33" s="180"/>
      <c r="IW33" s="179"/>
      <c r="IX33" s="179"/>
      <c r="IY33" s="179"/>
      <c r="IZ33" s="179"/>
      <c r="JA33" s="179"/>
      <c r="JB33" s="180"/>
      <c r="JC33" s="180"/>
      <c r="JD33" s="182"/>
      <c r="JE33" s="180"/>
      <c r="JF33" s="180"/>
      <c r="JG33" s="180"/>
      <c r="JH33" s="180"/>
      <c r="JI33" s="180"/>
      <c r="JJ33" s="180"/>
      <c r="JK33" s="180"/>
      <c r="JL33" s="180"/>
      <c r="JM33" s="180"/>
      <c r="JN33" s="180"/>
      <c r="JO33" s="180"/>
      <c r="JP33" s="180"/>
      <c r="JQ33" s="180"/>
      <c r="JR33" s="180"/>
      <c r="JS33" s="180"/>
      <c r="JT33" s="183"/>
      <c r="JU33" s="180"/>
      <c r="JV33" s="182"/>
      <c r="JW33" s="180"/>
      <c r="JX33" s="180"/>
      <c r="JY33" s="180"/>
      <c r="JZ33" s="180"/>
      <c r="KA33" s="180"/>
      <c r="KB33" s="180"/>
      <c r="KC33" s="180"/>
      <c r="KD33" s="182"/>
      <c r="KE33" s="182"/>
      <c r="KF33" s="182"/>
      <c r="KG33" s="182"/>
      <c r="KH33" s="180"/>
      <c r="KI33" s="180"/>
      <c r="KJ33" s="180"/>
      <c r="KK33" s="180"/>
      <c r="KL33" s="182"/>
      <c r="KM33" s="182"/>
      <c r="KN33" s="182"/>
      <c r="KO33" s="182"/>
      <c r="KP33" s="180"/>
      <c r="KQ33" s="180"/>
      <c r="KR33" s="180"/>
      <c r="KS33" s="180"/>
      <c r="KT33" s="180"/>
      <c r="KU33" s="180"/>
      <c r="KV33" s="180"/>
      <c r="KW33" s="180"/>
      <c r="KX33" s="180"/>
      <c r="KY33" s="183"/>
      <c r="KZ33" s="182"/>
      <c r="LA33" s="180"/>
      <c r="LB33" s="182"/>
      <c r="LC33" s="182"/>
      <c r="LD33" s="179"/>
      <c r="LE33" s="182"/>
      <c r="LF33" s="180"/>
      <c r="LG33" s="180"/>
      <c r="LH33" s="180"/>
      <c r="LI33" s="182"/>
      <c r="LJ33" s="180"/>
      <c r="LK33" s="182"/>
      <c r="LL33" s="182"/>
      <c r="LM33" s="180"/>
      <c r="LN33" s="180"/>
      <c r="LO33" s="182"/>
      <c r="LP33" s="180"/>
      <c r="LQ33" s="180"/>
      <c r="LR33" s="180"/>
      <c r="LS33" s="180"/>
      <c r="LT33" s="180"/>
      <c r="LU33" s="180"/>
      <c r="LV33" s="179"/>
      <c r="LW33" s="180"/>
      <c r="LX33" s="180"/>
      <c r="LY33" s="180"/>
      <c r="LZ33" s="180"/>
      <c r="MA33" s="180"/>
      <c r="MB33" s="180"/>
      <c r="MC33" s="185"/>
      <c r="MD33" s="180"/>
      <c r="ME33" s="180"/>
      <c r="MF33" s="180"/>
      <c r="MG33" s="182"/>
      <c r="MH33" s="182"/>
      <c r="MI33" s="180"/>
      <c r="MJ33" s="180"/>
      <c r="MK33" s="180"/>
      <c r="ML33" s="180"/>
      <c r="MM33" s="180"/>
      <c r="MN33" s="180"/>
      <c r="MO33" s="180"/>
      <c r="MP33" s="180"/>
      <c r="MQ33" s="180"/>
      <c r="MR33" s="180"/>
      <c r="MS33" s="180"/>
      <c r="MT33" s="180"/>
      <c r="MU33" s="180"/>
      <c r="MV33" s="180"/>
      <c r="MW33" s="180"/>
      <c r="MX33" s="180"/>
      <c r="MY33" s="180"/>
      <c r="MZ33" s="180"/>
      <c r="NA33" s="179"/>
      <c r="NB33" s="180"/>
      <c r="NC33" s="180"/>
      <c r="ND33" s="180"/>
      <c r="NE33" s="182"/>
      <c r="NF33" s="182"/>
      <c r="NG33" s="182"/>
    </row>
    <row r="34">
      <c r="A34" s="175">
        <v>2.0</v>
      </c>
      <c r="B34" s="187" t="s">
        <v>189</v>
      </c>
      <c r="F34" s="190" t="str">
        <f>SUMPRODUCT(IF(('▧ 26년 휴가대장'!$G34:$NG34&lt;&gt;"") * (('▧ 26년 휴가대장'!$G34:$NG34="전") + ('▧ 26년 휴가대장'!$G34:$NG34="후")), 0.5, IF('▧ 26년 휴가대장'!$G34:$NG34="반", 0.25, IF('▧ 26년 휴가대장'!$G34:$NG34="휴", 1, 0)))) &amp; " 일"</f>
        <v>0 일</v>
      </c>
      <c r="G34" s="191"/>
      <c r="H34" s="191"/>
      <c r="I34" s="182"/>
      <c r="J34" s="193"/>
      <c r="K34" s="191"/>
      <c r="L34" s="191"/>
      <c r="M34" s="191"/>
      <c r="N34" s="191"/>
      <c r="O34" s="191"/>
      <c r="P34" s="191"/>
      <c r="Q34" s="191"/>
      <c r="R34" s="193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4"/>
      <c r="AM34" s="191"/>
      <c r="AN34" s="191"/>
      <c r="AO34" s="191"/>
      <c r="AP34" s="191"/>
      <c r="AQ34" s="193"/>
      <c r="AR34" s="193"/>
      <c r="AS34" s="193"/>
      <c r="AT34" s="193"/>
      <c r="AU34" s="193"/>
      <c r="AV34" s="191"/>
      <c r="AW34" s="191"/>
      <c r="AX34" s="191"/>
      <c r="AY34" s="191"/>
      <c r="AZ34" s="191"/>
      <c r="BA34" s="179"/>
      <c r="BB34" s="193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4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79"/>
      <c r="CG34" s="191"/>
      <c r="CH34" s="179"/>
      <c r="CI34" s="191"/>
      <c r="CJ34" s="191"/>
      <c r="CK34" s="191"/>
      <c r="CL34" s="191"/>
      <c r="CM34" s="191"/>
      <c r="CN34" s="191"/>
      <c r="CO34" s="182"/>
      <c r="CP34" s="191"/>
      <c r="CQ34" s="191"/>
      <c r="CR34" s="191"/>
      <c r="CS34" s="194"/>
      <c r="CT34" s="191"/>
      <c r="CU34" s="191"/>
      <c r="CV34" s="182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5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4"/>
      <c r="DX34" s="191"/>
      <c r="DY34" s="191"/>
      <c r="DZ34" s="191"/>
      <c r="EA34" s="191"/>
      <c r="EB34" s="191"/>
      <c r="EC34" s="191"/>
      <c r="ED34" s="193"/>
      <c r="EE34" s="182"/>
      <c r="EF34" s="191"/>
      <c r="EG34" s="191"/>
      <c r="EH34" s="191"/>
      <c r="EI34" s="193"/>
      <c r="EJ34" s="191"/>
      <c r="EK34" s="191"/>
      <c r="EL34" s="191"/>
      <c r="EM34" s="191"/>
      <c r="EN34" s="191"/>
      <c r="EO34" s="191"/>
      <c r="EP34" s="191"/>
      <c r="EQ34" s="191"/>
      <c r="ER34" s="191"/>
      <c r="ES34" s="179"/>
      <c r="ET34" s="191"/>
      <c r="EU34" s="193"/>
      <c r="EV34" s="193"/>
      <c r="EW34" s="193"/>
      <c r="EX34" s="191"/>
      <c r="EY34" s="191"/>
      <c r="EZ34" s="191"/>
      <c r="FA34" s="191"/>
      <c r="FB34" s="194"/>
      <c r="FC34" s="191"/>
      <c r="FD34" s="191"/>
      <c r="FE34" s="191"/>
      <c r="FF34" s="182"/>
      <c r="FG34" s="191"/>
      <c r="FH34" s="191"/>
      <c r="FI34" s="182"/>
      <c r="FJ34" s="191"/>
      <c r="FK34" s="191"/>
      <c r="FL34" s="191"/>
      <c r="FM34" s="191"/>
      <c r="FN34" s="191"/>
      <c r="FO34" s="182"/>
      <c r="FP34" s="191"/>
      <c r="FQ34" s="191"/>
      <c r="FR34" s="191"/>
      <c r="FS34" s="179"/>
      <c r="FT34" s="191"/>
      <c r="FU34" s="182"/>
      <c r="FV34" s="191"/>
      <c r="FW34" s="191"/>
      <c r="FX34" s="191"/>
      <c r="FY34" s="191"/>
      <c r="FZ34" s="191"/>
      <c r="GA34" s="191"/>
      <c r="GB34" s="191"/>
      <c r="GC34" s="191"/>
      <c r="GD34" s="191"/>
      <c r="GE34" s="191"/>
      <c r="GF34" s="194"/>
      <c r="GG34" s="191"/>
      <c r="GH34" s="191"/>
      <c r="GI34" s="191"/>
      <c r="GJ34" s="191"/>
      <c r="GK34" s="191"/>
      <c r="GL34" s="191"/>
      <c r="GM34" s="191"/>
      <c r="GN34" s="191"/>
      <c r="GO34" s="191"/>
      <c r="GP34" s="191"/>
      <c r="GQ34" s="191"/>
      <c r="GR34" s="191"/>
      <c r="GS34" s="191"/>
      <c r="GT34" s="191"/>
      <c r="GU34" s="191"/>
      <c r="GV34" s="191"/>
      <c r="GW34" s="182"/>
      <c r="GX34" s="191"/>
      <c r="GY34" s="191"/>
      <c r="GZ34" s="191"/>
      <c r="HA34" s="191"/>
      <c r="HB34" s="191"/>
      <c r="HC34" s="191"/>
      <c r="HD34" s="191"/>
      <c r="HE34" s="180"/>
      <c r="HF34" s="191"/>
      <c r="HG34" s="191"/>
      <c r="HH34" s="193"/>
      <c r="HI34" s="191"/>
      <c r="HJ34" s="191"/>
      <c r="HK34" s="194"/>
      <c r="HL34" s="191"/>
      <c r="HM34" s="191"/>
      <c r="HN34" s="191"/>
      <c r="HO34" s="191"/>
      <c r="HP34" s="191"/>
      <c r="HQ34" s="191"/>
      <c r="HR34" s="191"/>
      <c r="HS34" s="191"/>
      <c r="HT34" s="191"/>
      <c r="HU34" s="191"/>
      <c r="HV34" s="191"/>
      <c r="HW34" s="191"/>
      <c r="HX34" s="182"/>
      <c r="HY34" s="191"/>
      <c r="HZ34" s="191"/>
      <c r="IA34" s="191"/>
      <c r="IB34" s="191"/>
      <c r="IC34" s="182"/>
      <c r="ID34" s="191"/>
      <c r="IE34" s="191"/>
      <c r="IF34" s="191"/>
      <c r="IG34" s="191"/>
      <c r="IH34" s="191"/>
      <c r="II34" s="191"/>
      <c r="IJ34" s="182"/>
      <c r="IK34" s="191"/>
      <c r="IL34" s="191"/>
      <c r="IM34" s="191"/>
      <c r="IN34" s="191"/>
      <c r="IO34" s="197"/>
      <c r="IP34" s="194"/>
      <c r="IQ34" s="191"/>
      <c r="IR34" s="191"/>
      <c r="IS34" s="191"/>
      <c r="IT34" s="191"/>
      <c r="IU34" s="191"/>
      <c r="IV34" s="191"/>
      <c r="IW34" s="193"/>
      <c r="IX34" s="193"/>
      <c r="IY34" s="191"/>
      <c r="IZ34" s="191"/>
      <c r="JA34" s="193"/>
      <c r="JB34" s="191"/>
      <c r="JC34" s="191"/>
      <c r="JD34" s="191"/>
      <c r="JE34" s="191"/>
      <c r="JF34" s="191"/>
      <c r="JG34" s="191"/>
      <c r="JH34" s="191"/>
      <c r="JI34" s="191"/>
      <c r="JJ34" s="191"/>
      <c r="JK34" s="191"/>
      <c r="JL34" s="191"/>
      <c r="JM34" s="191"/>
      <c r="JN34" s="191"/>
      <c r="JO34" s="191"/>
      <c r="JP34" s="191"/>
      <c r="JQ34" s="191"/>
      <c r="JR34" s="191"/>
      <c r="JS34" s="191"/>
      <c r="JT34" s="194"/>
      <c r="JU34" s="199"/>
      <c r="JV34" s="199"/>
      <c r="JW34" s="199"/>
      <c r="JX34" s="182"/>
      <c r="JY34" s="199"/>
      <c r="JZ34" s="199"/>
      <c r="KA34" s="182"/>
      <c r="KB34" s="182"/>
      <c r="KC34" s="199"/>
      <c r="KD34" s="182"/>
      <c r="KE34" s="182"/>
      <c r="KF34" s="200"/>
      <c r="KG34" s="200"/>
      <c r="KH34" s="182"/>
      <c r="KI34" s="199"/>
      <c r="KJ34" s="199"/>
      <c r="KK34" s="199"/>
      <c r="KL34" s="182"/>
      <c r="KM34" s="182"/>
      <c r="KN34" s="182"/>
      <c r="KO34" s="199"/>
      <c r="KP34" s="199"/>
      <c r="KQ34" s="182"/>
      <c r="KR34" s="182"/>
      <c r="KS34" s="199"/>
      <c r="KT34" s="199"/>
      <c r="KU34" s="199"/>
      <c r="KV34" s="199"/>
      <c r="KW34" s="199"/>
      <c r="KX34" s="199"/>
      <c r="KY34" s="201"/>
      <c r="KZ34" s="199"/>
      <c r="LA34" s="199"/>
      <c r="LB34" s="200"/>
      <c r="LC34" s="182"/>
      <c r="LD34" s="199"/>
      <c r="LE34" s="199"/>
      <c r="LF34" s="182"/>
      <c r="LG34" s="199"/>
      <c r="LH34" s="199"/>
      <c r="LI34" s="200"/>
      <c r="LJ34" s="199"/>
      <c r="LK34" s="182"/>
      <c r="LL34" s="182"/>
      <c r="LM34" s="199"/>
      <c r="LN34" s="199"/>
      <c r="LO34" s="182"/>
      <c r="LP34" s="182"/>
      <c r="LQ34" s="182"/>
      <c r="LR34" s="199"/>
      <c r="LS34" s="199"/>
      <c r="LT34" s="199"/>
      <c r="LU34" s="199"/>
      <c r="LV34" s="200"/>
      <c r="LW34" s="199"/>
      <c r="LX34" s="199"/>
      <c r="LY34" s="199"/>
      <c r="LZ34" s="199"/>
      <c r="MA34" s="199"/>
      <c r="MB34" s="199"/>
      <c r="MC34" s="201"/>
      <c r="MD34" s="199"/>
      <c r="ME34" s="199"/>
      <c r="MF34" s="199"/>
      <c r="MG34" s="199"/>
      <c r="MH34" s="199"/>
      <c r="MI34" s="182"/>
      <c r="MJ34" s="199"/>
      <c r="MK34" s="182"/>
      <c r="ML34" s="199"/>
      <c r="MM34" s="199"/>
      <c r="MN34" s="199"/>
      <c r="MO34" s="202"/>
      <c r="MP34" s="199"/>
      <c r="MQ34" s="182"/>
      <c r="MR34" s="199"/>
      <c r="MS34" s="199"/>
      <c r="MT34" s="199"/>
      <c r="MU34" s="199"/>
      <c r="MV34" s="199"/>
      <c r="MW34" s="199"/>
      <c r="MX34" s="199"/>
      <c r="MY34" s="199"/>
      <c r="MZ34" s="182"/>
      <c r="NA34" s="199"/>
      <c r="NB34" s="182"/>
      <c r="NC34" s="182"/>
      <c r="ND34" s="182"/>
      <c r="NE34" s="182"/>
      <c r="NF34" s="182"/>
      <c r="NG34" s="182"/>
    </row>
    <row r="35">
      <c r="A35" s="175">
        <v>3.0</v>
      </c>
      <c r="B35" s="203" t="s">
        <v>193</v>
      </c>
      <c r="C35" s="204"/>
      <c r="D35" s="204"/>
      <c r="E35" s="204"/>
      <c r="F35" s="206" t="str">
        <f>SUMPRODUCT(IF(('▧ 26년 휴가대장'!$G35:$NG35&lt;&gt;"") * (('▧ 26년 휴가대장'!$G35:$NG35="전") + ('▧ 26년 휴가대장'!$G35:$NG35="후")), 0.5, IF('▧ 26년 휴가대장'!$G35:$NG35="반", 0.25, IF('▧ 26년 휴가대장'!$G35:$NG35="휴", 1, 0)))) &amp; " 일"</f>
        <v>0 일</v>
      </c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8"/>
      <c r="S35" s="207"/>
      <c r="T35" s="208"/>
      <c r="U35" s="208"/>
      <c r="V35" s="207"/>
      <c r="W35" s="209"/>
      <c r="X35" s="208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10"/>
      <c r="AL35" s="211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8"/>
      <c r="AX35" s="207"/>
      <c r="AY35" s="207"/>
      <c r="AZ35" s="207"/>
      <c r="BA35" s="207"/>
      <c r="BB35" s="207"/>
      <c r="BC35" s="207"/>
      <c r="BD35" s="207"/>
      <c r="BE35" s="207"/>
      <c r="BF35" s="207"/>
      <c r="BG35" s="207"/>
      <c r="BH35" s="207"/>
      <c r="BI35" s="207"/>
      <c r="BJ35" s="207"/>
      <c r="BK35" s="207"/>
      <c r="BL35" s="207"/>
      <c r="BM35" s="207"/>
      <c r="BN35" s="211"/>
      <c r="BO35" s="209"/>
      <c r="BP35" s="208"/>
      <c r="BQ35" s="208"/>
      <c r="BR35" s="209"/>
      <c r="BS35" s="209"/>
      <c r="BT35" s="209"/>
      <c r="BU35" s="209"/>
      <c r="BV35" s="209"/>
      <c r="BW35" s="209"/>
      <c r="BX35" s="209"/>
      <c r="BY35" s="208"/>
      <c r="BZ35" s="209"/>
      <c r="CA35" s="208"/>
      <c r="CB35" s="209"/>
      <c r="CC35" s="209"/>
      <c r="CD35" s="209"/>
      <c r="CE35" s="209"/>
      <c r="CF35" s="209"/>
      <c r="CG35" s="209"/>
      <c r="CH35" s="209"/>
      <c r="CI35" s="209"/>
      <c r="CJ35" s="209"/>
      <c r="CK35" s="212"/>
      <c r="CL35" s="209"/>
      <c r="CM35" s="209"/>
      <c r="CN35" s="209"/>
      <c r="CO35" s="209"/>
      <c r="CP35" s="209"/>
      <c r="CQ35" s="209"/>
      <c r="CR35" s="209"/>
      <c r="CS35" s="213"/>
      <c r="CT35" s="209"/>
      <c r="CU35" s="209"/>
      <c r="CV35" s="209"/>
      <c r="CW35" s="209"/>
      <c r="CX35" s="209"/>
      <c r="CY35" s="209"/>
      <c r="CZ35" s="209"/>
      <c r="DA35" s="209"/>
      <c r="DB35" s="209"/>
      <c r="DC35" s="209"/>
      <c r="DD35" s="209"/>
      <c r="DE35" s="212"/>
      <c r="DF35" s="209"/>
      <c r="DG35" s="209"/>
      <c r="DH35" s="209"/>
      <c r="DI35" s="209"/>
      <c r="DJ35" s="209"/>
      <c r="DK35" s="209"/>
      <c r="DL35" s="209"/>
      <c r="DM35" s="209"/>
      <c r="DN35" s="209"/>
      <c r="DO35" s="209"/>
      <c r="DP35" s="209"/>
      <c r="DQ35" s="209"/>
      <c r="DR35" s="209"/>
      <c r="DS35" s="209"/>
      <c r="DT35" s="209"/>
      <c r="DU35" s="209"/>
      <c r="DV35" s="209"/>
      <c r="DW35" s="213"/>
      <c r="DX35" s="212"/>
      <c r="DY35" s="209"/>
      <c r="DZ35" s="212"/>
      <c r="EA35" s="209"/>
      <c r="EB35" s="212"/>
      <c r="EC35" s="209"/>
      <c r="ED35" s="209"/>
      <c r="EE35" s="209"/>
      <c r="EF35" s="209"/>
      <c r="EG35" s="209"/>
      <c r="EH35" s="209"/>
      <c r="EI35" s="209"/>
      <c r="EJ35" s="209"/>
      <c r="EK35" s="209"/>
      <c r="EL35" s="209"/>
      <c r="EM35" s="209"/>
      <c r="EN35" s="209"/>
      <c r="EO35" s="209"/>
      <c r="EP35" s="209"/>
      <c r="EQ35" s="209"/>
      <c r="ER35" s="209"/>
      <c r="ES35" s="209"/>
      <c r="ET35" s="209"/>
      <c r="EU35" s="209"/>
      <c r="EV35" s="209"/>
      <c r="EW35" s="209"/>
      <c r="EX35" s="209"/>
      <c r="EY35" s="209"/>
      <c r="EZ35" s="209"/>
      <c r="FA35" s="209"/>
      <c r="FB35" s="213"/>
      <c r="FC35" s="209"/>
      <c r="FD35" s="209"/>
      <c r="FE35" s="209"/>
      <c r="FF35" s="209"/>
      <c r="FG35" s="209"/>
      <c r="FH35" s="214"/>
      <c r="FI35" s="212"/>
      <c r="FJ35" s="212"/>
      <c r="FK35" s="209"/>
      <c r="FL35" s="209"/>
      <c r="FM35" s="209"/>
      <c r="FN35" s="208"/>
      <c r="FO35" s="209"/>
      <c r="FP35" s="209"/>
      <c r="FQ35" s="180"/>
      <c r="FR35" s="180"/>
      <c r="FS35" s="180"/>
      <c r="FT35" s="209"/>
      <c r="FU35" s="209"/>
      <c r="FV35" s="209"/>
      <c r="FW35" s="209"/>
      <c r="FX35" s="209"/>
      <c r="FY35" s="209"/>
      <c r="FZ35" s="209"/>
      <c r="GA35" s="209"/>
      <c r="GB35" s="212"/>
      <c r="GC35" s="209"/>
      <c r="GD35" s="212"/>
      <c r="GE35" s="212"/>
      <c r="GF35" s="213"/>
      <c r="GG35" s="209"/>
      <c r="GH35" s="209"/>
      <c r="GI35" s="209"/>
      <c r="GJ35" s="209"/>
      <c r="GK35" s="209"/>
      <c r="GL35" s="209"/>
      <c r="GM35" s="209"/>
      <c r="GN35" s="209"/>
      <c r="GO35" s="209"/>
      <c r="GP35" s="209"/>
      <c r="GQ35" s="209"/>
      <c r="GR35" s="209"/>
      <c r="GS35" s="209"/>
      <c r="GT35" s="209"/>
      <c r="GU35" s="209"/>
      <c r="GV35" s="209"/>
      <c r="GW35" s="209"/>
      <c r="GX35" s="209"/>
      <c r="GY35" s="209"/>
      <c r="GZ35" s="209"/>
      <c r="HA35" s="212"/>
      <c r="HB35" s="212"/>
      <c r="HC35" s="209"/>
      <c r="HD35" s="209"/>
      <c r="HE35" s="212"/>
      <c r="HF35" s="209"/>
      <c r="HG35" s="209"/>
      <c r="HH35" s="209"/>
      <c r="HI35" s="212"/>
      <c r="HJ35" s="212"/>
      <c r="HK35" s="213"/>
      <c r="HL35" s="209"/>
      <c r="HM35" s="209"/>
      <c r="HN35" s="209"/>
      <c r="HO35" s="212"/>
      <c r="HP35" s="212"/>
      <c r="HQ35" s="212"/>
      <c r="HR35" s="212"/>
      <c r="HS35" s="209"/>
      <c r="HT35" s="209"/>
      <c r="HU35" s="182"/>
      <c r="HV35" s="209"/>
      <c r="HW35" s="209"/>
      <c r="HX35" s="209"/>
      <c r="HY35" s="209"/>
      <c r="HZ35" s="209"/>
      <c r="IA35" s="209"/>
      <c r="IB35" s="182"/>
      <c r="IC35" s="209"/>
      <c r="ID35" s="209"/>
      <c r="IE35" s="209"/>
      <c r="IF35" s="209"/>
      <c r="IG35" s="215"/>
      <c r="IH35" s="215"/>
      <c r="II35" s="209"/>
      <c r="IJ35" s="209"/>
      <c r="IK35" s="209"/>
      <c r="IL35" s="209"/>
      <c r="IM35" s="209"/>
      <c r="IN35" s="209"/>
      <c r="IO35" s="216"/>
      <c r="IP35" s="218"/>
      <c r="IQ35" s="209"/>
      <c r="IR35" s="212"/>
      <c r="IS35" s="209"/>
      <c r="IT35" s="209"/>
      <c r="IU35" s="209"/>
      <c r="IV35" s="209"/>
      <c r="IW35" s="209"/>
      <c r="IX35" s="209"/>
      <c r="IY35" s="182"/>
      <c r="IZ35" s="209"/>
      <c r="JA35" s="209"/>
      <c r="JB35" s="209"/>
      <c r="JC35" s="209"/>
      <c r="JD35" s="209"/>
      <c r="JE35" s="209"/>
      <c r="JF35" s="209"/>
      <c r="JG35" s="209"/>
      <c r="JH35" s="209"/>
      <c r="JI35" s="209"/>
      <c r="JJ35" s="209"/>
      <c r="JK35" s="209"/>
      <c r="JL35" s="209"/>
      <c r="JM35" s="209"/>
      <c r="JN35" s="209"/>
      <c r="JO35" s="182"/>
      <c r="JP35" s="209"/>
      <c r="JQ35" s="209"/>
      <c r="JR35" s="182"/>
      <c r="JS35" s="209"/>
      <c r="JT35" s="213"/>
      <c r="JU35" s="209"/>
      <c r="JV35" s="209"/>
      <c r="JW35" s="209"/>
      <c r="JX35" s="209"/>
      <c r="JY35" s="209"/>
      <c r="JZ35" s="208"/>
      <c r="KA35" s="212"/>
      <c r="KB35" s="212"/>
      <c r="KC35" s="209"/>
      <c r="KD35" s="209"/>
      <c r="KE35" s="209"/>
      <c r="KF35" s="209"/>
      <c r="KG35" s="209"/>
      <c r="KH35" s="209"/>
      <c r="KI35" s="209"/>
      <c r="KJ35" s="208"/>
      <c r="KK35" s="209"/>
      <c r="KL35" s="209"/>
      <c r="KM35" s="182"/>
      <c r="KN35" s="212"/>
      <c r="KO35" s="212"/>
      <c r="KP35" s="208"/>
      <c r="KQ35" s="209"/>
      <c r="KR35" s="209"/>
      <c r="KS35" s="209"/>
      <c r="KT35" s="209"/>
      <c r="KU35" s="209"/>
      <c r="KV35" s="209"/>
      <c r="KW35" s="209"/>
      <c r="KX35" s="209"/>
      <c r="KY35" s="213"/>
      <c r="KZ35" s="209"/>
      <c r="LA35" s="209"/>
      <c r="LB35" s="209"/>
      <c r="LC35" s="209"/>
      <c r="LD35" s="209"/>
      <c r="LE35" s="212"/>
      <c r="LF35" s="209"/>
      <c r="LG35" s="212"/>
      <c r="LH35" s="212"/>
      <c r="LI35" s="212"/>
      <c r="LJ35" s="182"/>
      <c r="LL35" s="220"/>
      <c r="LM35" s="209"/>
      <c r="LN35" s="209"/>
      <c r="LR35" s="209"/>
      <c r="LS35" s="182"/>
      <c r="LT35" s="209"/>
      <c r="LU35" s="209"/>
      <c r="LV35" s="209"/>
      <c r="LW35" s="209"/>
      <c r="LX35" s="209"/>
      <c r="LY35" s="209"/>
      <c r="LZ35" s="209"/>
      <c r="MA35" s="209"/>
      <c r="MB35" s="209"/>
      <c r="MC35" s="213"/>
      <c r="MD35" s="209"/>
      <c r="ME35" s="209"/>
      <c r="MF35" s="209"/>
      <c r="MG35" s="212"/>
      <c r="MH35" s="212"/>
      <c r="MI35" s="212"/>
      <c r="MJ35" s="209"/>
      <c r="MK35" s="209"/>
      <c r="ML35" s="209"/>
      <c r="MM35" s="182"/>
      <c r="MN35" s="182"/>
      <c r="MO35" s="209"/>
      <c r="MP35" s="209"/>
      <c r="MQ35" s="212"/>
      <c r="MR35" s="209"/>
      <c r="MS35" s="209"/>
      <c r="MT35" s="209"/>
      <c r="MU35" s="209"/>
      <c r="MV35" s="209"/>
      <c r="MW35" s="209"/>
      <c r="MX35" s="209"/>
      <c r="MY35" s="209"/>
      <c r="MZ35" s="212"/>
      <c r="NA35" s="212"/>
      <c r="NB35" s="209"/>
      <c r="NC35" s="212"/>
      <c r="ND35" s="212"/>
      <c r="NE35" s="182"/>
      <c r="NF35" s="182"/>
      <c r="NG35" s="182"/>
    </row>
    <row r="36">
      <c r="A36" s="175">
        <v>4.0</v>
      </c>
      <c r="B36" s="203" t="s">
        <v>194</v>
      </c>
      <c r="C36" s="204"/>
      <c r="D36" s="204"/>
      <c r="E36" s="204"/>
      <c r="F36" s="206" t="str">
        <f>SUMPRODUCT(IF(('▧ 26년 휴가대장'!$G36:$NG36&lt;&gt;"") * (('▧ 26년 휴가대장'!$G36:$NG36="전") + ('▧ 26년 휴가대장'!$G36:$NG36="후")), 0.5, IF('▧ 26년 휴가대장'!$G36:$NG36="반", 0.25, IF('▧ 26년 휴가대장'!$G36:$NG36="휴", 1, 0)))) &amp; " 일"</f>
        <v>0 일</v>
      </c>
      <c r="G36" s="207"/>
      <c r="H36" s="207"/>
      <c r="I36" s="207"/>
      <c r="J36" s="207"/>
      <c r="K36" s="207"/>
      <c r="L36" s="207"/>
      <c r="M36" s="207"/>
      <c r="N36" s="208"/>
      <c r="O36" s="207"/>
      <c r="P36" s="207"/>
      <c r="Q36" s="207"/>
      <c r="R36" s="208"/>
      <c r="S36" s="207"/>
      <c r="T36" s="208"/>
      <c r="U36" s="208"/>
      <c r="V36" s="207"/>
      <c r="W36" s="209"/>
      <c r="X36" s="208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10"/>
      <c r="AL36" s="211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07"/>
      <c r="BC36" s="207"/>
      <c r="BD36" s="207"/>
      <c r="BE36" s="207"/>
      <c r="BF36" s="207"/>
      <c r="BG36" s="207"/>
      <c r="BH36" s="207"/>
      <c r="BI36" s="207"/>
      <c r="BJ36" s="207"/>
      <c r="BK36" s="207"/>
      <c r="BL36" s="207"/>
      <c r="BM36" s="207"/>
      <c r="BN36" s="211"/>
      <c r="BO36" s="209"/>
      <c r="BP36" s="208"/>
      <c r="BQ36" s="209"/>
      <c r="BR36" s="209"/>
      <c r="BS36" s="209"/>
      <c r="BT36" s="209"/>
      <c r="BU36" s="209"/>
      <c r="BV36" s="209"/>
      <c r="BW36" s="209"/>
      <c r="BX36" s="209"/>
      <c r="BY36" s="208"/>
      <c r="BZ36" s="209"/>
      <c r="CA36" s="208"/>
      <c r="CB36" s="209"/>
      <c r="CC36" s="209"/>
      <c r="CD36" s="209"/>
      <c r="CE36" s="209"/>
      <c r="CF36" s="209"/>
      <c r="CG36" s="209"/>
      <c r="CH36" s="209"/>
      <c r="CI36" s="209"/>
      <c r="CJ36" s="209"/>
      <c r="CK36" s="212"/>
      <c r="CL36" s="209"/>
      <c r="CM36" s="209"/>
      <c r="CN36" s="209"/>
      <c r="CO36" s="209"/>
      <c r="CP36" s="209"/>
      <c r="CQ36" s="209"/>
      <c r="CR36" s="209"/>
      <c r="CS36" s="213"/>
      <c r="CT36" s="209"/>
      <c r="CU36" s="209"/>
      <c r="CV36" s="209"/>
      <c r="CW36" s="209"/>
      <c r="CX36" s="209"/>
      <c r="CY36" s="209"/>
      <c r="CZ36" s="209"/>
      <c r="DA36" s="209"/>
      <c r="DB36" s="209"/>
      <c r="DC36" s="209"/>
      <c r="DD36" s="209"/>
      <c r="DE36" s="212"/>
      <c r="DF36" s="209"/>
      <c r="DG36" s="209"/>
      <c r="DH36" s="209"/>
      <c r="DI36" s="209"/>
      <c r="DJ36" s="209"/>
      <c r="DK36" s="209"/>
      <c r="DL36" s="209"/>
      <c r="DM36" s="209"/>
      <c r="DN36" s="209"/>
      <c r="DO36" s="209"/>
      <c r="DP36" s="209"/>
      <c r="DQ36" s="209"/>
      <c r="DR36" s="209"/>
      <c r="DS36" s="209"/>
      <c r="DT36" s="209"/>
      <c r="DU36" s="209"/>
      <c r="DV36" s="209"/>
      <c r="DW36" s="213"/>
      <c r="DX36" s="209"/>
      <c r="DY36" s="209"/>
      <c r="DZ36" s="212"/>
      <c r="EA36" s="209"/>
      <c r="EB36" s="212"/>
      <c r="EC36" s="209"/>
      <c r="ED36" s="209"/>
      <c r="EE36" s="209"/>
      <c r="EF36" s="209"/>
      <c r="EG36" s="209"/>
      <c r="EH36" s="209"/>
      <c r="EI36" s="209"/>
      <c r="EJ36" s="209"/>
      <c r="EK36" s="209"/>
      <c r="EL36" s="209"/>
      <c r="EM36" s="209"/>
      <c r="EN36" s="209"/>
      <c r="EO36" s="209"/>
      <c r="EP36" s="209"/>
      <c r="EQ36" s="209"/>
      <c r="ER36" s="209"/>
      <c r="ES36" s="209"/>
      <c r="ET36" s="209"/>
      <c r="EU36" s="209"/>
      <c r="EV36" s="209"/>
      <c r="EW36" s="209"/>
      <c r="EX36" s="209"/>
      <c r="EY36" s="209"/>
      <c r="EZ36" s="209"/>
      <c r="FA36" s="209"/>
      <c r="FB36" s="213"/>
      <c r="FC36" s="209"/>
      <c r="FD36" s="209"/>
      <c r="FE36" s="209"/>
      <c r="FF36" s="209"/>
      <c r="FG36" s="209"/>
      <c r="FH36" s="214"/>
      <c r="FI36" s="212"/>
      <c r="FJ36" s="212"/>
      <c r="FK36" s="209"/>
      <c r="FL36" s="209"/>
      <c r="FM36" s="209"/>
      <c r="FN36" s="208"/>
      <c r="FO36" s="209"/>
      <c r="FP36" s="209"/>
      <c r="FQ36" s="209"/>
      <c r="FR36" s="209"/>
      <c r="FS36" s="209"/>
      <c r="FT36" s="209"/>
      <c r="FU36" s="209"/>
      <c r="FV36" s="209"/>
      <c r="FW36" s="209"/>
      <c r="FX36" s="209"/>
      <c r="FY36" s="209"/>
      <c r="FZ36" s="209"/>
      <c r="GA36" s="209"/>
      <c r="GB36" s="212"/>
      <c r="GC36" s="209"/>
      <c r="GD36" s="212"/>
      <c r="GE36" s="209"/>
      <c r="GF36" s="213"/>
      <c r="GG36" s="209"/>
      <c r="GH36" s="209"/>
      <c r="GI36" s="209"/>
      <c r="GJ36" s="209"/>
      <c r="GK36" s="209"/>
      <c r="GL36" s="209"/>
      <c r="GM36" s="209"/>
      <c r="GN36" s="209"/>
      <c r="GO36" s="209"/>
      <c r="GP36" s="209"/>
      <c r="GQ36" s="209"/>
      <c r="GR36" s="209"/>
      <c r="GS36" s="209"/>
      <c r="GT36" s="209"/>
      <c r="GU36" s="209"/>
      <c r="GV36" s="209"/>
      <c r="GW36" s="209"/>
      <c r="GX36" s="209"/>
      <c r="GY36" s="209"/>
      <c r="GZ36" s="209"/>
      <c r="HA36" s="212"/>
      <c r="HB36" s="212"/>
      <c r="HC36" s="209"/>
      <c r="HD36" s="209"/>
      <c r="HE36" s="212"/>
      <c r="HF36" s="209"/>
      <c r="HG36" s="209"/>
      <c r="HH36" s="209"/>
      <c r="HI36" s="212"/>
      <c r="HJ36" s="212"/>
      <c r="HK36" s="213"/>
      <c r="HL36" s="209"/>
      <c r="HM36" s="209"/>
      <c r="HN36" s="209"/>
      <c r="HO36" s="212"/>
      <c r="HP36" s="212"/>
      <c r="HQ36" s="212"/>
      <c r="HR36" s="209"/>
      <c r="HS36" s="209"/>
      <c r="HT36" s="209"/>
      <c r="HU36" s="209"/>
      <c r="HV36" s="209"/>
      <c r="HW36" s="209"/>
      <c r="HX36" s="209"/>
      <c r="HY36" s="209"/>
      <c r="HZ36" s="209"/>
      <c r="IA36" s="209"/>
      <c r="IB36" s="209"/>
      <c r="IC36" s="209"/>
      <c r="ID36" s="209"/>
      <c r="IE36" s="209"/>
      <c r="IF36" s="209"/>
      <c r="IG36" s="215"/>
      <c r="IH36" s="215"/>
      <c r="II36" s="209"/>
      <c r="IJ36" s="209"/>
      <c r="IK36" s="209"/>
      <c r="IL36" s="209"/>
      <c r="IM36" s="209"/>
      <c r="IN36" s="209"/>
      <c r="IO36" s="216"/>
      <c r="IP36" s="208"/>
      <c r="IQ36" s="209"/>
      <c r="IR36" s="212"/>
      <c r="IS36" s="209"/>
      <c r="IT36" s="209"/>
      <c r="IU36" s="209"/>
      <c r="IV36" s="209"/>
      <c r="IW36" s="209"/>
      <c r="IX36" s="209"/>
      <c r="IY36" s="209"/>
      <c r="IZ36" s="209"/>
      <c r="JA36" s="209"/>
      <c r="JB36" s="209"/>
      <c r="JC36" s="209"/>
      <c r="JD36" s="209"/>
      <c r="JE36" s="209"/>
      <c r="JF36" s="209"/>
      <c r="JG36" s="209"/>
      <c r="JH36" s="209"/>
      <c r="JI36" s="209"/>
      <c r="JJ36" s="209"/>
      <c r="JK36" s="209"/>
      <c r="JL36" s="209"/>
      <c r="JM36" s="209"/>
      <c r="JN36" s="209"/>
      <c r="JO36" s="209"/>
      <c r="JP36" s="209"/>
      <c r="JQ36" s="209"/>
      <c r="JR36" s="209"/>
      <c r="JS36" s="209"/>
      <c r="JT36" s="213"/>
      <c r="JU36" s="209"/>
      <c r="JV36" s="209"/>
      <c r="JW36" s="209"/>
      <c r="JX36" s="209"/>
      <c r="JY36" s="209"/>
      <c r="JZ36" s="208"/>
      <c r="KA36" s="212"/>
      <c r="KB36" s="212"/>
      <c r="KC36" s="209"/>
      <c r="KD36" s="209"/>
      <c r="KE36" s="209"/>
      <c r="KF36" s="209"/>
      <c r="KG36" s="209"/>
      <c r="KH36" s="209"/>
      <c r="KI36" s="209"/>
      <c r="KJ36" s="208"/>
      <c r="KK36" s="209"/>
      <c r="KL36" s="209"/>
      <c r="KM36" s="212"/>
      <c r="KN36" s="212"/>
      <c r="KO36" s="212"/>
      <c r="KP36" s="208"/>
      <c r="KQ36" s="209"/>
      <c r="KR36" s="209"/>
      <c r="KS36" s="209"/>
      <c r="KT36" s="209"/>
      <c r="KU36" s="209"/>
      <c r="KV36" s="209"/>
      <c r="KW36" s="209"/>
      <c r="KX36" s="209"/>
      <c r="KY36" s="213"/>
      <c r="KZ36" s="209"/>
      <c r="LA36" s="209"/>
      <c r="LB36" s="209"/>
      <c r="LC36" s="209"/>
      <c r="LD36" s="209"/>
      <c r="LE36" s="212"/>
      <c r="LF36" s="209"/>
      <c r="LG36" s="212"/>
      <c r="LH36" s="212"/>
      <c r="LI36" s="212"/>
      <c r="LJ36" s="212"/>
      <c r="LK36" s="212"/>
      <c r="LL36" s="209"/>
      <c r="LM36" s="209"/>
      <c r="LN36" s="209"/>
      <c r="LO36" s="209"/>
      <c r="LP36" s="209"/>
      <c r="LQ36" s="209"/>
      <c r="LR36" s="209"/>
      <c r="LS36" s="209"/>
      <c r="LT36" s="209"/>
      <c r="LU36" s="209"/>
      <c r="LV36" s="209"/>
      <c r="LW36" s="209"/>
      <c r="LX36" s="209"/>
      <c r="LY36" s="209"/>
      <c r="LZ36" s="209"/>
      <c r="MA36" s="209"/>
      <c r="MB36" s="209"/>
      <c r="MC36" s="213"/>
      <c r="MD36" s="209"/>
      <c r="ME36" s="209"/>
      <c r="MF36" s="209"/>
      <c r="MG36" s="212"/>
      <c r="MH36" s="212"/>
      <c r="MI36" s="212"/>
      <c r="MJ36" s="209"/>
      <c r="MK36" s="209"/>
      <c r="ML36" s="209"/>
      <c r="MM36" s="209"/>
      <c r="MN36" s="209"/>
      <c r="MO36" s="209"/>
      <c r="MP36" s="209"/>
      <c r="MQ36" s="212"/>
      <c r="MR36" s="209"/>
      <c r="MS36" s="209"/>
      <c r="MT36" s="209"/>
      <c r="MU36" s="209"/>
      <c r="MV36" s="209"/>
      <c r="MW36" s="209"/>
      <c r="MX36" s="209"/>
      <c r="MY36" s="209"/>
      <c r="MZ36" s="212"/>
      <c r="NA36" s="212"/>
      <c r="NB36" s="209"/>
      <c r="NC36" s="212"/>
      <c r="ND36" s="212"/>
      <c r="NE36" s="212"/>
      <c r="NF36" s="212"/>
      <c r="NG36" s="212"/>
    </row>
    <row r="37">
      <c r="A37" s="221">
        <v>5.0</v>
      </c>
      <c r="B37" s="222" t="s">
        <v>195</v>
      </c>
      <c r="C37" s="38"/>
      <c r="D37" s="38"/>
      <c r="E37" s="38"/>
      <c r="F37" s="223" t="str">
        <f>SUMPRODUCT(IF(('▧ 26년 휴가대장'!$G37:$NG37&lt;&gt;"") * (('▧ 26년 휴가대장'!$G37:$NG37="전") + ('▧ 26년 휴가대장'!$G37:$NG37="후")), 0.5, IF('▧ 26년 휴가대장'!$G37:$NG37="반", 0.25, IF('▧ 26년 휴가대장'!$G37:$NG37="휴", 1, 0)))) &amp; " 일"</f>
        <v>0 일</v>
      </c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5"/>
      <c r="S37" s="224"/>
      <c r="T37" s="225"/>
      <c r="U37" s="225"/>
      <c r="V37" s="224"/>
      <c r="W37" s="226"/>
      <c r="X37" s="225"/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7"/>
      <c r="AL37" s="228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8"/>
      <c r="BO37" s="226"/>
      <c r="BP37" s="225"/>
      <c r="BQ37" s="226"/>
      <c r="BR37" s="226"/>
      <c r="BS37" s="226"/>
      <c r="BT37" s="226"/>
      <c r="BU37" s="226"/>
      <c r="BV37" s="226"/>
      <c r="BW37" s="226"/>
      <c r="BX37" s="226"/>
      <c r="BY37" s="225"/>
      <c r="BZ37" s="226"/>
      <c r="CA37" s="225"/>
      <c r="CB37" s="226"/>
      <c r="CC37" s="226"/>
      <c r="CD37" s="226"/>
      <c r="CE37" s="226"/>
      <c r="CF37" s="226"/>
      <c r="CG37" s="226"/>
      <c r="CH37" s="226"/>
      <c r="CI37" s="226"/>
      <c r="CJ37" s="226"/>
      <c r="CK37" s="230"/>
      <c r="CL37" s="226"/>
      <c r="CM37" s="226"/>
      <c r="CN37" s="226"/>
      <c r="CO37" s="226"/>
      <c r="CP37" s="226"/>
      <c r="CQ37" s="226"/>
      <c r="CR37" s="226"/>
      <c r="CS37" s="231"/>
      <c r="CT37" s="226"/>
      <c r="CU37" s="226"/>
      <c r="CV37" s="226"/>
      <c r="CW37" s="226"/>
      <c r="CX37" s="226"/>
      <c r="CY37" s="226"/>
      <c r="CZ37" s="226"/>
      <c r="DA37" s="226"/>
      <c r="DB37" s="226"/>
      <c r="DC37" s="226"/>
      <c r="DD37" s="226"/>
      <c r="DE37" s="230"/>
      <c r="DF37" s="226"/>
      <c r="DG37" s="226"/>
      <c r="DH37" s="226"/>
      <c r="DI37" s="226"/>
      <c r="DJ37" s="226"/>
      <c r="DK37" s="226"/>
      <c r="DL37" s="226"/>
      <c r="DM37" s="226"/>
      <c r="DN37" s="226"/>
      <c r="DO37" s="226"/>
      <c r="DP37" s="226"/>
      <c r="DQ37" s="226"/>
      <c r="DR37" s="226"/>
      <c r="DS37" s="226"/>
      <c r="DT37" s="226"/>
      <c r="DU37" s="226"/>
      <c r="DV37" s="226"/>
      <c r="DW37" s="231"/>
      <c r="DX37" s="226"/>
      <c r="DY37" s="226"/>
      <c r="DZ37" s="230"/>
      <c r="EA37" s="226"/>
      <c r="EB37" s="230"/>
      <c r="EC37" s="226"/>
      <c r="ED37" s="226"/>
      <c r="EE37" s="226"/>
      <c r="EF37" s="226"/>
      <c r="EG37" s="226"/>
      <c r="EH37" s="226"/>
      <c r="EI37" s="226"/>
      <c r="EJ37" s="226"/>
      <c r="EK37" s="226"/>
      <c r="EL37" s="226"/>
      <c r="EM37" s="226"/>
      <c r="EN37" s="226"/>
      <c r="EO37" s="226"/>
      <c r="EP37" s="226"/>
      <c r="EQ37" s="226"/>
      <c r="ER37" s="226"/>
      <c r="ES37" s="226"/>
      <c r="ET37" s="226"/>
      <c r="EU37" s="226"/>
      <c r="EV37" s="226"/>
      <c r="EW37" s="226"/>
      <c r="EX37" s="226"/>
      <c r="EY37" s="226"/>
      <c r="EZ37" s="226"/>
      <c r="FA37" s="226"/>
      <c r="FB37" s="231"/>
      <c r="FC37" s="226"/>
      <c r="FD37" s="226"/>
      <c r="FE37" s="226"/>
      <c r="FF37" s="226"/>
      <c r="FG37" s="226"/>
      <c r="FH37" s="232"/>
      <c r="FI37" s="230"/>
      <c r="FJ37" s="230"/>
      <c r="FK37" s="226"/>
      <c r="FL37" s="226"/>
      <c r="FM37" s="226"/>
      <c r="FN37" s="225"/>
      <c r="FO37" s="226"/>
      <c r="FP37" s="226"/>
      <c r="FQ37" s="226"/>
      <c r="FR37" s="226"/>
      <c r="FS37" s="226"/>
      <c r="FT37" s="226"/>
      <c r="FU37" s="226"/>
      <c r="FV37" s="226"/>
      <c r="FW37" s="226"/>
      <c r="FX37" s="226"/>
      <c r="FY37" s="226"/>
      <c r="FZ37" s="226"/>
      <c r="GA37" s="226"/>
      <c r="GB37" s="230"/>
      <c r="GC37" s="226"/>
      <c r="GD37" s="230"/>
      <c r="GE37" s="226"/>
      <c r="GF37" s="231"/>
      <c r="GG37" s="226"/>
      <c r="GH37" s="226"/>
      <c r="GI37" s="226"/>
      <c r="GJ37" s="226"/>
      <c r="GK37" s="226"/>
      <c r="GL37" s="226"/>
      <c r="GM37" s="226"/>
      <c r="GN37" s="226"/>
      <c r="GO37" s="226"/>
      <c r="GP37" s="226"/>
      <c r="GQ37" s="226"/>
      <c r="GR37" s="226"/>
      <c r="GS37" s="226"/>
      <c r="GT37" s="226"/>
      <c r="GU37" s="226"/>
      <c r="GV37" s="226"/>
      <c r="GW37" s="226"/>
      <c r="GX37" s="226"/>
      <c r="GY37" s="226"/>
      <c r="GZ37" s="226"/>
      <c r="HA37" s="230"/>
      <c r="HB37" s="230"/>
      <c r="HC37" s="226"/>
      <c r="HD37" s="226"/>
      <c r="HE37" s="230"/>
      <c r="HF37" s="226"/>
      <c r="HG37" s="226"/>
      <c r="HH37" s="226"/>
      <c r="HI37" s="230"/>
      <c r="HJ37" s="230"/>
      <c r="HK37" s="231"/>
      <c r="HL37" s="226"/>
      <c r="HM37" s="226"/>
      <c r="HN37" s="226"/>
      <c r="HO37" s="230"/>
      <c r="HP37" s="230"/>
      <c r="HQ37" s="230"/>
      <c r="HR37" s="226"/>
      <c r="HS37" s="226"/>
      <c r="HT37" s="226"/>
      <c r="HU37" s="226"/>
      <c r="HV37" s="226"/>
      <c r="HW37" s="226"/>
      <c r="HX37" s="226"/>
      <c r="HY37" s="226"/>
      <c r="HZ37" s="226"/>
      <c r="IA37" s="226"/>
      <c r="IB37" s="226"/>
      <c r="IC37" s="226"/>
      <c r="ID37" s="226"/>
      <c r="IE37" s="226"/>
      <c r="IF37" s="226"/>
      <c r="IG37" s="233"/>
      <c r="IH37" s="233"/>
      <c r="II37" s="226"/>
      <c r="IJ37" s="226"/>
      <c r="IK37" s="226"/>
      <c r="IL37" s="226"/>
      <c r="IM37" s="226"/>
      <c r="IN37" s="226"/>
      <c r="IO37" s="234"/>
      <c r="IP37" s="225"/>
      <c r="IQ37" s="226"/>
      <c r="IR37" s="230"/>
      <c r="IS37" s="226"/>
      <c r="IT37" s="226"/>
      <c r="IU37" s="226"/>
      <c r="IV37" s="226"/>
      <c r="IW37" s="226"/>
      <c r="IX37" s="226"/>
      <c r="IY37" s="226"/>
      <c r="IZ37" s="226"/>
      <c r="JA37" s="226"/>
      <c r="JB37" s="226"/>
      <c r="JC37" s="226"/>
      <c r="JD37" s="226"/>
      <c r="JE37" s="226"/>
      <c r="JF37" s="226"/>
      <c r="JG37" s="226"/>
      <c r="JH37" s="226"/>
      <c r="JI37" s="226"/>
      <c r="JJ37" s="226"/>
      <c r="JK37" s="226"/>
      <c r="JL37" s="226"/>
      <c r="JM37" s="226"/>
      <c r="JN37" s="226"/>
      <c r="JO37" s="226"/>
      <c r="JP37" s="226"/>
      <c r="JQ37" s="226"/>
      <c r="JR37" s="226"/>
      <c r="JS37" s="226"/>
      <c r="JT37" s="231"/>
      <c r="JU37" s="226"/>
      <c r="JV37" s="226"/>
      <c r="JW37" s="226"/>
      <c r="JX37" s="226"/>
      <c r="JY37" s="226"/>
      <c r="JZ37" s="225"/>
      <c r="KA37" s="230"/>
      <c r="KB37" s="230"/>
      <c r="KC37" s="226"/>
      <c r="KD37" s="226"/>
      <c r="KE37" s="226"/>
      <c r="KF37" s="226"/>
      <c r="KG37" s="226"/>
      <c r="KH37" s="226"/>
      <c r="KI37" s="226"/>
      <c r="KJ37" s="225"/>
      <c r="KK37" s="226"/>
      <c r="KL37" s="226"/>
      <c r="KM37" s="230"/>
      <c r="KN37" s="230"/>
      <c r="KO37" s="230"/>
      <c r="KP37" s="225"/>
      <c r="KQ37" s="226"/>
      <c r="KR37" s="226"/>
      <c r="KS37" s="226"/>
      <c r="KT37" s="226"/>
      <c r="KU37" s="226"/>
      <c r="KV37" s="226"/>
      <c r="KW37" s="226"/>
      <c r="KX37" s="226"/>
      <c r="KY37" s="231"/>
      <c r="KZ37" s="226"/>
      <c r="LA37" s="226"/>
      <c r="LB37" s="226"/>
      <c r="LC37" s="226"/>
      <c r="LD37" s="226"/>
      <c r="LE37" s="230"/>
      <c r="LF37" s="226"/>
      <c r="LG37" s="230"/>
      <c r="LH37" s="230"/>
      <c r="LI37" s="230"/>
      <c r="LJ37" s="230"/>
      <c r="LK37" s="230"/>
      <c r="LL37" s="226"/>
      <c r="LM37" s="226"/>
      <c r="LN37" s="226"/>
      <c r="LO37" s="226"/>
      <c r="LP37" s="226"/>
      <c r="LQ37" s="226"/>
      <c r="LR37" s="226"/>
      <c r="LS37" s="226"/>
      <c r="LT37" s="226"/>
      <c r="LU37" s="226"/>
      <c r="LV37" s="226"/>
      <c r="LW37" s="226"/>
      <c r="LX37" s="226"/>
      <c r="LY37" s="226"/>
      <c r="LZ37" s="226"/>
      <c r="MA37" s="226"/>
      <c r="MB37" s="226"/>
      <c r="MC37" s="231"/>
      <c r="MD37" s="226"/>
      <c r="ME37" s="226"/>
      <c r="MF37" s="226"/>
      <c r="MG37" s="230"/>
      <c r="MH37" s="230"/>
      <c r="MI37" s="230"/>
      <c r="MJ37" s="226"/>
      <c r="MK37" s="226"/>
      <c r="ML37" s="226"/>
      <c r="MM37" s="226"/>
      <c r="MN37" s="226"/>
      <c r="MO37" s="226"/>
      <c r="MP37" s="226"/>
      <c r="MQ37" s="230"/>
      <c r="MR37" s="226"/>
      <c r="MS37" s="226"/>
      <c r="MT37" s="226"/>
      <c r="MU37" s="226"/>
      <c r="MV37" s="226"/>
      <c r="MW37" s="226"/>
      <c r="MX37" s="226"/>
      <c r="MY37" s="226"/>
      <c r="MZ37" s="230"/>
      <c r="NA37" s="230"/>
      <c r="NB37" s="226"/>
      <c r="NC37" s="230"/>
      <c r="ND37" s="230"/>
      <c r="NE37" s="230"/>
      <c r="NF37" s="230"/>
      <c r="NG37" s="230"/>
    </row>
    <row r="38">
      <c r="A38" s="235">
        <v>6.0</v>
      </c>
      <c r="B38" s="236" t="s">
        <v>196</v>
      </c>
      <c r="C38" s="166"/>
      <c r="D38" s="166"/>
      <c r="E38" s="167"/>
      <c r="F38" s="190" t="str">
        <f>SUMPRODUCT(IF(('▧ 26년 휴가대장'!$KY38:$NG38&lt;&gt;"") * (('▧ 26년 휴가대장'!$KY38:$NG38="전") + ('▧ 26년 휴가대장'!$KY38:$NG38="후")), 0.5, IF('▧ 26년 휴가대장'!$KY38:$NG38="반", 0.25, IF('▧ 26년 휴가대장'!$KY38:$NG38="휴", 1, 0)))) &amp; " 일"</f>
        <v>0 일</v>
      </c>
      <c r="G38" s="178"/>
      <c r="H38" s="178"/>
      <c r="I38" s="179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9"/>
      <c r="AA38" s="178"/>
      <c r="AB38" s="178"/>
      <c r="AC38" s="178"/>
      <c r="AD38" s="178"/>
      <c r="AE38" s="178"/>
      <c r="AF38" s="178"/>
      <c r="AG38" s="179"/>
      <c r="AH38" s="179"/>
      <c r="AI38" s="178"/>
      <c r="AJ38" s="178"/>
      <c r="AK38" s="178"/>
      <c r="AL38" s="181"/>
      <c r="AM38" s="179"/>
      <c r="AN38" s="179"/>
      <c r="AO38" s="179"/>
      <c r="AP38" s="178"/>
      <c r="AQ38" s="178"/>
      <c r="AR38" s="178"/>
      <c r="AS38" s="178"/>
      <c r="AT38" s="178"/>
      <c r="AU38" s="178"/>
      <c r="AV38" s="178"/>
      <c r="AW38" s="178"/>
      <c r="AX38" s="178"/>
      <c r="AY38" s="179"/>
      <c r="AZ38" s="179"/>
      <c r="BA38" s="178"/>
      <c r="BB38" s="179"/>
      <c r="BC38" s="179"/>
      <c r="BD38" s="178"/>
      <c r="BE38" s="178"/>
      <c r="BF38" s="178"/>
      <c r="BG38" s="178"/>
      <c r="BH38" s="178"/>
      <c r="BI38" s="178"/>
      <c r="BJ38" s="178"/>
      <c r="BK38" s="184"/>
      <c r="BL38" s="178"/>
      <c r="BM38" s="179"/>
      <c r="BN38" s="181"/>
      <c r="BO38" s="184"/>
      <c r="BP38" s="180"/>
      <c r="BQ38" s="180"/>
      <c r="BR38" s="180"/>
      <c r="BS38" s="180"/>
      <c r="BT38" s="180"/>
      <c r="BU38" s="180"/>
      <c r="BV38" s="180"/>
      <c r="BW38" s="180"/>
      <c r="BX38" s="180"/>
      <c r="BY38" s="180"/>
      <c r="BZ38" s="180"/>
      <c r="CA38" s="180"/>
      <c r="CB38" s="180"/>
      <c r="CC38" s="180"/>
      <c r="CD38" s="180"/>
      <c r="CE38" s="180"/>
      <c r="CF38" s="180"/>
      <c r="CG38" s="180"/>
      <c r="CH38" s="180"/>
      <c r="CI38" s="180"/>
      <c r="CJ38" s="180"/>
      <c r="CK38" s="180"/>
      <c r="CL38" s="180"/>
      <c r="CM38" s="182"/>
      <c r="CN38" s="180"/>
      <c r="CO38" s="180"/>
      <c r="CP38" s="182"/>
      <c r="CQ38" s="180"/>
      <c r="CR38" s="180"/>
      <c r="CS38" s="183"/>
      <c r="CT38" s="182"/>
      <c r="CU38" s="180"/>
      <c r="CV38" s="180"/>
      <c r="CW38" s="180"/>
      <c r="CX38" s="180"/>
      <c r="CY38" s="182"/>
      <c r="CZ38" s="180"/>
      <c r="DA38" s="180"/>
      <c r="DB38" s="180"/>
      <c r="DC38" s="180"/>
      <c r="DD38" s="179"/>
      <c r="DE38" s="180"/>
      <c r="DF38" s="180"/>
      <c r="DG38" s="180"/>
      <c r="DH38" s="180"/>
      <c r="DI38" s="180"/>
      <c r="DJ38" s="180"/>
      <c r="DK38" s="180"/>
      <c r="DL38" s="180"/>
      <c r="DM38" s="180"/>
      <c r="DN38" s="179"/>
      <c r="DO38" s="180"/>
      <c r="DP38" s="180"/>
      <c r="DQ38" s="180"/>
      <c r="DR38" s="180"/>
      <c r="DS38" s="180"/>
      <c r="DT38" s="180"/>
      <c r="DU38" s="180"/>
      <c r="DV38" s="180"/>
      <c r="DW38" s="183"/>
      <c r="DX38" s="180"/>
      <c r="DY38" s="180"/>
      <c r="DZ38" s="180"/>
      <c r="EA38" s="180"/>
      <c r="EB38" s="182"/>
      <c r="EC38" s="180"/>
      <c r="ED38" s="182"/>
      <c r="EE38" s="180"/>
      <c r="EF38" s="184"/>
      <c r="EG38" s="182"/>
      <c r="EH38" s="180"/>
      <c r="EI38" s="182"/>
      <c r="EJ38" s="180"/>
      <c r="EK38" s="180"/>
      <c r="EL38" s="180"/>
      <c r="EM38" s="180"/>
      <c r="EN38" s="180"/>
      <c r="EO38" s="180"/>
      <c r="EP38" s="180"/>
      <c r="EQ38" s="180"/>
      <c r="ER38" s="180"/>
      <c r="ES38" s="180"/>
      <c r="ET38" s="180"/>
      <c r="EU38" s="180"/>
      <c r="EV38" s="180"/>
      <c r="EW38" s="180"/>
      <c r="EX38" s="180"/>
      <c r="EY38" s="180"/>
      <c r="EZ38" s="182"/>
      <c r="FA38" s="180"/>
      <c r="FB38" s="183"/>
      <c r="FC38" s="180"/>
      <c r="FD38" s="180"/>
      <c r="FE38" s="180"/>
      <c r="FF38" s="182"/>
      <c r="FG38" s="180"/>
      <c r="FH38" s="180"/>
      <c r="FI38" s="180"/>
      <c r="FJ38" s="182"/>
      <c r="FK38" s="180"/>
      <c r="FL38" s="180"/>
      <c r="FM38" s="180"/>
      <c r="FN38" s="180"/>
      <c r="FO38" s="180"/>
      <c r="FP38" s="180"/>
      <c r="FQ38" s="180"/>
      <c r="FR38" s="180"/>
      <c r="FS38" s="180"/>
      <c r="FT38" s="182"/>
      <c r="FU38" s="182"/>
      <c r="FV38" s="180"/>
      <c r="FW38" s="180"/>
      <c r="FX38" s="180"/>
      <c r="FY38" s="180"/>
      <c r="FZ38" s="180"/>
      <c r="GA38" s="182"/>
      <c r="GB38" s="182"/>
      <c r="GC38" s="180"/>
      <c r="GD38" s="180"/>
      <c r="GE38" s="180"/>
      <c r="GF38" s="183"/>
      <c r="GG38" s="180"/>
      <c r="GH38" s="180"/>
      <c r="GI38" s="180"/>
      <c r="GJ38" s="182"/>
      <c r="GK38" s="182"/>
      <c r="GL38" s="182"/>
      <c r="GM38" s="180"/>
      <c r="GN38" s="180"/>
      <c r="GO38" s="180"/>
      <c r="GP38" s="180"/>
      <c r="GQ38" s="180"/>
      <c r="GR38" s="180"/>
      <c r="GS38" s="180"/>
      <c r="GT38" s="180"/>
      <c r="GU38" s="180"/>
      <c r="GV38" s="180"/>
      <c r="GW38" s="180"/>
      <c r="GX38" s="180"/>
      <c r="GY38" s="180"/>
      <c r="GZ38" s="182"/>
      <c r="HA38" s="180"/>
      <c r="HB38" s="179"/>
      <c r="HC38" s="179"/>
      <c r="HD38" s="180"/>
      <c r="HE38" s="180"/>
      <c r="HF38" s="180"/>
      <c r="HG38" s="180"/>
      <c r="HH38" s="180"/>
      <c r="HI38" s="180"/>
      <c r="HJ38" s="180"/>
      <c r="HK38" s="183"/>
      <c r="HL38" s="180"/>
      <c r="HM38" s="180"/>
      <c r="HN38" s="180"/>
      <c r="HO38" s="180"/>
      <c r="HP38" s="180"/>
      <c r="HQ38" s="180"/>
      <c r="HR38" s="180"/>
      <c r="HS38" s="180"/>
      <c r="HT38" s="180"/>
      <c r="HU38" s="179"/>
      <c r="HV38" s="179"/>
      <c r="HW38" s="179"/>
      <c r="HX38" s="179"/>
      <c r="HY38" s="180"/>
      <c r="HZ38" s="180"/>
      <c r="IA38" s="180"/>
      <c r="IB38" s="180"/>
      <c r="IC38" s="179"/>
      <c r="ID38" s="180"/>
      <c r="IE38" s="180"/>
      <c r="IF38" s="182"/>
      <c r="IG38" s="180"/>
      <c r="IH38" s="180"/>
      <c r="II38" s="180"/>
      <c r="IJ38" s="180"/>
      <c r="IK38" s="180"/>
      <c r="IL38" s="180"/>
      <c r="IM38" s="180"/>
      <c r="IN38" s="182"/>
      <c r="IO38" s="240"/>
      <c r="IP38" s="185"/>
      <c r="IQ38" s="182"/>
      <c r="IR38" s="182"/>
      <c r="IS38" s="180"/>
      <c r="IT38" s="180"/>
      <c r="IU38" s="180"/>
      <c r="IV38" s="180"/>
      <c r="IW38" s="180"/>
      <c r="IX38" s="180"/>
      <c r="IY38" s="180"/>
      <c r="IZ38" s="180"/>
      <c r="JA38" s="180"/>
      <c r="JB38" s="180"/>
      <c r="JC38" s="180"/>
      <c r="JD38" s="180"/>
      <c r="JE38" s="180"/>
      <c r="JF38" s="180"/>
      <c r="JG38" s="180"/>
      <c r="JH38" s="182"/>
      <c r="JI38" s="180"/>
      <c r="JJ38" s="180"/>
      <c r="JK38" s="180"/>
      <c r="JL38" s="180"/>
      <c r="JM38" s="182"/>
      <c r="JN38" s="182"/>
      <c r="JO38" s="179"/>
      <c r="JP38" s="180"/>
      <c r="JQ38" s="180"/>
      <c r="JR38" s="179"/>
      <c r="JS38" s="179"/>
      <c r="JT38" s="213"/>
      <c r="JU38" s="180"/>
      <c r="JV38" s="180"/>
      <c r="JW38" s="180"/>
      <c r="JX38" s="180"/>
      <c r="JY38" s="180"/>
      <c r="JZ38" s="182"/>
      <c r="KA38" s="180"/>
      <c r="KB38" s="180"/>
      <c r="KC38" s="180"/>
      <c r="KD38" s="180"/>
      <c r="KE38" s="180"/>
      <c r="KF38" s="182"/>
      <c r="KG38" s="180"/>
      <c r="KH38" s="180"/>
      <c r="KI38" s="180"/>
      <c r="KJ38" s="180"/>
      <c r="KK38" s="180"/>
      <c r="KL38" s="180"/>
      <c r="KM38" s="179"/>
      <c r="KN38" s="182"/>
      <c r="KO38" s="180"/>
      <c r="KP38" s="180"/>
      <c r="KQ38" s="180"/>
      <c r="KR38" s="180"/>
      <c r="KS38" s="180"/>
      <c r="KT38" s="180"/>
      <c r="KU38" s="180"/>
      <c r="KV38" s="180"/>
      <c r="KW38" s="180"/>
      <c r="KX38" s="180"/>
      <c r="KY38" s="185"/>
      <c r="KZ38" s="180"/>
      <c r="LA38" s="180"/>
      <c r="LB38" s="180"/>
      <c r="LC38" s="180"/>
      <c r="LD38" s="180"/>
      <c r="LE38" s="180"/>
      <c r="LF38" s="180"/>
      <c r="LG38" s="180"/>
      <c r="LH38" s="180"/>
      <c r="LI38" s="180"/>
      <c r="LJ38" s="182"/>
      <c r="LK38" s="180"/>
      <c r="LL38" s="180"/>
      <c r="LM38" s="180"/>
      <c r="LN38" s="180"/>
      <c r="LO38" s="180"/>
      <c r="LP38" s="179"/>
      <c r="LQ38" s="179"/>
      <c r="LR38" s="179"/>
      <c r="LS38" s="179"/>
      <c r="LT38" s="180"/>
      <c r="LU38" s="180"/>
      <c r="LV38" s="182"/>
      <c r="LW38" s="182"/>
      <c r="LX38" s="182"/>
      <c r="LY38" s="180"/>
      <c r="LZ38" s="182"/>
      <c r="MA38" s="182"/>
      <c r="MB38" s="186"/>
      <c r="MC38" s="183"/>
      <c r="MD38" s="180"/>
      <c r="ME38" s="180"/>
      <c r="MF38" s="180"/>
      <c r="MG38" s="180"/>
      <c r="MH38" s="180"/>
      <c r="MI38" s="180"/>
      <c r="MJ38" s="180"/>
      <c r="MK38" s="180"/>
      <c r="ML38" s="180"/>
      <c r="MM38" s="180"/>
      <c r="MN38" s="180"/>
      <c r="MO38" s="180"/>
      <c r="MP38" s="180"/>
      <c r="MQ38" s="180"/>
      <c r="MR38" s="182"/>
      <c r="MS38" s="180"/>
      <c r="MT38" s="180"/>
      <c r="MU38" s="180"/>
      <c r="MV38" s="180"/>
      <c r="MW38" s="182"/>
      <c r="MX38" s="182"/>
      <c r="MY38" s="182"/>
      <c r="MZ38" s="182"/>
      <c r="NA38" s="180"/>
      <c r="NB38" s="180"/>
      <c r="NC38" s="182"/>
      <c r="ND38" s="180"/>
      <c r="NE38" s="179"/>
      <c r="NF38" s="182"/>
      <c r="NG38" s="180"/>
    </row>
    <row r="39" ht="16.5" customHeight="1">
      <c r="A39" s="175">
        <v>7.0</v>
      </c>
      <c r="B39" s="176" t="s">
        <v>198</v>
      </c>
      <c r="C39" s="116"/>
      <c r="D39" s="116"/>
      <c r="E39" s="117"/>
      <c r="F39" s="243" t="str">
        <f>SUMPRODUCT(IF(('▧ 26년 휴가대장'!$G39:$NG39&lt;&gt;"") * (('▧ 26년 휴가대장'!$G39:$NG39="전") + ('▧ 26년 휴가대장'!$G39:$NG39="후")), 0.5, IF('▧ 26년 휴가대장'!$G39:$NG39="반", 0.25, IF('▧ 26년 휴가대장'!$G39:$NG39="휴", 1, 0)))) &amp; " 일"</f>
        <v>0 일</v>
      </c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9"/>
      <c r="T39" s="178"/>
      <c r="U39" s="178"/>
      <c r="V39" s="179"/>
      <c r="W39" s="178"/>
      <c r="X39" s="178"/>
      <c r="Y39" s="179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81"/>
      <c r="AM39" s="178"/>
      <c r="AN39" s="178"/>
      <c r="AO39" s="178"/>
      <c r="AP39" s="178"/>
      <c r="AQ39" s="178"/>
      <c r="AR39" s="178"/>
      <c r="AS39" s="179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9"/>
      <c r="BI39" s="178"/>
      <c r="BJ39" s="178"/>
      <c r="BK39" s="178"/>
      <c r="BL39" s="178"/>
      <c r="BM39" s="179"/>
      <c r="BN39" s="181"/>
      <c r="BO39" s="184"/>
      <c r="BP39" s="180"/>
      <c r="BQ39" s="180"/>
      <c r="BR39" s="180"/>
      <c r="BS39" s="180"/>
      <c r="BT39" s="180"/>
      <c r="BU39" s="180"/>
      <c r="BV39" s="182"/>
      <c r="BW39" s="180"/>
      <c r="BX39" s="182"/>
      <c r="BY39" s="180"/>
      <c r="BZ39" s="182"/>
      <c r="CA39" s="180"/>
      <c r="CB39" s="180"/>
      <c r="CC39" s="180"/>
      <c r="CD39" s="180"/>
      <c r="CE39" s="180"/>
      <c r="CF39" s="180"/>
      <c r="CG39" s="180"/>
      <c r="CH39" s="180"/>
      <c r="CI39" s="182"/>
      <c r="CJ39" s="180"/>
      <c r="CK39" s="180"/>
      <c r="CL39" s="180"/>
      <c r="CM39" s="180"/>
      <c r="CN39" s="180"/>
      <c r="CO39" s="180"/>
      <c r="CP39" s="180"/>
      <c r="CQ39" s="180"/>
      <c r="CR39" s="180"/>
      <c r="CS39" s="183"/>
      <c r="CT39" s="180"/>
      <c r="CU39" s="182"/>
      <c r="CV39" s="182"/>
      <c r="CW39" s="180"/>
      <c r="CX39" s="180"/>
      <c r="CY39" s="180"/>
      <c r="CZ39" s="180"/>
      <c r="DA39" s="180"/>
      <c r="DB39" s="180"/>
      <c r="DC39" s="180"/>
      <c r="DD39" s="184"/>
      <c r="DE39" s="180"/>
      <c r="DF39" s="179"/>
      <c r="DG39" s="180"/>
      <c r="DH39" s="180"/>
      <c r="DI39" s="180"/>
      <c r="DJ39" s="180"/>
      <c r="DK39" s="180"/>
      <c r="DL39" s="182"/>
      <c r="DM39" s="180"/>
      <c r="DN39" s="182"/>
      <c r="DO39" s="180"/>
      <c r="DP39" s="180"/>
      <c r="DQ39" s="180"/>
      <c r="DR39" s="180"/>
      <c r="DS39" s="180"/>
      <c r="DT39" s="182"/>
      <c r="DU39" s="182"/>
      <c r="DV39" s="180"/>
      <c r="DW39" s="183"/>
      <c r="DX39" s="180"/>
      <c r="DY39" s="180"/>
      <c r="DZ39" s="180"/>
      <c r="EA39" s="180"/>
      <c r="EB39" s="180"/>
      <c r="EC39" s="180"/>
      <c r="ED39" s="180"/>
      <c r="EE39" s="180"/>
      <c r="EF39" s="184"/>
      <c r="EG39" s="184"/>
      <c r="EH39" s="180"/>
      <c r="EI39" s="180"/>
      <c r="EJ39" s="180"/>
      <c r="EK39" s="180"/>
      <c r="EL39" s="180"/>
      <c r="EM39" s="182"/>
      <c r="EN39" s="180"/>
      <c r="EO39" s="182"/>
      <c r="EP39" s="180"/>
      <c r="EQ39" s="180"/>
      <c r="ER39" s="182"/>
      <c r="ES39" s="182"/>
      <c r="ET39" s="180"/>
      <c r="EU39" s="180"/>
      <c r="EV39" s="180"/>
      <c r="EW39" s="180"/>
      <c r="EX39" s="180"/>
      <c r="EY39" s="182"/>
      <c r="EZ39" s="180"/>
      <c r="FA39" s="180"/>
      <c r="FB39" s="183"/>
      <c r="FC39" s="180"/>
      <c r="FD39" s="180"/>
      <c r="FE39" s="184"/>
      <c r="FF39" s="184"/>
      <c r="FG39" s="180"/>
      <c r="FH39" s="180"/>
      <c r="FI39" s="182"/>
      <c r="FJ39" s="179"/>
      <c r="FK39" s="180"/>
      <c r="FL39" s="180"/>
      <c r="FM39" s="180"/>
      <c r="FN39" s="180"/>
      <c r="FO39" s="180"/>
      <c r="FP39" s="180"/>
      <c r="FQ39" s="180"/>
      <c r="FR39" s="180"/>
      <c r="FS39" s="180"/>
      <c r="FT39" s="180"/>
      <c r="FU39" s="180"/>
      <c r="FV39" s="182"/>
      <c r="FW39" s="180"/>
      <c r="FX39" s="180"/>
      <c r="FY39" s="180"/>
      <c r="FZ39" s="180"/>
      <c r="GA39" s="180"/>
      <c r="GB39" s="180"/>
      <c r="GC39" s="182"/>
      <c r="GD39" s="180"/>
      <c r="GE39" s="180"/>
      <c r="GF39" s="183"/>
      <c r="GG39" s="180"/>
      <c r="GH39" s="180"/>
      <c r="GI39" s="180"/>
      <c r="GJ39" s="182"/>
      <c r="GK39" s="182"/>
      <c r="GL39" s="179"/>
      <c r="GM39" s="180"/>
      <c r="GN39" s="180"/>
      <c r="GO39" s="182"/>
      <c r="GP39" s="180"/>
      <c r="GQ39" s="180"/>
      <c r="GR39" s="182"/>
      <c r="GS39" s="180"/>
      <c r="GT39" s="180"/>
      <c r="GU39" s="180"/>
      <c r="GV39" s="180"/>
      <c r="GW39" s="180"/>
      <c r="GX39" s="180"/>
      <c r="GY39" s="182"/>
      <c r="GZ39" s="182"/>
      <c r="HA39" s="180"/>
      <c r="HB39" s="182"/>
      <c r="HC39" s="180"/>
      <c r="HD39" s="180"/>
      <c r="HE39" s="180"/>
      <c r="HF39" s="180"/>
      <c r="HG39" s="180"/>
      <c r="HH39" s="182"/>
      <c r="HI39" s="180"/>
      <c r="HJ39" s="180"/>
      <c r="HK39" s="185"/>
      <c r="HL39" s="180"/>
      <c r="HM39" s="182"/>
      <c r="HN39" s="180"/>
      <c r="HO39" s="182"/>
      <c r="HP39" s="182"/>
      <c r="HQ39" s="180"/>
      <c r="HR39" s="180"/>
      <c r="HS39" s="180"/>
      <c r="HT39" s="180"/>
      <c r="HU39" s="180"/>
      <c r="HV39" s="180"/>
      <c r="HW39" s="180"/>
      <c r="HX39" s="180"/>
      <c r="HY39" s="180"/>
      <c r="HZ39" s="180"/>
      <c r="IA39" s="180"/>
      <c r="IB39" s="180"/>
      <c r="IC39" s="180"/>
      <c r="ID39" s="180"/>
      <c r="IE39" s="180"/>
      <c r="IF39" s="180"/>
      <c r="IG39" s="182"/>
      <c r="IH39" s="182"/>
      <c r="II39" s="180"/>
      <c r="IJ39" s="180"/>
      <c r="IK39" s="180"/>
      <c r="IL39" s="182"/>
      <c r="IM39" s="180"/>
      <c r="IN39" s="182"/>
      <c r="IO39" s="186"/>
      <c r="IP39" s="183"/>
      <c r="IQ39" s="180"/>
      <c r="IR39" s="180"/>
      <c r="IS39" s="182"/>
      <c r="IT39" s="180"/>
      <c r="IU39" s="180"/>
      <c r="IV39" s="180"/>
      <c r="IW39" s="180"/>
      <c r="IX39" s="180"/>
      <c r="IY39" s="180"/>
      <c r="IZ39" s="180"/>
      <c r="JA39" s="180"/>
      <c r="JB39" s="180"/>
      <c r="JC39" s="180"/>
      <c r="JD39" s="180"/>
      <c r="JE39" s="180"/>
      <c r="JF39" s="180"/>
      <c r="JG39" s="180"/>
      <c r="JH39" s="180"/>
      <c r="JI39" s="180"/>
      <c r="JJ39" s="180"/>
      <c r="JK39" s="182"/>
      <c r="JL39" s="208"/>
      <c r="JM39" s="180"/>
      <c r="JN39" s="179"/>
      <c r="JO39" s="180"/>
      <c r="JP39" s="182"/>
      <c r="JQ39" s="180"/>
      <c r="JR39" s="180"/>
      <c r="JS39" s="240"/>
      <c r="JT39" s="179"/>
      <c r="JU39" s="180"/>
      <c r="JV39" s="180"/>
      <c r="JW39" s="180"/>
      <c r="JX39" s="180"/>
      <c r="JY39" s="180"/>
      <c r="JZ39" s="180"/>
      <c r="KA39" s="180"/>
      <c r="KB39" s="180"/>
      <c r="KC39" s="180"/>
      <c r="KD39" s="180"/>
      <c r="KE39" s="180"/>
      <c r="KF39" s="182"/>
      <c r="KG39" s="180"/>
      <c r="KH39" s="180"/>
      <c r="KI39" s="208"/>
      <c r="KJ39" s="180"/>
      <c r="KK39" s="180"/>
      <c r="KL39" s="182"/>
      <c r="KM39" s="180"/>
      <c r="KN39" s="180"/>
      <c r="KO39" s="180"/>
      <c r="KP39" s="182"/>
      <c r="KQ39" s="182"/>
      <c r="KR39" s="180"/>
      <c r="KS39" s="179"/>
      <c r="KT39" s="180"/>
      <c r="KU39" s="180"/>
      <c r="KV39" s="180"/>
      <c r="KW39" s="182"/>
      <c r="KX39" s="180"/>
      <c r="KY39" s="183"/>
      <c r="KZ39" s="180"/>
      <c r="LA39" s="179"/>
      <c r="LB39" s="180"/>
      <c r="LC39" s="180"/>
      <c r="LD39" s="180"/>
      <c r="LE39" s="180"/>
      <c r="LF39" s="180"/>
      <c r="LG39" s="182"/>
      <c r="LI39" s="208"/>
      <c r="LJ39" s="182"/>
      <c r="LK39" s="180"/>
      <c r="LL39" s="182"/>
      <c r="LM39" s="182"/>
      <c r="LN39" s="182"/>
      <c r="LO39" s="182"/>
      <c r="LP39" s="182"/>
      <c r="LQ39" s="182"/>
      <c r="LR39" s="180"/>
      <c r="LS39" s="180"/>
      <c r="LT39" s="180"/>
      <c r="LU39" s="180"/>
      <c r="LV39" s="180"/>
      <c r="LW39" s="180"/>
      <c r="LX39" s="180"/>
      <c r="LY39" s="180"/>
      <c r="LZ39" s="180"/>
      <c r="MA39" s="180"/>
      <c r="MB39" s="186"/>
      <c r="MC39" s="182"/>
      <c r="MD39" s="180"/>
      <c r="ME39" s="180"/>
      <c r="MF39" s="180"/>
      <c r="MG39" s="180"/>
      <c r="MH39" s="180"/>
      <c r="MI39" s="180"/>
      <c r="MJ39" s="179"/>
      <c r="MK39" s="179"/>
      <c r="ML39" s="179"/>
      <c r="MM39" s="179"/>
      <c r="MN39" s="180"/>
      <c r="MO39" s="180"/>
      <c r="MP39" s="180"/>
      <c r="MQ39" s="180"/>
      <c r="MR39" s="180"/>
      <c r="MS39" s="180"/>
      <c r="MT39" s="180"/>
      <c r="MU39" s="180"/>
      <c r="MV39" s="180"/>
      <c r="MW39" s="179"/>
      <c r="MX39" s="179"/>
      <c r="MY39" s="180"/>
      <c r="MZ39" s="182"/>
      <c r="NA39" s="180"/>
      <c r="NB39" s="180"/>
      <c r="NC39" s="180"/>
      <c r="ND39" s="180"/>
      <c r="NE39" s="180"/>
      <c r="NF39" s="180"/>
      <c r="NG39" s="180"/>
    </row>
    <row r="40">
      <c r="A40" s="175">
        <v>8.0</v>
      </c>
      <c r="B40" s="176" t="s">
        <v>199</v>
      </c>
      <c r="C40" s="116"/>
      <c r="D40" s="116"/>
      <c r="E40" s="117"/>
      <c r="F40" s="190" t="str">
        <f>SUMPRODUCT(IF(('▧ 26년 휴가대장'!$KY40:$NG40&lt;&gt;"") * (('▧ 26년 휴가대장'!$KY40:$NG40="전") + ('▧ 26년 휴가대장'!$KY40:$NG40="후")), 0.5, IF('▧ 26년 휴가대장'!$KY40:$NG40="반", 0.25, IF('▧ 26년 휴가대장'!$KY40:$NG40="휴", 1, 0)))) &amp; " 일"</f>
        <v>0 일</v>
      </c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9"/>
      <c r="T40" s="178"/>
      <c r="U40" s="178"/>
      <c r="V40" s="179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81"/>
      <c r="AM40" s="178"/>
      <c r="AN40" s="178"/>
      <c r="AO40" s="178"/>
      <c r="AP40" s="178"/>
      <c r="AQ40" s="178"/>
      <c r="AR40" s="178"/>
      <c r="AS40" s="178"/>
      <c r="AT40" s="178"/>
      <c r="AU40" s="179"/>
      <c r="AV40" s="178"/>
      <c r="AW40" s="178"/>
      <c r="AX40" s="179"/>
      <c r="AY40" s="178"/>
      <c r="AZ40" s="178"/>
      <c r="BA40" s="178"/>
      <c r="BB40" s="178"/>
      <c r="BC40" s="178"/>
      <c r="BD40" s="178"/>
      <c r="BE40" s="178"/>
      <c r="BF40" s="178"/>
      <c r="BG40" s="178"/>
      <c r="BH40" s="179"/>
      <c r="BI40" s="178"/>
      <c r="BJ40" s="178"/>
      <c r="BK40" s="178"/>
      <c r="BL40" s="178"/>
      <c r="BM40" s="178"/>
      <c r="BN40" s="181"/>
      <c r="BO40" s="184"/>
      <c r="BP40" s="180"/>
      <c r="BQ40" s="180"/>
      <c r="BR40" s="180"/>
      <c r="BS40" s="180"/>
      <c r="BT40" s="180"/>
      <c r="BU40" s="180"/>
      <c r="BV40" s="180"/>
      <c r="BW40" s="180"/>
      <c r="BX40" s="182"/>
      <c r="BY40" s="180"/>
      <c r="BZ40" s="182"/>
      <c r="CA40" s="182"/>
      <c r="CB40" s="180"/>
      <c r="CC40" s="180"/>
      <c r="CD40" s="180"/>
      <c r="CE40" s="180"/>
      <c r="CF40" s="180"/>
      <c r="CG40" s="180"/>
      <c r="CH40" s="180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  <c r="CS40" s="183"/>
      <c r="CT40" s="180"/>
      <c r="CU40" s="180"/>
      <c r="CV40" s="180"/>
      <c r="CW40" s="180"/>
      <c r="CX40" s="182"/>
      <c r="CY40" s="180"/>
      <c r="CZ40" s="180"/>
      <c r="DA40" s="180"/>
      <c r="DB40" s="180"/>
      <c r="DC40" s="180"/>
      <c r="DD40" s="184"/>
      <c r="DE40" s="180"/>
      <c r="DF40" s="179"/>
      <c r="DG40" s="180"/>
      <c r="DH40" s="180"/>
      <c r="DI40" s="180"/>
      <c r="DJ40" s="180"/>
      <c r="DK40" s="180"/>
      <c r="DL40" s="180"/>
      <c r="DM40" s="180"/>
      <c r="DN40" s="182"/>
      <c r="DO40" s="180"/>
      <c r="DP40" s="180"/>
      <c r="DQ40" s="180"/>
      <c r="DR40" s="180"/>
      <c r="DS40" s="180"/>
      <c r="DT40" s="182"/>
      <c r="DU40" s="182"/>
      <c r="DV40" s="180"/>
      <c r="DW40" s="183"/>
      <c r="DX40" s="180"/>
      <c r="DY40" s="180"/>
      <c r="DZ40" s="182"/>
      <c r="EA40" s="180"/>
      <c r="EB40" s="180"/>
      <c r="EC40" s="180"/>
      <c r="ED40" s="180"/>
      <c r="EE40" s="180"/>
      <c r="EF40" s="184"/>
      <c r="EG40" s="184"/>
      <c r="EH40" s="180"/>
      <c r="EI40" s="180"/>
      <c r="EJ40" s="180"/>
      <c r="EK40" s="180"/>
      <c r="EL40" s="180"/>
      <c r="EM40" s="180"/>
      <c r="EN40" s="180"/>
      <c r="EO40" s="179"/>
      <c r="EP40" s="180"/>
      <c r="EQ40" s="180"/>
      <c r="ER40" s="180"/>
      <c r="ES40" s="180"/>
      <c r="ET40" s="180"/>
      <c r="EU40" s="180"/>
      <c r="EV40" s="180"/>
      <c r="EW40" s="180"/>
      <c r="EX40" s="180"/>
      <c r="EY40" s="180"/>
      <c r="EZ40" s="180"/>
      <c r="FA40" s="180"/>
      <c r="FB40" s="183"/>
      <c r="FC40" s="182"/>
      <c r="FD40" s="180"/>
      <c r="FE40" s="180"/>
      <c r="FF40" s="184"/>
      <c r="FG40" s="180"/>
      <c r="FH40" s="180"/>
      <c r="FI40" s="182"/>
      <c r="FJ40" s="179"/>
      <c r="FK40" s="180"/>
      <c r="FL40" s="180"/>
      <c r="FM40" s="180"/>
      <c r="FN40" s="180"/>
      <c r="FO40" s="180"/>
      <c r="FP40" s="180"/>
      <c r="FQ40" s="180"/>
      <c r="FR40" s="180"/>
      <c r="FS40" s="180"/>
      <c r="FT40" s="180"/>
      <c r="FU40" s="180"/>
      <c r="FV40" s="180"/>
      <c r="FW40" s="182"/>
      <c r="FX40" s="180"/>
      <c r="FY40" s="180"/>
      <c r="FZ40" s="180"/>
      <c r="GA40" s="180"/>
      <c r="GB40" s="180"/>
      <c r="GC40" s="180"/>
      <c r="GD40" s="180"/>
      <c r="GE40" s="180"/>
      <c r="GF40" s="183"/>
      <c r="GG40" s="180"/>
      <c r="GH40" s="180"/>
      <c r="GI40" s="180"/>
      <c r="GJ40" s="180"/>
      <c r="GK40" s="180"/>
      <c r="GL40" s="179"/>
      <c r="GM40" s="180"/>
      <c r="GN40" s="180"/>
      <c r="GO40" s="182"/>
      <c r="GP40" s="180"/>
      <c r="GQ40" s="180"/>
      <c r="GR40" s="180"/>
      <c r="GS40" s="180"/>
      <c r="GT40" s="182"/>
      <c r="GU40" s="180"/>
      <c r="GV40" s="180"/>
      <c r="GW40" s="180"/>
      <c r="GX40" s="180"/>
      <c r="GY40" s="180"/>
      <c r="GZ40" s="180"/>
      <c r="HA40" s="180"/>
      <c r="HB40" s="180"/>
      <c r="HC40" s="180"/>
      <c r="HD40" s="180"/>
      <c r="HE40" s="180"/>
      <c r="HF40" s="180"/>
      <c r="HG40" s="180"/>
      <c r="HH40" s="180"/>
      <c r="HI40" s="180"/>
      <c r="HJ40" s="180"/>
      <c r="HK40" s="185"/>
      <c r="HL40" s="180"/>
      <c r="HM40" s="182"/>
      <c r="HN40" s="180"/>
      <c r="HO40" s="182"/>
      <c r="HP40" s="180"/>
      <c r="HQ40" s="180"/>
      <c r="HR40" s="180"/>
      <c r="HS40" s="180"/>
      <c r="HT40" s="180"/>
      <c r="HU40" s="180"/>
      <c r="HV40" s="180"/>
      <c r="HW40" s="180"/>
      <c r="HX40" s="180"/>
      <c r="HY40" s="180"/>
      <c r="HZ40" s="180"/>
      <c r="IA40" s="180"/>
      <c r="IB40" s="180"/>
      <c r="IC40" s="180"/>
      <c r="ID40" s="180"/>
      <c r="IE40" s="180"/>
      <c r="IF40" s="180"/>
      <c r="IG40" s="180"/>
      <c r="IH40" s="180"/>
      <c r="II40" s="182"/>
      <c r="IJ40" s="180"/>
      <c r="IK40" s="180"/>
      <c r="IL40" s="182"/>
      <c r="IM40" s="180"/>
      <c r="IN40" s="180"/>
      <c r="IO40" s="186"/>
      <c r="IP40" s="185"/>
      <c r="IQ40" s="180"/>
      <c r="IR40" s="180"/>
      <c r="IS40" s="182"/>
      <c r="IT40" s="180"/>
      <c r="IU40" s="182"/>
      <c r="IV40" s="179"/>
      <c r="IW40" s="179"/>
      <c r="IX40" s="180"/>
      <c r="IY40" s="180"/>
      <c r="IZ40" s="180"/>
      <c r="JA40" s="180"/>
      <c r="JB40" s="182"/>
      <c r="JC40" s="180"/>
      <c r="JD40" s="179"/>
      <c r="JE40" s="180"/>
      <c r="JF40" s="180"/>
      <c r="JG40" s="180"/>
      <c r="JH40" s="180"/>
      <c r="JI40" s="180"/>
      <c r="JJ40" s="180"/>
      <c r="JK40" s="180"/>
      <c r="JL40" s="180"/>
      <c r="JM40" s="180"/>
      <c r="JN40" s="180"/>
      <c r="JO40" s="180"/>
      <c r="JP40" s="180"/>
      <c r="JQ40" s="180"/>
      <c r="JR40" s="180"/>
      <c r="JS40" s="240"/>
      <c r="JT40" s="180"/>
      <c r="JU40" s="180"/>
      <c r="JV40" s="180"/>
      <c r="JW40" s="180"/>
      <c r="JX40" s="180"/>
      <c r="JY40" s="180"/>
      <c r="JZ40" s="180"/>
      <c r="KA40" s="182"/>
      <c r="KB40" s="182"/>
      <c r="KC40" s="180"/>
      <c r="KD40" s="180"/>
      <c r="KE40" s="180"/>
      <c r="KF40" s="180"/>
      <c r="KG40" s="182"/>
      <c r="KH40" s="180"/>
      <c r="KI40" s="180"/>
      <c r="KJ40" s="180"/>
      <c r="KK40" s="180"/>
      <c r="KL40" s="182"/>
      <c r="KM40" s="180"/>
      <c r="KN40" s="180"/>
      <c r="KO40" s="180"/>
      <c r="KP40" s="182"/>
      <c r="KQ40" s="182"/>
      <c r="KR40" s="180"/>
      <c r="KS40" s="182"/>
      <c r="KT40" s="180"/>
      <c r="KU40" s="180"/>
      <c r="KV40" s="180"/>
      <c r="KW40" s="180"/>
      <c r="KX40" s="180"/>
      <c r="KY40" s="185"/>
      <c r="KZ40" s="182"/>
      <c r="LA40" s="179"/>
      <c r="LB40" s="180"/>
      <c r="LC40" s="180"/>
      <c r="LD40" s="180"/>
      <c r="LE40" s="180"/>
      <c r="LF40" s="180"/>
      <c r="LG40" s="182"/>
      <c r="LH40" s="182"/>
      <c r="LI40" s="182"/>
      <c r="LJ40" s="182"/>
      <c r="LK40" s="180"/>
      <c r="LL40" s="180"/>
      <c r="LM40" s="182"/>
      <c r="LN40" s="182"/>
      <c r="LO40" s="182"/>
      <c r="LP40" s="182"/>
      <c r="LQ40" s="182"/>
      <c r="LR40" s="180"/>
      <c r="LS40" s="180"/>
      <c r="LT40" s="180"/>
      <c r="LU40" s="180"/>
      <c r="LV40" s="180"/>
      <c r="LW40" s="180"/>
      <c r="LX40" s="180"/>
      <c r="LY40" s="180"/>
      <c r="LZ40" s="180"/>
      <c r="MA40" s="180"/>
      <c r="MB40" s="240"/>
      <c r="MC40" s="183"/>
      <c r="MD40" s="180"/>
      <c r="ME40" s="180"/>
      <c r="MF40" s="180"/>
      <c r="MG40" s="182"/>
      <c r="MH40" s="180"/>
      <c r="MI40" s="180"/>
      <c r="MJ40" s="179"/>
      <c r="MK40" s="179"/>
      <c r="ML40" s="179"/>
      <c r="MM40" s="179"/>
      <c r="MN40" s="180"/>
      <c r="MO40" s="180"/>
      <c r="MP40" s="180"/>
      <c r="MQ40" s="180"/>
      <c r="MR40" s="180"/>
      <c r="MS40" s="180"/>
      <c r="MT40" s="180"/>
      <c r="MU40" s="180"/>
      <c r="MV40" s="180"/>
      <c r="MW40" s="179"/>
      <c r="MX40" s="179"/>
      <c r="MY40" s="180"/>
      <c r="MZ40" s="182"/>
      <c r="NA40" s="180"/>
      <c r="NB40" s="180"/>
      <c r="NC40" s="180"/>
      <c r="ND40" s="182"/>
      <c r="NE40" s="180"/>
      <c r="NF40" s="246"/>
      <c r="NG40" s="246"/>
    </row>
    <row r="41">
      <c r="A41" s="175">
        <v>9.0</v>
      </c>
      <c r="B41" s="176" t="s">
        <v>201</v>
      </c>
      <c r="C41" s="116"/>
      <c r="D41" s="116"/>
      <c r="E41" s="117"/>
      <c r="F41" s="243" t="str">
        <f>SUMPRODUCT(IF(('▧ 26년 휴가대장'!$G41:$NG41&lt;&gt;"") * (('▧ 26년 휴가대장'!$G41:$NG41="전") + ('▧ 26년 휴가대장'!$G41:$NG41="후")), 0.5, IF('▧ 26년 휴가대장'!$G41:$NG41="반", 0.25, IF('▧ 26년 휴가대장'!$G41:$NG41="휴", 1, 0)))) &amp; " 일"</f>
        <v>0 일</v>
      </c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9"/>
      <c r="T41" s="178"/>
      <c r="U41" s="178"/>
      <c r="V41" s="179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81"/>
      <c r="AM41" s="178"/>
      <c r="AN41" s="178"/>
      <c r="AO41" s="178"/>
      <c r="AP41" s="178"/>
      <c r="AQ41" s="178"/>
      <c r="AR41" s="178"/>
      <c r="AS41" s="178"/>
      <c r="AT41" s="178"/>
      <c r="AU41" s="179"/>
      <c r="AV41" s="178"/>
      <c r="AW41" s="178"/>
      <c r="AX41" s="179"/>
      <c r="AY41" s="178"/>
      <c r="AZ41" s="178"/>
      <c r="BA41" s="178"/>
      <c r="BB41" s="178"/>
      <c r="BC41" s="178"/>
      <c r="BD41" s="178"/>
      <c r="BE41" s="178"/>
      <c r="BF41" s="178"/>
      <c r="BG41" s="178"/>
      <c r="BH41" s="179"/>
      <c r="BI41" s="178"/>
      <c r="BJ41" s="178"/>
      <c r="BK41" s="178"/>
      <c r="BL41" s="178"/>
      <c r="BM41" s="178"/>
      <c r="BN41" s="181"/>
      <c r="BO41" s="184"/>
      <c r="BP41" s="180"/>
      <c r="BQ41" s="180"/>
      <c r="BR41" s="180"/>
      <c r="BS41" s="180"/>
      <c r="BT41" s="180"/>
      <c r="BU41" s="180"/>
      <c r="BV41" s="180"/>
      <c r="BW41" s="180"/>
      <c r="BX41" s="182"/>
      <c r="BY41" s="180"/>
      <c r="BZ41" s="182"/>
      <c r="CA41" s="182"/>
      <c r="CB41" s="180"/>
      <c r="CC41" s="180"/>
      <c r="CD41" s="180"/>
      <c r="CE41" s="180"/>
      <c r="CF41" s="180"/>
      <c r="CG41" s="180"/>
      <c r="CH41" s="180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  <c r="CS41" s="183"/>
      <c r="CT41" s="180"/>
      <c r="CU41" s="180"/>
      <c r="CV41" s="180"/>
      <c r="CW41" s="180"/>
      <c r="CX41" s="182"/>
      <c r="CY41" s="180"/>
      <c r="CZ41" s="180"/>
      <c r="DA41" s="180"/>
      <c r="DB41" s="180"/>
      <c r="DC41" s="180"/>
      <c r="DD41" s="184"/>
      <c r="DE41" s="180"/>
      <c r="DF41" s="179"/>
      <c r="DG41" s="180"/>
      <c r="DH41" s="180"/>
      <c r="DI41" s="180"/>
      <c r="DJ41" s="180"/>
      <c r="DK41" s="180"/>
      <c r="DL41" s="180"/>
      <c r="DM41" s="180"/>
      <c r="DN41" s="182"/>
      <c r="DO41" s="180"/>
      <c r="DP41" s="180"/>
      <c r="DQ41" s="180"/>
      <c r="DR41" s="180"/>
      <c r="DS41" s="180"/>
      <c r="DT41" s="182"/>
      <c r="DU41" s="182"/>
      <c r="DV41" s="180"/>
      <c r="DW41" s="183"/>
      <c r="DX41" s="180"/>
      <c r="DY41" s="180"/>
      <c r="DZ41" s="182"/>
      <c r="EA41" s="180"/>
      <c r="EB41" s="180"/>
      <c r="EC41" s="180"/>
      <c r="ED41" s="180"/>
      <c r="EE41" s="180"/>
      <c r="EF41" s="184"/>
      <c r="EG41" s="184"/>
      <c r="EH41" s="180"/>
      <c r="EI41" s="180"/>
      <c r="EJ41" s="180"/>
      <c r="EK41" s="180"/>
      <c r="EL41" s="180"/>
      <c r="EM41" s="180"/>
      <c r="EN41" s="180"/>
      <c r="EO41" s="179"/>
      <c r="EP41" s="180"/>
      <c r="EQ41" s="180"/>
      <c r="ER41" s="180"/>
      <c r="ES41" s="180"/>
      <c r="ET41" s="180"/>
      <c r="EU41" s="180"/>
      <c r="EV41" s="180"/>
      <c r="EW41" s="180"/>
      <c r="EX41" s="180"/>
      <c r="EY41" s="180"/>
      <c r="EZ41" s="180"/>
      <c r="FA41" s="180"/>
      <c r="FB41" s="183"/>
      <c r="FC41" s="182"/>
      <c r="FD41" s="180"/>
      <c r="FE41" s="180"/>
      <c r="FF41" s="184"/>
      <c r="FG41" s="180"/>
      <c r="FH41" s="180"/>
      <c r="FI41" s="182"/>
      <c r="FJ41" s="179"/>
      <c r="FK41" s="180"/>
      <c r="FL41" s="180"/>
      <c r="FM41" s="180"/>
      <c r="FN41" s="180"/>
      <c r="FO41" s="180"/>
      <c r="FP41" s="180"/>
      <c r="FQ41" s="180"/>
      <c r="FR41" s="180"/>
      <c r="FS41" s="180"/>
      <c r="FT41" s="180"/>
      <c r="FU41" s="180"/>
      <c r="FV41" s="180"/>
      <c r="FW41" s="182"/>
      <c r="FX41" s="180"/>
      <c r="FY41" s="180"/>
      <c r="FZ41" s="180"/>
      <c r="GA41" s="180"/>
      <c r="GB41" s="180"/>
      <c r="GC41" s="180"/>
      <c r="GD41" s="180"/>
      <c r="GE41" s="180"/>
      <c r="GF41" s="183"/>
      <c r="GG41" s="180"/>
      <c r="GH41" s="180"/>
      <c r="GI41" s="180"/>
      <c r="GJ41" s="180"/>
      <c r="GK41" s="180"/>
      <c r="GL41" s="179"/>
      <c r="GM41" s="180"/>
      <c r="GN41" s="180"/>
      <c r="GO41" s="182"/>
      <c r="GP41" s="180"/>
      <c r="GQ41" s="180"/>
      <c r="GR41" s="180"/>
      <c r="GS41" s="180"/>
      <c r="GT41" s="182"/>
      <c r="GU41" s="180"/>
      <c r="GV41" s="180"/>
      <c r="GW41" s="180"/>
      <c r="GX41" s="180"/>
      <c r="GY41" s="180"/>
      <c r="GZ41" s="180"/>
      <c r="HA41" s="180"/>
      <c r="HB41" s="180"/>
      <c r="HC41" s="180"/>
      <c r="HD41" s="180"/>
      <c r="HE41" s="180"/>
      <c r="HF41" s="180"/>
      <c r="HG41" s="180"/>
      <c r="HH41" s="180"/>
      <c r="HI41" s="180"/>
      <c r="HJ41" s="180"/>
      <c r="HK41" s="185"/>
      <c r="HL41" s="180"/>
      <c r="HM41" s="182"/>
      <c r="HN41" s="180"/>
      <c r="HO41" s="182"/>
      <c r="HP41" s="180"/>
      <c r="HQ41" s="180"/>
      <c r="HR41" s="180"/>
      <c r="HS41" s="180"/>
      <c r="HT41" s="180"/>
      <c r="HU41" s="180"/>
      <c r="HV41" s="180"/>
      <c r="HW41" s="180"/>
      <c r="HX41" s="180"/>
      <c r="HY41" s="180"/>
      <c r="HZ41" s="180"/>
      <c r="IA41" s="180"/>
      <c r="IB41" s="180"/>
      <c r="IC41" s="180"/>
      <c r="ID41" s="180"/>
      <c r="IE41" s="180"/>
      <c r="IF41" s="180"/>
      <c r="IG41" s="180"/>
      <c r="IH41" s="180"/>
      <c r="II41" s="182"/>
      <c r="IJ41" s="180"/>
      <c r="IK41" s="180"/>
      <c r="IL41" s="182"/>
      <c r="IM41" s="180"/>
      <c r="IN41" s="180"/>
      <c r="IO41" s="186"/>
      <c r="IP41" s="185"/>
      <c r="IQ41" s="180"/>
      <c r="IR41" s="180"/>
      <c r="IS41" s="182"/>
      <c r="IT41" s="180"/>
      <c r="IU41" s="182"/>
      <c r="IV41" s="179"/>
      <c r="IW41" s="179"/>
      <c r="IX41" s="180"/>
      <c r="IY41" s="180"/>
      <c r="IZ41" s="180"/>
      <c r="JA41" s="180"/>
      <c r="JB41" s="182"/>
      <c r="JC41" s="180"/>
      <c r="JD41" s="208"/>
      <c r="JE41" s="180"/>
      <c r="JF41" s="180"/>
      <c r="JG41" s="180"/>
      <c r="JH41" s="180"/>
      <c r="JI41" s="180"/>
      <c r="JJ41" s="180"/>
      <c r="JK41" s="180"/>
      <c r="JL41" s="180"/>
      <c r="JM41" s="180"/>
      <c r="JN41" s="180"/>
      <c r="JO41" s="180"/>
      <c r="JP41" s="180"/>
      <c r="JQ41" s="180"/>
      <c r="JR41" s="180"/>
      <c r="JS41" s="182"/>
      <c r="JT41" s="183"/>
      <c r="JU41" s="180"/>
      <c r="JV41" s="180"/>
      <c r="JW41" s="180"/>
      <c r="JX41" s="180"/>
      <c r="JY41" s="180"/>
      <c r="JZ41" s="180"/>
      <c r="KA41" s="182"/>
      <c r="KB41" s="182"/>
      <c r="KC41" s="180"/>
      <c r="KD41" s="180"/>
      <c r="KE41" s="180"/>
      <c r="KF41" s="180"/>
      <c r="KG41" s="182"/>
      <c r="KH41" s="180"/>
      <c r="KI41" s="180"/>
      <c r="KJ41" s="180"/>
      <c r="KK41" s="180"/>
      <c r="KL41" s="182"/>
      <c r="KM41" s="180"/>
      <c r="KN41" s="180"/>
      <c r="KO41" s="180"/>
      <c r="KP41" s="182"/>
      <c r="KQ41" s="182"/>
      <c r="KR41" s="180"/>
      <c r="KS41" s="182"/>
      <c r="KT41" s="180"/>
      <c r="KU41" s="180"/>
      <c r="KV41" s="180"/>
      <c r="KW41" s="180"/>
      <c r="KX41" s="180"/>
      <c r="KY41" s="185"/>
      <c r="KZ41" s="182"/>
      <c r="LA41" s="179"/>
      <c r="LB41" s="180"/>
      <c r="LC41" s="180"/>
      <c r="LD41" s="180"/>
      <c r="LE41" s="180"/>
      <c r="LF41" s="180"/>
      <c r="LG41" s="182"/>
      <c r="LH41" s="182"/>
      <c r="LI41" s="182"/>
      <c r="LJ41" s="182"/>
      <c r="LK41" s="180"/>
      <c r="LL41" s="180"/>
      <c r="LM41" s="182"/>
      <c r="LN41" s="182"/>
      <c r="LO41" s="182"/>
      <c r="LP41" s="182"/>
      <c r="LQ41" s="182"/>
      <c r="LR41" s="180"/>
      <c r="LS41" s="180"/>
      <c r="LT41" s="180"/>
      <c r="LU41" s="180"/>
      <c r="LV41" s="182"/>
      <c r="LW41" s="180"/>
      <c r="LX41" s="180"/>
      <c r="LY41" s="180"/>
      <c r="LZ41" s="180"/>
      <c r="MA41" s="180"/>
      <c r="MB41" s="240"/>
      <c r="MC41" s="183"/>
      <c r="MD41" s="180"/>
      <c r="ME41" s="180"/>
      <c r="MG41" s="180"/>
      <c r="MH41" s="180"/>
      <c r="MI41" s="180"/>
      <c r="MJ41" s="179"/>
      <c r="MK41" s="179"/>
      <c r="ML41" s="179"/>
      <c r="MM41" s="179"/>
      <c r="MN41" s="180"/>
      <c r="MO41" s="180"/>
      <c r="MP41" s="180"/>
      <c r="MQ41" s="180"/>
      <c r="MR41" s="180"/>
      <c r="MS41" s="180"/>
      <c r="MT41" s="180"/>
      <c r="MU41" s="180"/>
      <c r="MV41" s="180"/>
      <c r="MW41" s="179"/>
      <c r="MX41" s="179"/>
      <c r="MY41" s="180"/>
      <c r="MZ41" s="182"/>
      <c r="NA41" s="180"/>
      <c r="NB41" s="180"/>
      <c r="NC41" s="180"/>
      <c r="ND41" s="182"/>
      <c r="NE41" s="180"/>
      <c r="NF41" s="246"/>
      <c r="NG41" s="246"/>
    </row>
    <row r="42">
      <c r="A42" s="175">
        <v>10.0</v>
      </c>
      <c r="B42" s="176" t="s">
        <v>202</v>
      </c>
      <c r="C42" s="116"/>
      <c r="D42" s="116"/>
      <c r="E42" s="117"/>
      <c r="F42" s="190" t="str">
        <f>SUMPRODUCT(IF(('▧ 26년 휴가대장'!$KY42:$NG42&lt;&gt;"") * (('▧ 26년 휴가대장'!$KY42:$NG42="전") + ('▧ 26년 휴가대장'!$KY42:$NG42="후")), 0.5, IF('▧ 26년 휴가대장'!$KY42:$NG42="반", 0.25, IF('▧ 26년 휴가대장'!$KY42:$NG42="휴", 1, 0)))) &amp; " 일"</f>
        <v>0 일</v>
      </c>
      <c r="G42" s="178"/>
      <c r="H42" s="178"/>
      <c r="I42" s="178"/>
      <c r="J42" s="178"/>
      <c r="K42" s="178"/>
      <c r="L42" s="179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9"/>
      <c r="AA42" s="178"/>
      <c r="AB42" s="178"/>
      <c r="AC42" s="178"/>
      <c r="AD42" s="178"/>
      <c r="AE42" s="184"/>
      <c r="AF42" s="178"/>
      <c r="AG42" s="178"/>
      <c r="AH42" s="178"/>
      <c r="AI42" s="178"/>
      <c r="AJ42" s="178"/>
      <c r="AK42" s="178"/>
      <c r="AL42" s="181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9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9"/>
      <c r="BJ42" s="178"/>
      <c r="BK42" s="178"/>
      <c r="BL42" s="178"/>
      <c r="BM42" s="182"/>
      <c r="BN42" s="183"/>
      <c r="BO42" s="180"/>
      <c r="BP42" s="180"/>
      <c r="BQ42" s="180"/>
      <c r="BR42" s="180"/>
      <c r="BS42" s="182"/>
      <c r="BT42" s="180"/>
      <c r="BU42" s="180"/>
      <c r="BV42" s="180"/>
      <c r="BW42" s="180"/>
      <c r="BX42" s="180"/>
      <c r="BY42" s="180"/>
      <c r="BZ42" s="180"/>
      <c r="CA42" s="182"/>
      <c r="CB42" s="180"/>
      <c r="CC42" s="180"/>
      <c r="CD42" s="179"/>
      <c r="CE42" s="184"/>
      <c r="CF42" s="180"/>
      <c r="CG42" s="180"/>
      <c r="CH42" s="180"/>
      <c r="CI42" s="180"/>
      <c r="CJ42" s="180"/>
      <c r="CK42" s="247"/>
      <c r="CL42" s="180"/>
      <c r="CM42" s="247"/>
      <c r="CN42" s="182"/>
      <c r="CO42" s="182"/>
      <c r="CP42" s="180"/>
      <c r="CQ42" s="180"/>
      <c r="CR42" s="180"/>
      <c r="CS42" s="183"/>
      <c r="CT42" s="180"/>
      <c r="CU42" s="180"/>
      <c r="CV42" s="180"/>
      <c r="CW42" s="180"/>
      <c r="CX42" s="180"/>
      <c r="CY42" s="182"/>
      <c r="CZ42" s="180"/>
      <c r="DA42" s="180"/>
      <c r="DB42" s="182"/>
      <c r="DC42" s="182"/>
      <c r="DD42" s="180"/>
      <c r="DE42" s="180"/>
      <c r="DF42" s="180"/>
      <c r="DG42" s="180"/>
      <c r="DH42" s="180"/>
      <c r="DI42" s="180"/>
      <c r="DJ42" s="180"/>
      <c r="DK42" s="180"/>
      <c r="DL42" s="180"/>
      <c r="DM42" s="182"/>
      <c r="DN42" s="180"/>
      <c r="DO42" s="180"/>
      <c r="DP42" s="180"/>
      <c r="DQ42" s="179"/>
      <c r="DR42" s="180"/>
      <c r="DS42" s="180"/>
      <c r="DT42" s="180"/>
      <c r="DU42" s="180"/>
      <c r="DV42" s="180"/>
      <c r="DW42" s="183"/>
      <c r="DX42" s="182"/>
      <c r="DY42" s="180"/>
      <c r="DZ42" s="180"/>
      <c r="EA42" s="180"/>
      <c r="EB42" s="180"/>
      <c r="EC42" s="182"/>
      <c r="ED42" s="182"/>
      <c r="EE42" s="180"/>
      <c r="EF42" s="180"/>
      <c r="EG42" s="180"/>
      <c r="EH42" s="180"/>
      <c r="EI42" s="180"/>
      <c r="EJ42" s="180"/>
      <c r="EK42" s="180"/>
      <c r="EL42" s="180"/>
      <c r="EM42" s="180"/>
      <c r="EN42" s="180"/>
      <c r="EO42" s="180"/>
      <c r="EP42" s="184"/>
      <c r="EQ42" s="184"/>
      <c r="ER42" s="180"/>
      <c r="ES42" s="179"/>
      <c r="ET42" s="180"/>
      <c r="EU42" s="180"/>
      <c r="EV42" s="180"/>
      <c r="EW42" s="184"/>
      <c r="EX42" s="180"/>
      <c r="EY42" s="182"/>
      <c r="EZ42" s="180"/>
      <c r="FA42" s="180"/>
      <c r="FB42" s="183"/>
      <c r="FC42" s="180"/>
      <c r="FD42" s="180"/>
      <c r="FE42" s="180"/>
      <c r="FF42" s="180"/>
      <c r="FG42" s="180"/>
      <c r="FH42" s="180"/>
      <c r="FI42" s="180"/>
      <c r="FJ42" s="180"/>
      <c r="FK42" s="180"/>
      <c r="FL42" s="182"/>
      <c r="FM42" s="180"/>
      <c r="FN42" s="180"/>
      <c r="FO42" s="180"/>
      <c r="FP42" s="180"/>
      <c r="FQ42" s="180"/>
      <c r="FR42" s="180"/>
      <c r="FS42" s="180"/>
      <c r="FT42" s="180"/>
      <c r="FU42" s="180"/>
      <c r="FV42" s="180"/>
      <c r="FW42" s="180"/>
      <c r="FX42" s="182"/>
      <c r="FY42" s="180"/>
      <c r="FZ42" s="180"/>
      <c r="GA42" s="180"/>
      <c r="GB42" s="179"/>
      <c r="GC42" s="180"/>
      <c r="GD42" s="180"/>
      <c r="GE42" s="180"/>
      <c r="GF42" s="183"/>
      <c r="GG42" s="180"/>
      <c r="GH42" s="180"/>
      <c r="GI42" s="182"/>
      <c r="GJ42" s="180"/>
      <c r="GK42" s="180"/>
      <c r="GL42" s="180"/>
      <c r="GM42" s="180"/>
      <c r="GN42" s="180"/>
      <c r="GO42" s="180"/>
      <c r="GP42" s="180"/>
      <c r="GQ42" s="180"/>
      <c r="GR42" s="182"/>
      <c r="GS42" s="180"/>
      <c r="GT42" s="180"/>
      <c r="GU42" s="179"/>
      <c r="GV42" s="180"/>
      <c r="GW42" s="180"/>
      <c r="GX42" s="180"/>
      <c r="GY42" s="180"/>
      <c r="GZ42" s="180"/>
      <c r="HA42" s="180"/>
      <c r="HB42" s="182"/>
      <c r="HC42" s="182"/>
      <c r="HD42" s="179"/>
      <c r="HE42" s="180"/>
      <c r="HF42" s="180"/>
      <c r="HG42" s="180"/>
      <c r="HH42" s="180"/>
      <c r="HI42" s="180"/>
      <c r="HJ42" s="180"/>
      <c r="HK42" s="183"/>
      <c r="HL42" s="180"/>
      <c r="HM42" s="180"/>
      <c r="HN42" s="180"/>
      <c r="HO42" s="180"/>
      <c r="HP42" s="180"/>
      <c r="HQ42" s="180"/>
      <c r="HR42" s="182"/>
      <c r="HS42" s="180"/>
      <c r="HT42" s="180"/>
      <c r="HU42" s="180"/>
      <c r="HV42" s="180"/>
      <c r="HW42" s="180"/>
      <c r="HX42" s="180"/>
      <c r="HY42" s="182"/>
      <c r="HZ42" s="180"/>
      <c r="IA42" s="182"/>
      <c r="IB42" s="182"/>
      <c r="IC42" s="182"/>
      <c r="ID42" s="180"/>
      <c r="IE42" s="180"/>
      <c r="IF42" s="180"/>
      <c r="IG42" s="180"/>
      <c r="IH42" s="180"/>
      <c r="II42" s="180"/>
      <c r="IJ42" s="180"/>
      <c r="IK42" s="180"/>
      <c r="IL42" s="180"/>
      <c r="IM42" s="180"/>
      <c r="IN42" s="180"/>
      <c r="IO42" s="186"/>
      <c r="IP42" s="183"/>
      <c r="IQ42" s="179"/>
      <c r="IR42" s="179"/>
      <c r="IS42" s="179"/>
      <c r="IT42" s="179"/>
      <c r="IU42" s="180"/>
      <c r="IV42" s="180"/>
      <c r="IW42" s="180"/>
      <c r="IX42" s="179"/>
      <c r="IY42" s="180"/>
      <c r="IZ42" s="180"/>
      <c r="JA42" s="180"/>
      <c r="JB42" s="180"/>
      <c r="JC42" s="180"/>
      <c r="JD42" s="180"/>
      <c r="JE42" s="208"/>
      <c r="JF42" s="180"/>
      <c r="JG42" s="180"/>
      <c r="JH42" s="180"/>
      <c r="JI42" s="180"/>
      <c r="JJ42" s="180"/>
      <c r="JK42" s="180"/>
      <c r="JL42" s="180"/>
      <c r="JM42" s="180"/>
      <c r="JN42" s="179"/>
      <c r="JO42" s="180"/>
      <c r="JP42" s="180"/>
      <c r="JQ42" s="180"/>
      <c r="JR42" s="180"/>
      <c r="JS42" s="180"/>
      <c r="JT42" s="183"/>
      <c r="JU42" s="180"/>
      <c r="JV42" s="180"/>
      <c r="JW42" s="180"/>
      <c r="JX42" s="180"/>
      <c r="JY42" s="180"/>
      <c r="JZ42" s="179"/>
      <c r="KA42" s="182"/>
      <c r="KB42" s="182"/>
      <c r="KC42" s="180"/>
      <c r="KD42" s="180"/>
      <c r="KE42" s="182"/>
      <c r="KF42" s="182"/>
      <c r="KG42" s="182"/>
      <c r="KH42" s="182"/>
      <c r="KI42" s="182"/>
      <c r="KJ42" s="180"/>
      <c r="KK42" s="180"/>
      <c r="KL42" s="180"/>
      <c r="KM42" s="180"/>
      <c r="KN42" s="182"/>
      <c r="KO42" s="180"/>
      <c r="KP42" s="180"/>
      <c r="KQ42" s="180"/>
      <c r="KR42" s="180"/>
      <c r="KS42" s="180"/>
      <c r="KT42" s="180"/>
      <c r="KU42" s="180"/>
      <c r="KV42" s="180"/>
      <c r="KW42" s="180"/>
      <c r="KX42" s="180"/>
      <c r="KY42" s="183"/>
      <c r="KZ42" s="180"/>
      <c r="LA42" s="179"/>
      <c r="LB42" s="182"/>
      <c r="LC42" s="182"/>
      <c r="LD42" s="179"/>
      <c r="LE42" s="182"/>
      <c r="LF42" s="180"/>
      <c r="LG42" s="180"/>
      <c r="LH42" s="180"/>
      <c r="LI42" s="182"/>
      <c r="LJ42" s="182"/>
      <c r="LK42" s="182"/>
      <c r="LL42" s="180"/>
      <c r="LM42" s="180"/>
      <c r="LN42" s="180"/>
      <c r="LO42" s="180"/>
      <c r="LP42" s="180"/>
      <c r="LQ42" s="180"/>
      <c r="LR42" s="180"/>
      <c r="LS42" s="180"/>
      <c r="LT42" s="180"/>
      <c r="LU42" s="180"/>
      <c r="LV42" s="180"/>
      <c r="LW42" s="180"/>
      <c r="LX42" s="182"/>
      <c r="LY42" s="182"/>
      <c r="LZ42" s="180"/>
      <c r="MA42" s="180"/>
      <c r="MB42" s="186"/>
      <c r="MC42" s="183"/>
      <c r="MD42" s="180"/>
      <c r="ME42" s="180"/>
      <c r="MF42" s="180"/>
      <c r="MG42" s="180"/>
      <c r="MH42" s="180"/>
      <c r="MI42" s="182"/>
      <c r="MJ42" s="182"/>
      <c r="MK42" s="182"/>
      <c r="ML42" s="182"/>
      <c r="MM42" s="180"/>
      <c r="MN42" s="180"/>
      <c r="MO42" s="180"/>
      <c r="MP42" s="180"/>
      <c r="MQ42" s="182"/>
      <c r="MR42" s="246"/>
      <c r="MS42" s="180"/>
      <c r="MT42" s="180"/>
      <c r="MU42" s="182"/>
      <c r="MV42" s="180"/>
      <c r="MW42" s="180"/>
      <c r="MX42" s="180"/>
      <c r="MY42" s="180"/>
      <c r="MZ42" s="180"/>
      <c r="NA42" s="180"/>
      <c r="NB42" s="180"/>
      <c r="NC42" s="180"/>
      <c r="ND42" s="180"/>
      <c r="NE42" s="179"/>
      <c r="NF42" s="180"/>
      <c r="NG42" s="180"/>
    </row>
    <row r="43">
      <c r="A43" s="175">
        <v>11.0</v>
      </c>
      <c r="B43" s="176" t="s">
        <v>203</v>
      </c>
      <c r="C43" s="116"/>
      <c r="D43" s="116"/>
      <c r="E43" s="117"/>
      <c r="F43" s="243" t="str">
        <f>SUMPRODUCT(IF(('▧ 26년 휴가대장'!$G43:$NG43&lt;&gt;"") * (('▧ 26년 휴가대장'!$G43:$NG43="전") + ('▧ 26년 휴가대장'!$G43:$NG43="후")), 0.5, IF('▧ 26년 휴가대장'!$G43:$NG43="반", 0.25, IF('▧ 26년 휴가대장'!$G43:$NG43="휴", 1, 0)))) &amp; " 일"</f>
        <v>0 일</v>
      </c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9"/>
      <c r="T43" s="178"/>
      <c r="U43" s="178"/>
      <c r="V43" s="179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81"/>
      <c r="AM43" s="178"/>
      <c r="AN43" s="178"/>
      <c r="AO43" s="178"/>
      <c r="AP43" s="178"/>
      <c r="AQ43" s="178"/>
      <c r="AR43" s="178"/>
      <c r="AS43" s="178"/>
      <c r="AT43" s="178"/>
      <c r="AU43" s="179"/>
      <c r="AV43" s="178"/>
      <c r="AW43" s="178"/>
      <c r="AX43" s="179"/>
      <c r="AY43" s="178"/>
      <c r="AZ43" s="178"/>
      <c r="BA43" s="178"/>
      <c r="BB43" s="178"/>
      <c r="BC43" s="178"/>
      <c r="BD43" s="178"/>
      <c r="BE43" s="178"/>
      <c r="BF43" s="178"/>
      <c r="BG43" s="178"/>
      <c r="BH43" s="179"/>
      <c r="BI43" s="178"/>
      <c r="BJ43" s="178"/>
      <c r="BK43" s="178"/>
      <c r="BL43" s="178"/>
      <c r="BM43" s="178"/>
      <c r="BN43" s="181"/>
      <c r="BO43" s="184"/>
      <c r="BP43" s="180"/>
      <c r="BQ43" s="180"/>
      <c r="BR43" s="180"/>
      <c r="BS43" s="180"/>
      <c r="BT43" s="180"/>
      <c r="BU43" s="180"/>
      <c r="BV43" s="180"/>
      <c r="BW43" s="180"/>
      <c r="BX43" s="182"/>
      <c r="BY43" s="180"/>
      <c r="BZ43" s="182"/>
      <c r="CA43" s="182"/>
      <c r="CB43" s="180"/>
      <c r="CC43" s="180"/>
      <c r="CD43" s="180"/>
      <c r="CE43" s="180"/>
      <c r="CF43" s="180"/>
      <c r="CG43" s="180"/>
      <c r="CH43" s="180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  <c r="CS43" s="183"/>
      <c r="CT43" s="180"/>
      <c r="CU43" s="180"/>
      <c r="CV43" s="180"/>
      <c r="CW43" s="180"/>
      <c r="CX43" s="182"/>
      <c r="CY43" s="180"/>
      <c r="CZ43" s="180"/>
      <c r="DA43" s="180"/>
      <c r="DB43" s="180"/>
      <c r="DC43" s="180"/>
      <c r="DD43" s="184"/>
      <c r="DE43" s="180"/>
      <c r="DF43" s="179"/>
      <c r="DG43" s="180"/>
      <c r="DH43" s="180"/>
      <c r="DI43" s="180"/>
      <c r="DJ43" s="180"/>
      <c r="DK43" s="180"/>
      <c r="DL43" s="180"/>
      <c r="DM43" s="180"/>
      <c r="DN43" s="182"/>
      <c r="DO43" s="180"/>
      <c r="DP43" s="180"/>
      <c r="DQ43" s="180"/>
      <c r="DR43" s="180"/>
      <c r="DS43" s="180"/>
      <c r="DT43" s="182"/>
      <c r="DU43" s="182"/>
      <c r="DV43" s="180"/>
      <c r="DW43" s="183"/>
      <c r="DX43" s="182"/>
      <c r="DY43" s="180"/>
      <c r="DZ43" s="182"/>
      <c r="EA43" s="180"/>
      <c r="EB43" s="182"/>
      <c r="EC43" s="182"/>
      <c r="ED43" s="182"/>
      <c r="EE43" s="184"/>
      <c r="EF43" s="184"/>
      <c r="EG43" s="184"/>
      <c r="EH43" s="180"/>
      <c r="EI43" s="180"/>
      <c r="EJ43" s="180"/>
      <c r="EK43" s="180"/>
      <c r="EL43" s="180"/>
      <c r="EM43" s="180"/>
      <c r="EN43" s="180"/>
      <c r="EO43" s="179"/>
      <c r="EP43" s="180"/>
      <c r="EQ43" s="180"/>
      <c r="ER43" s="180"/>
      <c r="ES43" s="180"/>
      <c r="ET43" s="180"/>
      <c r="EU43" s="180"/>
      <c r="EV43" s="180"/>
      <c r="EW43" s="180"/>
      <c r="EX43" s="180"/>
      <c r="EY43" s="180"/>
      <c r="EZ43" s="180"/>
      <c r="FA43" s="180"/>
      <c r="FB43" s="183"/>
      <c r="FC43" s="182"/>
      <c r="FD43" s="180"/>
      <c r="FE43" s="184"/>
      <c r="FF43" s="184"/>
      <c r="FG43" s="180"/>
      <c r="FH43" s="180"/>
      <c r="FI43" s="182"/>
      <c r="FJ43" s="179"/>
      <c r="FK43" s="180"/>
      <c r="FL43" s="180"/>
      <c r="FM43" s="180"/>
      <c r="FN43" s="180"/>
      <c r="FO43" s="180"/>
      <c r="FP43" s="182"/>
      <c r="FQ43" s="180"/>
      <c r="FR43" s="180"/>
      <c r="FS43" s="182"/>
      <c r="FT43" s="180"/>
      <c r="FU43" s="180"/>
      <c r="FV43" s="180"/>
      <c r="FW43" s="182"/>
      <c r="FX43" s="180"/>
      <c r="FY43" s="180"/>
      <c r="FZ43" s="180"/>
      <c r="GA43" s="180"/>
      <c r="GB43" s="180"/>
      <c r="GC43" s="180"/>
      <c r="GD43" s="180"/>
      <c r="GE43" s="180"/>
      <c r="GF43" s="183"/>
      <c r="GG43" s="180"/>
      <c r="GH43" s="180"/>
      <c r="GI43" s="180"/>
      <c r="GJ43" s="180"/>
      <c r="GK43" s="180"/>
      <c r="GL43" s="179"/>
      <c r="GM43" s="180"/>
      <c r="GN43" s="180"/>
      <c r="GO43" s="182"/>
      <c r="GP43" s="180"/>
      <c r="GQ43" s="180"/>
      <c r="GR43" s="180"/>
      <c r="GS43" s="180"/>
      <c r="GT43" s="182"/>
      <c r="GU43" s="180"/>
      <c r="GV43" s="180"/>
      <c r="GW43" s="180"/>
      <c r="GX43" s="180"/>
      <c r="GY43" s="180"/>
      <c r="GZ43" s="180"/>
      <c r="HA43" s="180"/>
      <c r="HB43" s="180"/>
      <c r="HC43" s="180"/>
      <c r="HD43" s="180"/>
      <c r="HE43" s="180"/>
      <c r="HF43" s="180"/>
      <c r="HG43" s="180"/>
      <c r="HH43" s="180"/>
      <c r="HI43" s="180"/>
      <c r="HJ43" s="180"/>
      <c r="HK43" s="185"/>
      <c r="HL43" s="180"/>
      <c r="HM43" s="182"/>
      <c r="HN43" s="180"/>
      <c r="HO43" s="182"/>
      <c r="HP43" s="180"/>
      <c r="HQ43" s="180"/>
      <c r="HR43" s="180"/>
      <c r="HS43" s="180"/>
      <c r="HT43" s="180"/>
      <c r="HU43" s="180"/>
      <c r="HV43" s="180"/>
      <c r="HW43" s="182"/>
      <c r="HX43" s="180"/>
      <c r="HY43" s="180"/>
      <c r="HZ43" s="180"/>
      <c r="IA43" s="180"/>
      <c r="IB43" s="180"/>
      <c r="IC43" s="180"/>
      <c r="ID43" s="180"/>
      <c r="IE43" s="180"/>
      <c r="IF43" s="180"/>
      <c r="IG43" s="180"/>
      <c r="IH43" s="180"/>
      <c r="II43" s="182"/>
      <c r="IJ43" s="180"/>
      <c r="IK43" s="180"/>
      <c r="IL43" s="182"/>
      <c r="IM43" s="180"/>
      <c r="IN43" s="180"/>
      <c r="IO43" s="186"/>
      <c r="IP43" s="185"/>
      <c r="IQ43" s="180"/>
      <c r="IR43" s="180"/>
      <c r="IS43" s="182"/>
      <c r="IT43" s="180"/>
      <c r="IU43" s="182"/>
      <c r="IV43" s="179"/>
      <c r="IW43" s="179"/>
      <c r="IX43" s="180"/>
      <c r="IY43" s="180"/>
      <c r="IZ43" s="208"/>
      <c r="JA43" s="180"/>
      <c r="JB43" s="182"/>
      <c r="JC43" s="180"/>
      <c r="JD43" s="180"/>
      <c r="JE43" s="179"/>
      <c r="JF43" s="180"/>
      <c r="JG43" s="180"/>
      <c r="JH43" s="180"/>
      <c r="JI43" s="180"/>
      <c r="JJ43" s="180"/>
      <c r="JK43" s="180"/>
      <c r="JL43" s="180"/>
      <c r="JM43" s="180"/>
      <c r="JN43" s="180"/>
      <c r="JO43" s="180"/>
      <c r="JP43" s="180"/>
      <c r="JQ43" s="180"/>
      <c r="JR43" s="180"/>
      <c r="JS43" s="182"/>
      <c r="JT43" s="183"/>
      <c r="JU43" s="180"/>
      <c r="JV43" s="180"/>
      <c r="JW43" s="180"/>
      <c r="JX43" s="180"/>
      <c r="JY43" s="180"/>
      <c r="JZ43" s="180"/>
      <c r="KA43" s="182"/>
      <c r="KB43" s="182"/>
      <c r="KC43" s="180"/>
      <c r="KD43" s="180"/>
      <c r="KE43" s="180"/>
      <c r="KF43" s="180"/>
      <c r="KG43" s="182"/>
      <c r="KH43" s="180"/>
      <c r="KI43" s="179"/>
      <c r="KJ43" s="180"/>
      <c r="KK43" s="180"/>
      <c r="KL43" s="182"/>
      <c r="KM43" s="180"/>
      <c r="KN43" s="180"/>
      <c r="KO43" s="180"/>
      <c r="KP43" s="180"/>
      <c r="KQ43" s="180"/>
      <c r="KR43" s="180"/>
      <c r="KS43" s="182"/>
      <c r="KT43" s="180"/>
      <c r="KU43" s="180"/>
      <c r="KV43" s="180"/>
      <c r="KW43" s="180"/>
      <c r="KX43" s="180"/>
      <c r="KY43" s="185"/>
      <c r="KZ43" s="182"/>
      <c r="LA43" s="179"/>
      <c r="LB43" s="180"/>
      <c r="LC43" s="180"/>
      <c r="LD43" s="180"/>
      <c r="LE43" s="180"/>
      <c r="LF43" s="180"/>
      <c r="LG43" s="182"/>
      <c r="LH43" s="182"/>
      <c r="LI43" s="182"/>
      <c r="LJ43" s="182"/>
      <c r="LK43" s="180"/>
      <c r="LL43" s="180"/>
      <c r="LM43" s="182"/>
      <c r="LN43" s="182"/>
      <c r="LO43" s="182"/>
      <c r="LP43" s="182"/>
      <c r="LQ43" s="182"/>
      <c r="LR43" s="182"/>
      <c r="LS43" s="180"/>
      <c r="LT43" s="180"/>
      <c r="LU43" s="180"/>
      <c r="LV43" s="180"/>
      <c r="LW43" s="180"/>
      <c r="LX43" s="182"/>
      <c r="LZ43" s="180"/>
      <c r="MA43" s="180"/>
      <c r="MB43" s="240"/>
      <c r="MC43" s="183"/>
      <c r="MD43" s="180"/>
      <c r="ME43" s="180"/>
      <c r="MG43" s="180"/>
      <c r="MH43" s="180"/>
      <c r="MI43" s="180"/>
      <c r="MJ43" s="179"/>
      <c r="MK43" s="179"/>
      <c r="ML43" s="179"/>
      <c r="MM43" s="179"/>
      <c r="MN43" s="180"/>
      <c r="MO43" s="180"/>
      <c r="MP43" s="180"/>
      <c r="MQ43" s="180"/>
      <c r="MR43" s="180"/>
      <c r="MS43" s="180"/>
      <c r="MT43" s="182"/>
      <c r="MU43" s="180"/>
      <c r="MV43" s="180"/>
      <c r="MW43" s="179"/>
      <c r="MX43" s="179"/>
      <c r="MY43" s="180"/>
      <c r="MZ43" s="182"/>
      <c r="NA43" s="180"/>
      <c r="NB43" s="180"/>
      <c r="NC43" s="180"/>
      <c r="ND43" s="182"/>
      <c r="NE43" s="180"/>
      <c r="NF43" s="182"/>
      <c r="NG43" s="182"/>
    </row>
    <row r="44">
      <c r="A44" s="175">
        <v>12.0</v>
      </c>
      <c r="B44" s="176" t="s">
        <v>205</v>
      </c>
      <c r="C44" s="116"/>
      <c r="D44" s="116"/>
      <c r="E44" s="117"/>
      <c r="F44" s="243" t="str">
        <f>SUMPRODUCT(IF(('▧ 26년 휴가대장'!$G44:$NG44&lt;&gt;"") * (('▧ 26년 휴가대장'!$G44:$NG44="전") + ('▧ 26년 휴가대장'!$G44:$NG44="후")), 0.5, IF('▧ 26년 휴가대장'!$G44:$NG44="반", 0.25, IF('▧ 26년 휴가대장'!$G44:$NG44="휴", 1, 0)))) &amp; " 일"</f>
        <v>0 일</v>
      </c>
      <c r="G44" s="178"/>
      <c r="H44" s="178"/>
      <c r="I44" s="178"/>
      <c r="J44" s="178"/>
      <c r="K44" s="178"/>
      <c r="L44" s="179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9"/>
      <c r="AA44" s="178"/>
      <c r="AB44" s="178"/>
      <c r="AC44" s="178"/>
      <c r="AD44" s="178"/>
      <c r="AE44" s="184"/>
      <c r="AF44" s="178"/>
      <c r="AG44" s="178"/>
      <c r="AH44" s="178"/>
      <c r="AI44" s="178"/>
      <c r="AJ44" s="178"/>
      <c r="AK44" s="178"/>
      <c r="AL44" s="181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9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9"/>
      <c r="BJ44" s="178"/>
      <c r="BK44" s="178"/>
      <c r="BL44" s="178"/>
      <c r="BM44" s="182"/>
      <c r="BN44" s="183"/>
      <c r="BO44" s="180"/>
      <c r="BP44" s="180"/>
      <c r="BQ44" s="180"/>
      <c r="BR44" s="180"/>
      <c r="BS44" s="182"/>
      <c r="BT44" s="180"/>
      <c r="BU44" s="180"/>
      <c r="BV44" s="180"/>
      <c r="BW44" s="180"/>
      <c r="BX44" s="180"/>
      <c r="BY44" s="180"/>
      <c r="BZ44" s="180"/>
      <c r="CA44" s="182"/>
      <c r="CB44" s="180"/>
      <c r="CC44" s="180"/>
      <c r="CD44" s="179"/>
      <c r="CE44" s="184"/>
      <c r="CF44" s="180"/>
      <c r="CG44" s="180"/>
      <c r="CH44" s="180"/>
      <c r="CI44" s="180"/>
      <c r="CJ44" s="180"/>
      <c r="CK44" s="247"/>
      <c r="CL44" s="180"/>
      <c r="CM44" s="247"/>
      <c r="CN44" s="182"/>
      <c r="CO44" s="182"/>
      <c r="CP44" s="180"/>
      <c r="CQ44" s="180"/>
      <c r="CR44" s="180"/>
      <c r="CS44" s="183"/>
      <c r="CT44" s="180"/>
      <c r="CU44" s="180"/>
      <c r="CV44" s="180"/>
      <c r="CW44" s="180"/>
      <c r="CX44" s="180"/>
      <c r="CY44" s="182"/>
      <c r="CZ44" s="180"/>
      <c r="DA44" s="180"/>
      <c r="DB44" s="182"/>
      <c r="DC44" s="182"/>
      <c r="DD44" s="180"/>
      <c r="DE44" s="180"/>
      <c r="DF44" s="180"/>
      <c r="DG44" s="180"/>
      <c r="DH44" s="180"/>
      <c r="DI44" s="180"/>
      <c r="DJ44" s="180"/>
      <c r="DK44" s="180"/>
      <c r="DL44" s="180"/>
      <c r="DM44" s="182"/>
      <c r="DN44" s="180"/>
      <c r="DO44" s="180"/>
      <c r="DP44" s="180"/>
      <c r="DQ44" s="179"/>
      <c r="DR44" s="180"/>
      <c r="DS44" s="180"/>
      <c r="DT44" s="180"/>
      <c r="DU44" s="180"/>
      <c r="DV44" s="180"/>
      <c r="DW44" s="183"/>
      <c r="DX44" s="182"/>
      <c r="DY44" s="180"/>
      <c r="DZ44" s="180"/>
      <c r="EA44" s="180"/>
      <c r="EB44" s="180"/>
      <c r="EC44" s="182"/>
      <c r="ED44" s="182"/>
      <c r="EE44" s="180"/>
      <c r="EF44" s="180"/>
      <c r="EG44" s="180"/>
      <c r="EH44" s="180"/>
      <c r="EI44" s="180"/>
      <c r="EJ44" s="180"/>
      <c r="EK44" s="180"/>
      <c r="EL44" s="180"/>
      <c r="EM44" s="180"/>
      <c r="EN44" s="180"/>
      <c r="EO44" s="180"/>
      <c r="EP44" s="184"/>
      <c r="EQ44" s="184"/>
      <c r="ER44" s="180"/>
      <c r="ES44" s="179"/>
      <c r="ET44" s="180"/>
      <c r="EU44" s="180"/>
      <c r="EV44" s="180"/>
      <c r="EW44" s="184"/>
      <c r="EX44" s="180"/>
      <c r="EY44" s="182"/>
      <c r="EZ44" s="180"/>
      <c r="FA44" s="180"/>
      <c r="FB44" s="183"/>
      <c r="FC44" s="180"/>
      <c r="FD44" s="180"/>
      <c r="FE44" s="180"/>
      <c r="FF44" s="180"/>
      <c r="FG44" s="180"/>
      <c r="FH44" s="180"/>
      <c r="FI44" s="180"/>
      <c r="FJ44" s="180"/>
      <c r="FK44" s="180"/>
      <c r="FL44" s="182"/>
      <c r="FM44" s="180"/>
      <c r="FN44" s="180"/>
      <c r="FO44" s="180"/>
      <c r="FP44" s="180"/>
      <c r="FQ44" s="180"/>
      <c r="FR44" s="180"/>
      <c r="FS44" s="180"/>
      <c r="FT44" s="180"/>
      <c r="FU44" s="180"/>
      <c r="FV44" s="180"/>
      <c r="FW44" s="180"/>
      <c r="FX44" s="182"/>
      <c r="FY44" s="180"/>
      <c r="FZ44" s="180"/>
      <c r="GA44" s="180"/>
      <c r="GB44" s="179"/>
      <c r="GC44" s="180"/>
      <c r="GD44" s="180"/>
      <c r="GE44" s="180"/>
      <c r="GF44" s="183"/>
      <c r="GG44" s="180"/>
      <c r="GH44" s="180"/>
      <c r="GI44" s="182"/>
      <c r="GJ44" s="180"/>
      <c r="GK44" s="180"/>
      <c r="GL44" s="180"/>
      <c r="GM44" s="180"/>
      <c r="GN44" s="180"/>
      <c r="GO44" s="180"/>
      <c r="GP44" s="180"/>
      <c r="GQ44" s="180"/>
      <c r="GR44" s="182"/>
      <c r="GS44" s="180"/>
      <c r="GT44" s="180"/>
      <c r="GU44" s="179"/>
      <c r="GV44" s="180"/>
      <c r="GW44" s="180"/>
      <c r="GX44" s="180"/>
      <c r="GY44" s="180"/>
      <c r="GZ44" s="180"/>
      <c r="HA44" s="180"/>
      <c r="HB44" s="182"/>
      <c r="HC44" s="182"/>
      <c r="HD44" s="179"/>
      <c r="HE44" s="180"/>
      <c r="HF44" s="180"/>
      <c r="HG44" s="180"/>
      <c r="HH44" s="179"/>
      <c r="HI44" s="180"/>
      <c r="HJ44" s="179"/>
      <c r="HK44" s="183"/>
      <c r="HL44" s="180"/>
      <c r="HM44" s="180"/>
      <c r="HN44" s="180"/>
      <c r="HO44" s="180"/>
      <c r="HP44" s="180"/>
      <c r="HQ44" s="180"/>
      <c r="HR44" s="182"/>
      <c r="HS44" s="180"/>
      <c r="HT44" s="180"/>
      <c r="HU44" s="182"/>
      <c r="HV44" s="180"/>
      <c r="HW44" s="180"/>
      <c r="HX44" s="180"/>
      <c r="HY44" s="182"/>
      <c r="HZ44" s="180"/>
      <c r="IA44" s="182"/>
      <c r="IB44" s="182"/>
      <c r="IC44" s="182"/>
      <c r="ID44" s="180"/>
      <c r="IE44" s="180"/>
      <c r="IF44" s="180"/>
      <c r="IG44" s="180"/>
      <c r="IH44" s="180"/>
      <c r="II44" s="180"/>
      <c r="IJ44" s="180"/>
      <c r="IK44" s="180"/>
      <c r="IL44" s="180"/>
      <c r="IM44" s="180"/>
      <c r="IN44" s="180"/>
      <c r="IO44" s="186"/>
      <c r="IP44" s="183"/>
      <c r="IQ44" s="179"/>
      <c r="IR44" s="179"/>
      <c r="IS44" s="179"/>
      <c r="IT44" s="179"/>
      <c r="IU44" s="180"/>
      <c r="IV44" s="180"/>
      <c r="IW44" s="180"/>
      <c r="IX44" s="180"/>
      <c r="IY44" s="180"/>
      <c r="IZ44" s="180"/>
      <c r="JA44" s="180"/>
      <c r="JB44" s="180"/>
      <c r="JC44" s="180"/>
      <c r="JD44" s="180"/>
      <c r="JE44" s="180"/>
      <c r="JF44" s="180"/>
      <c r="JG44" s="180"/>
      <c r="JH44" s="180"/>
      <c r="JI44" s="180"/>
      <c r="JJ44" s="180"/>
      <c r="JK44" s="180"/>
      <c r="JL44" s="182"/>
      <c r="JM44" s="180"/>
      <c r="JN44" s="182"/>
      <c r="JO44" s="180"/>
      <c r="JP44" s="180"/>
      <c r="JQ44" s="180"/>
      <c r="JR44" s="180"/>
      <c r="JS44" s="182"/>
      <c r="JT44" s="183"/>
      <c r="JU44" s="182"/>
      <c r="JV44" s="180"/>
      <c r="JW44" s="180"/>
      <c r="JX44" s="180"/>
      <c r="JY44" s="180"/>
      <c r="JZ44" s="179"/>
      <c r="KA44" s="182"/>
      <c r="KB44" s="182"/>
      <c r="KC44" s="180"/>
      <c r="KD44" s="180"/>
      <c r="KE44" s="182"/>
      <c r="KF44" s="182"/>
      <c r="KG44" s="182"/>
      <c r="KH44" s="182"/>
      <c r="KI44" s="182"/>
      <c r="KJ44" s="180"/>
      <c r="KK44" s="180"/>
      <c r="KL44" s="180"/>
      <c r="KM44" s="180"/>
      <c r="KN44" s="182"/>
      <c r="KO44" s="180"/>
      <c r="KP44" s="182"/>
      <c r="KQ44" s="180"/>
      <c r="KR44" s="180"/>
      <c r="KS44" s="180"/>
      <c r="KT44" s="180"/>
      <c r="KU44" s="180"/>
      <c r="KV44" s="180"/>
      <c r="KW44" s="180"/>
      <c r="KX44" s="180"/>
      <c r="KY44" s="183"/>
      <c r="KZ44" s="180"/>
      <c r="LA44" s="179"/>
      <c r="LB44" s="182"/>
      <c r="LC44" s="182"/>
      <c r="LD44" s="179"/>
      <c r="LE44" s="182"/>
      <c r="LF44" s="180"/>
      <c r="LG44" s="180"/>
      <c r="LH44" s="180"/>
      <c r="LI44" s="182"/>
      <c r="LJ44" s="182"/>
      <c r="LK44" s="180"/>
      <c r="LL44" s="180"/>
      <c r="LM44" s="180"/>
      <c r="LN44" s="180"/>
      <c r="LO44" s="182"/>
      <c r="LP44" s="180"/>
      <c r="LQ44" s="182"/>
      <c r="LR44" s="180"/>
      <c r="LS44" s="180"/>
      <c r="LT44" s="180"/>
      <c r="LU44" s="180"/>
      <c r="LV44" s="182"/>
      <c r="LW44" s="180"/>
      <c r="LX44" s="182"/>
      <c r="LY44" s="182"/>
      <c r="LZ44" s="180"/>
      <c r="MA44" s="180"/>
      <c r="MB44" s="186"/>
      <c r="MC44" s="183"/>
      <c r="MD44" s="180"/>
      <c r="ME44" s="180"/>
      <c r="MF44" s="180"/>
      <c r="MG44" s="182"/>
      <c r="MH44" s="180"/>
      <c r="MI44" s="182"/>
      <c r="MJ44" s="182"/>
      <c r="MK44" s="182"/>
      <c r="ML44" s="182"/>
      <c r="MM44" s="180"/>
      <c r="MN44" s="180"/>
      <c r="MO44" s="180"/>
      <c r="MP44" s="180"/>
      <c r="MQ44" s="182"/>
      <c r="MR44" s="180"/>
      <c r="MS44" s="180"/>
      <c r="MT44" s="180"/>
      <c r="MU44" s="182"/>
      <c r="MV44" s="180"/>
      <c r="MW44" s="180"/>
      <c r="MX44" s="182"/>
      <c r="MY44" s="180"/>
      <c r="MZ44" s="180"/>
      <c r="NA44" s="180"/>
      <c r="NB44" s="180"/>
      <c r="NC44" s="180"/>
      <c r="ND44" s="180"/>
      <c r="NE44" s="179"/>
      <c r="NF44" s="180"/>
      <c r="NG44" s="180"/>
    </row>
    <row r="45">
      <c r="A45" s="175">
        <v>13.0</v>
      </c>
      <c r="B45" s="176" t="s">
        <v>206</v>
      </c>
      <c r="C45" s="116"/>
      <c r="D45" s="116"/>
      <c r="E45" s="117"/>
      <c r="F45" s="243" t="str">
        <f>SUMPRODUCT(IF(('▧ 26년 휴가대장'!$G45:$NG45&lt;&gt;"") * (('▧ 26년 휴가대장'!$G45:$NG45="전") + ('▧ 26년 휴가대장'!$G45:$NG45="후")), 0.5, IF('▧ 26년 휴가대장'!$G45:$NG45="반", 0.25, IF('▧ 26년 휴가대장'!$G45:$NG45="휴", 1, 0)))) &amp; " 일"</f>
        <v>0 일</v>
      </c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9"/>
      <c r="S45" s="179"/>
      <c r="T45" s="178"/>
      <c r="U45" s="178"/>
      <c r="V45" s="179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9"/>
      <c r="AL45" s="181"/>
      <c r="AM45" s="178"/>
      <c r="AN45" s="178"/>
      <c r="AO45" s="178"/>
      <c r="AP45" s="178"/>
      <c r="AQ45" s="179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8"/>
      <c r="BF45" s="178"/>
      <c r="BG45" s="178"/>
      <c r="BH45" s="179"/>
      <c r="BI45" s="178"/>
      <c r="BJ45" s="178"/>
      <c r="BK45" s="178"/>
      <c r="BL45" s="178"/>
      <c r="BM45" s="178"/>
      <c r="BN45" s="181"/>
      <c r="BO45" s="184"/>
      <c r="BP45" s="180"/>
      <c r="BQ45" s="180"/>
      <c r="BR45" s="180"/>
      <c r="BS45" s="180"/>
      <c r="BT45" s="182"/>
      <c r="BU45" s="180"/>
      <c r="BV45" s="180"/>
      <c r="BW45" s="180"/>
      <c r="BX45" s="182"/>
      <c r="BY45" s="180"/>
      <c r="BZ45" s="182"/>
      <c r="CA45" s="180"/>
      <c r="CB45" s="180"/>
      <c r="CC45" s="182"/>
      <c r="CD45" s="180"/>
      <c r="CE45" s="180"/>
      <c r="CF45" s="180"/>
      <c r="CG45" s="180"/>
      <c r="CH45" s="182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  <c r="CS45" s="183"/>
      <c r="CT45" s="180"/>
      <c r="CU45" s="180"/>
      <c r="CV45" s="180"/>
      <c r="CW45" s="180"/>
      <c r="CX45" s="180"/>
      <c r="CY45" s="180"/>
      <c r="CZ45" s="180"/>
      <c r="DA45" s="180"/>
      <c r="DB45" s="180"/>
      <c r="DC45" s="180"/>
      <c r="DD45" s="182"/>
      <c r="DE45" s="180"/>
      <c r="DF45" s="179"/>
      <c r="DG45" s="180"/>
      <c r="DH45" s="180"/>
      <c r="DI45" s="180"/>
      <c r="DJ45" s="180"/>
      <c r="DK45" s="180"/>
      <c r="DL45" s="180"/>
      <c r="DM45" s="180"/>
      <c r="DN45" s="182"/>
      <c r="DO45" s="180"/>
      <c r="DP45" s="180"/>
      <c r="DQ45" s="180"/>
      <c r="DR45" s="180"/>
      <c r="DS45" s="180"/>
      <c r="DT45" s="182"/>
      <c r="DU45" s="180"/>
      <c r="DV45" s="182"/>
      <c r="DW45" s="183"/>
      <c r="DX45" s="180"/>
      <c r="DY45" s="180"/>
      <c r="DZ45" s="180"/>
      <c r="EA45" s="180"/>
      <c r="EB45" s="180"/>
      <c r="EC45" s="180"/>
      <c r="ED45" s="180"/>
      <c r="EE45" s="180"/>
      <c r="EF45" s="184"/>
      <c r="EG45" s="184"/>
      <c r="EH45" s="180"/>
      <c r="EI45" s="180"/>
      <c r="EJ45" s="180"/>
      <c r="EK45" s="180"/>
      <c r="EL45" s="180"/>
      <c r="EM45" s="180"/>
      <c r="EN45" s="180"/>
      <c r="EO45" s="179"/>
      <c r="EP45" s="180"/>
      <c r="EQ45" s="180"/>
      <c r="ER45" s="180"/>
      <c r="ES45" s="180"/>
      <c r="ET45" s="182"/>
      <c r="EU45" s="180"/>
      <c r="EV45" s="180"/>
      <c r="EW45" s="180"/>
      <c r="EX45" s="180"/>
      <c r="EY45" s="180"/>
      <c r="EZ45" s="180"/>
      <c r="FA45" s="180"/>
      <c r="FB45" s="183"/>
      <c r="FC45" s="180"/>
      <c r="FD45" s="180"/>
      <c r="FE45" s="184"/>
      <c r="FF45" s="184"/>
      <c r="FG45" s="180"/>
      <c r="FH45" s="180"/>
      <c r="FI45" s="182"/>
      <c r="FJ45" s="179"/>
      <c r="FK45" s="180"/>
      <c r="FL45" s="180"/>
      <c r="FM45" s="180"/>
      <c r="FN45" s="180"/>
      <c r="FO45" s="180"/>
      <c r="FP45" s="180"/>
      <c r="FQ45" s="180"/>
      <c r="FR45" s="180"/>
      <c r="FS45" s="182"/>
      <c r="FT45" s="180"/>
      <c r="FU45" s="180"/>
      <c r="FV45" s="180"/>
      <c r="FW45" s="180"/>
      <c r="FX45" s="180"/>
      <c r="FY45" s="180"/>
      <c r="FZ45" s="180"/>
      <c r="GA45" s="180"/>
      <c r="GB45" s="180"/>
      <c r="GC45" s="180"/>
      <c r="GD45" s="180"/>
      <c r="GE45" s="182"/>
      <c r="GF45" s="183"/>
      <c r="GG45" s="180"/>
      <c r="GH45" s="180"/>
      <c r="GI45" s="180"/>
      <c r="GJ45" s="180"/>
      <c r="GK45" s="182"/>
      <c r="GL45" s="179"/>
      <c r="GM45" s="180"/>
      <c r="GN45" s="180"/>
      <c r="GO45" s="182"/>
      <c r="GP45" s="182"/>
      <c r="GQ45" s="182"/>
      <c r="GR45" s="180"/>
      <c r="GS45" s="180"/>
      <c r="GT45" s="180"/>
      <c r="GU45" s="180"/>
      <c r="GV45" s="180"/>
      <c r="GW45" s="180"/>
      <c r="GX45" s="180"/>
      <c r="GY45" s="180"/>
      <c r="GZ45" s="180"/>
      <c r="HA45" s="182"/>
      <c r="HB45" s="180"/>
      <c r="HC45" s="180"/>
      <c r="HD45" s="180"/>
      <c r="HE45" s="180"/>
      <c r="HF45" s="180"/>
      <c r="HG45" s="180"/>
      <c r="HH45" s="180"/>
      <c r="HI45" s="180"/>
      <c r="HJ45" s="180"/>
      <c r="HK45" s="183"/>
      <c r="HL45" s="180"/>
      <c r="HM45" s="180"/>
      <c r="HN45" s="180"/>
      <c r="HO45" s="182"/>
      <c r="HP45" s="180"/>
      <c r="HQ45" s="180"/>
      <c r="HR45" s="180"/>
      <c r="HS45" s="180"/>
      <c r="HT45" s="180"/>
      <c r="HU45" s="180"/>
      <c r="HV45" s="180"/>
      <c r="HW45" s="180"/>
      <c r="HX45" s="180"/>
      <c r="HY45" s="182"/>
      <c r="HZ45" s="180"/>
      <c r="IA45" s="182"/>
      <c r="IB45" s="180"/>
      <c r="IC45" s="180"/>
      <c r="ID45" s="180"/>
      <c r="IE45" s="180"/>
      <c r="IF45" s="182"/>
      <c r="IG45" s="180"/>
      <c r="IH45" s="180"/>
      <c r="II45" s="182"/>
      <c r="IJ45" s="180"/>
      <c r="IK45" s="180"/>
      <c r="IL45" s="182"/>
      <c r="IM45" s="180"/>
      <c r="IN45" s="180"/>
      <c r="IO45" s="186"/>
      <c r="IP45" s="183"/>
      <c r="IQ45" s="180"/>
      <c r="IR45" s="180"/>
      <c r="IS45" s="182"/>
      <c r="IT45" s="180"/>
      <c r="IU45" s="182"/>
      <c r="IV45" s="180"/>
      <c r="IW45" s="180"/>
      <c r="IX45" s="182"/>
      <c r="IY45" s="180"/>
      <c r="IZ45" s="180"/>
      <c r="JA45" s="180"/>
      <c r="JB45" s="180"/>
      <c r="JC45" s="180"/>
      <c r="JD45" s="180"/>
      <c r="JE45" s="180"/>
      <c r="JF45" s="180"/>
      <c r="JG45" s="180"/>
      <c r="JH45" s="180"/>
      <c r="JI45" s="180"/>
      <c r="JJ45" s="180"/>
      <c r="JK45" s="180"/>
      <c r="JL45" s="180"/>
      <c r="JM45" s="180"/>
      <c r="JN45" s="180"/>
      <c r="JO45" s="180"/>
      <c r="JP45" s="180"/>
      <c r="JQ45" s="180"/>
      <c r="JR45" s="180"/>
      <c r="JS45" s="182"/>
      <c r="JT45" s="183"/>
      <c r="JU45" s="180"/>
      <c r="JV45" s="180"/>
      <c r="JW45" s="180"/>
      <c r="JX45" s="180"/>
      <c r="JY45" s="180"/>
      <c r="JZ45" s="180"/>
      <c r="KA45" s="180"/>
      <c r="KB45" s="180"/>
      <c r="KC45" s="182"/>
      <c r="KD45" s="180"/>
      <c r="KE45" s="182"/>
      <c r="KF45" s="182"/>
      <c r="KG45" s="180"/>
      <c r="KH45" s="180"/>
      <c r="KI45" s="180"/>
      <c r="KJ45" s="182"/>
      <c r="KK45" s="180"/>
      <c r="KL45" s="182"/>
      <c r="KM45" s="180"/>
      <c r="KN45" s="180"/>
      <c r="KO45" s="180"/>
      <c r="KP45" s="180"/>
      <c r="KQ45" s="180"/>
      <c r="KR45" s="180"/>
      <c r="KS45" s="182"/>
      <c r="KT45" s="180"/>
      <c r="KU45" s="180"/>
      <c r="KV45" s="180"/>
      <c r="KW45" s="180"/>
      <c r="KX45" s="180"/>
      <c r="KY45" s="185"/>
      <c r="KZ45" s="180"/>
      <c r="LA45" s="179"/>
      <c r="LB45" s="180"/>
      <c r="LC45" s="180"/>
      <c r="LD45" s="180"/>
      <c r="LE45" s="180"/>
      <c r="LF45" s="180"/>
      <c r="LG45" s="182"/>
      <c r="LH45" s="182"/>
      <c r="LI45" s="182"/>
      <c r="LJ45" s="182"/>
      <c r="LK45" s="180"/>
      <c r="LL45" s="180"/>
      <c r="LM45" s="182"/>
      <c r="LN45" s="182"/>
      <c r="LO45" s="182"/>
      <c r="LP45" s="182"/>
      <c r="LQ45" s="182"/>
      <c r="LR45" s="180"/>
      <c r="LS45" s="180"/>
      <c r="LT45" s="180"/>
      <c r="LU45" s="182"/>
      <c r="LV45" s="180"/>
      <c r="LW45" s="180"/>
      <c r="LX45" s="180"/>
      <c r="LY45" s="182"/>
      <c r="LZ45" s="182"/>
      <c r="MA45" s="180"/>
      <c r="MB45" s="186"/>
      <c r="MC45" s="183"/>
      <c r="MD45" s="180"/>
      <c r="ME45" s="180"/>
      <c r="MF45" s="180"/>
      <c r="MG45" s="180"/>
      <c r="MH45" s="180"/>
      <c r="MI45" s="180"/>
      <c r="MJ45" s="179"/>
      <c r="MK45" s="179"/>
      <c r="ML45" s="179"/>
      <c r="MM45" s="179"/>
      <c r="MN45" s="180"/>
      <c r="MO45" s="180"/>
      <c r="MP45" s="180"/>
      <c r="MQ45" s="180"/>
      <c r="MR45" s="180"/>
      <c r="MS45" s="180"/>
      <c r="MT45" s="180"/>
      <c r="MU45" s="180"/>
      <c r="MV45" s="180"/>
      <c r="MW45" s="179"/>
      <c r="MX45" s="179"/>
      <c r="MY45" s="182"/>
      <c r="MZ45" s="182"/>
      <c r="NA45" s="180"/>
      <c r="NB45" s="182"/>
      <c r="NC45" s="180"/>
      <c r="ND45" s="180"/>
      <c r="NE45" s="180"/>
      <c r="NF45" s="180"/>
      <c r="NG45" s="180"/>
    </row>
    <row r="46">
      <c r="A46" s="175">
        <v>14.0</v>
      </c>
      <c r="B46" s="252" t="s">
        <v>208</v>
      </c>
      <c r="C46" s="166"/>
      <c r="D46" s="166"/>
      <c r="E46" s="167"/>
      <c r="F46" s="243" t="str">
        <f>SUMPRODUCT(IF(('▧ 26년 휴가대장'!$G46:$NG46&lt;&gt;"") * (('▧ 26년 휴가대장'!$G46:$NG46="전") + ('▧ 26년 휴가대장'!$G46:$NG46="후")), 0.5, IF('▧ 26년 휴가대장'!$G46:$NG46="반", 0.25, IF('▧ 26년 휴가대장'!$G46:$NG46="휴", 1, 0)))) &amp; " 일"</f>
        <v>0 일</v>
      </c>
      <c r="G46" s="253"/>
      <c r="H46" s="254"/>
      <c r="I46" s="253"/>
      <c r="J46" s="253"/>
      <c r="K46" s="253"/>
      <c r="L46" s="253"/>
      <c r="M46" s="253"/>
      <c r="N46" s="253"/>
      <c r="O46" s="253"/>
      <c r="P46" s="253"/>
      <c r="Q46" s="253"/>
      <c r="R46" s="254"/>
      <c r="S46" s="253"/>
      <c r="T46" s="253"/>
      <c r="U46" s="253"/>
      <c r="V46" s="254"/>
      <c r="W46" s="254"/>
      <c r="X46" s="253"/>
      <c r="Y46" s="253"/>
      <c r="Z46" s="253"/>
      <c r="AA46" s="254"/>
      <c r="AB46" s="253"/>
      <c r="AC46" s="254"/>
      <c r="AD46" s="253"/>
      <c r="AE46" s="254"/>
      <c r="AF46" s="254"/>
      <c r="AG46" s="253"/>
      <c r="AH46" s="254"/>
      <c r="AI46" s="253"/>
      <c r="AJ46" s="253"/>
      <c r="AK46" s="179"/>
      <c r="AL46" s="255"/>
      <c r="AM46" s="253"/>
      <c r="AN46" s="254"/>
      <c r="AO46" s="254"/>
      <c r="AP46" s="253"/>
      <c r="AQ46" s="253"/>
      <c r="AR46" s="254"/>
      <c r="AS46" s="254"/>
      <c r="AT46" s="254"/>
      <c r="AU46" s="254"/>
      <c r="AV46" s="254"/>
      <c r="AW46" s="254"/>
      <c r="AX46" s="253"/>
      <c r="AY46" s="253"/>
      <c r="AZ46" s="253"/>
      <c r="BA46" s="253"/>
      <c r="BB46" s="253"/>
      <c r="BC46" s="254"/>
      <c r="BD46" s="253"/>
      <c r="BE46" s="253"/>
      <c r="BF46" s="254"/>
      <c r="BG46" s="253"/>
      <c r="BH46" s="254"/>
      <c r="BI46" s="253"/>
      <c r="BJ46" s="253"/>
      <c r="BK46" s="253"/>
      <c r="BL46" s="253"/>
      <c r="BM46" s="253"/>
      <c r="BN46" s="255"/>
      <c r="BO46" s="254"/>
      <c r="BP46" s="254"/>
      <c r="BQ46" s="254"/>
      <c r="BR46" s="253"/>
      <c r="BS46" s="253"/>
      <c r="BT46" s="254"/>
      <c r="BU46" s="254"/>
      <c r="BV46" s="253"/>
      <c r="BW46" s="254"/>
      <c r="BX46" s="254"/>
      <c r="BY46" s="253"/>
      <c r="BZ46" s="253"/>
      <c r="CA46" s="253"/>
      <c r="CB46" s="253"/>
      <c r="CC46" s="253"/>
      <c r="CD46" s="182"/>
      <c r="CE46" s="253"/>
      <c r="CF46" s="253"/>
      <c r="CG46" s="253"/>
      <c r="CH46" s="253"/>
      <c r="CI46" s="254"/>
      <c r="CJ46" s="253"/>
      <c r="CK46" s="253"/>
      <c r="CL46" s="254"/>
      <c r="CM46" s="253"/>
      <c r="CN46" s="253"/>
      <c r="CO46" s="253"/>
      <c r="CP46" s="254"/>
      <c r="CQ46" s="253"/>
      <c r="CR46" s="253"/>
      <c r="CS46" s="256"/>
      <c r="CT46" s="253"/>
      <c r="CU46" s="253"/>
      <c r="CV46" s="253"/>
      <c r="CW46" s="253"/>
      <c r="CX46" s="254"/>
      <c r="CY46" s="254"/>
      <c r="CZ46" s="253"/>
      <c r="DA46" s="253"/>
      <c r="DB46" s="253"/>
      <c r="DC46" s="253"/>
      <c r="DD46" s="253"/>
      <c r="DE46" s="253"/>
      <c r="DF46" s="253"/>
      <c r="DG46" s="253"/>
      <c r="DH46" s="253"/>
      <c r="DI46" s="253"/>
      <c r="DJ46" s="253"/>
      <c r="DK46" s="253"/>
      <c r="DL46" s="253"/>
      <c r="DM46" s="182"/>
      <c r="DN46" s="253"/>
      <c r="DO46" s="253"/>
      <c r="DP46" s="253"/>
      <c r="DQ46" s="253"/>
      <c r="DR46" s="253"/>
      <c r="DS46" s="254"/>
      <c r="DT46" s="254"/>
      <c r="DU46" s="182"/>
      <c r="DV46" s="253"/>
      <c r="DW46" s="255"/>
      <c r="DX46" s="253"/>
      <c r="DY46" s="254"/>
      <c r="DZ46" s="253"/>
      <c r="EA46" s="253"/>
      <c r="EB46" s="253"/>
      <c r="EC46" s="253"/>
      <c r="ED46" s="253"/>
      <c r="EE46" s="253"/>
      <c r="EF46" s="253"/>
      <c r="EG46" s="253"/>
      <c r="EH46" s="253"/>
      <c r="EI46" s="253"/>
      <c r="EJ46" s="254"/>
      <c r="EK46" s="253"/>
      <c r="EL46" s="254"/>
      <c r="EM46" s="253"/>
      <c r="EN46" s="254"/>
      <c r="EO46" s="253"/>
      <c r="EP46" s="253"/>
      <c r="EQ46" s="253"/>
      <c r="ER46" s="253"/>
      <c r="ES46" s="253"/>
      <c r="ET46" s="253"/>
      <c r="EU46" s="253"/>
      <c r="EV46" s="253"/>
      <c r="EW46" s="253"/>
      <c r="EX46" s="253"/>
      <c r="EY46" s="253"/>
      <c r="EZ46" s="254"/>
      <c r="FA46" s="253"/>
      <c r="FB46" s="256"/>
      <c r="FC46" s="253"/>
      <c r="FD46" s="253"/>
      <c r="FE46" s="182"/>
      <c r="FF46" s="253"/>
      <c r="FG46" s="253"/>
      <c r="FH46" s="254"/>
      <c r="FI46" s="253"/>
      <c r="FJ46" s="253"/>
      <c r="FK46" s="253"/>
      <c r="FL46" s="253"/>
      <c r="FM46" s="253"/>
      <c r="FN46" s="253"/>
      <c r="FO46" s="253"/>
      <c r="FP46" s="253"/>
      <c r="FQ46" s="253"/>
      <c r="FR46" s="253"/>
      <c r="FS46" s="253"/>
      <c r="FT46" s="253"/>
      <c r="FU46" s="253"/>
      <c r="FV46" s="253"/>
      <c r="FW46" s="253"/>
      <c r="FX46" s="253"/>
      <c r="FY46" s="253"/>
      <c r="FZ46" s="254"/>
      <c r="GA46" s="254"/>
      <c r="GB46" s="253"/>
      <c r="GC46" s="253"/>
      <c r="GD46" s="254"/>
      <c r="GE46" s="253"/>
      <c r="GF46" s="256"/>
      <c r="GG46" s="253"/>
      <c r="GH46" s="253"/>
      <c r="GI46" s="253"/>
      <c r="GJ46" s="253"/>
      <c r="GK46" s="253"/>
      <c r="GL46" s="253"/>
      <c r="GM46" s="253"/>
      <c r="GN46" s="253"/>
      <c r="GO46" s="253"/>
      <c r="GP46" s="253"/>
      <c r="GQ46" s="253"/>
      <c r="GR46" s="253"/>
      <c r="GS46" s="253"/>
      <c r="GT46" s="91"/>
      <c r="GU46" s="257"/>
      <c r="GV46" s="253"/>
      <c r="GW46" s="254"/>
      <c r="GX46" s="254"/>
      <c r="GY46" s="254"/>
      <c r="GZ46" s="254"/>
      <c r="HA46" s="253"/>
      <c r="HB46" s="257"/>
      <c r="HC46" s="257"/>
      <c r="HD46" s="253"/>
      <c r="HE46" s="253"/>
      <c r="HF46" s="253"/>
      <c r="HG46" s="253"/>
      <c r="HH46" s="253"/>
      <c r="HI46" s="253"/>
      <c r="HJ46" s="253"/>
      <c r="HK46" s="256"/>
      <c r="HL46" s="253"/>
      <c r="HM46" s="253"/>
      <c r="HN46" s="253"/>
      <c r="HO46" s="253"/>
      <c r="HP46" s="253"/>
      <c r="HQ46" s="253"/>
      <c r="HR46" s="253"/>
      <c r="HS46" s="253"/>
      <c r="HT46" s="254"/>
      <c r="HU46" s="253"/>
      <c r="HV46" s="253"/>
      <c r="HW46" s="253"/>
      <c r="HX46" s="253"/>
      <c r="HY46" s="253"/>
      <c r="HZ46" s="253"/>
      <c r="IA46" s="253"/>
      <c r="IB46" s="254"/>
      <c r="IC46" s="254"/>
      <c r="ID46" s="253"/>
      <c r="IE46" s="253"/>
      <c r="IF46" s="253"/>
      <c r="IG46" s="253"/>
      <c r="IH46" s="253"/>
      <c r="II46" s="253"/>
      <c r="IJ46" s="253"/>
      <c r="IK46" s="253"/>
      <c r="IL46" s="253"/>
      <c r="IM46" s="253"/>
      <c r="IN46" s="253"/>
      <c r="IO46" s="258"/>
      <c r="IP46" s="256"/>
      <c r="IQ46" s="253"/>
      <c r="IR46" s="182"/>
      <c r="IS46" s="253"/>
      <c r="IT46" s="253"/>
      <c r="IU46" s="253"/>
      <c r="IV46" s="253"/>
      <c r="IW46" s="253"/>
      <c r="IX46" s="253"/>
      <c r="IY46" s="254"/>
      <c r="IZ46" s="254"/>
      <c r="JA46" s="254"/>
      <c r="JB46" s="253"/>
      <c r="JC46" s="254"/>
      <c r="JD46" s="254"/>
      <c r="JE46" s="254"/>
      <c r="JF46" s="253"/>
      <c r="JG46" s="253"/>
      <c r="JH46" s="253"/>
      <c r="JI46" s="253"/>
      <c r="JJ46" s="253"/>
      <c r="JK46" s="182"/>
      <c r="JL46" s="182"/>
      <c r="JM46" s="253"/>
      <c r="JN46" s="253"/>
      <c r="JO46" s="253"/>
      <c r="JP46" s="253"/>
      <c r="JQ46" s="253"/>
      <c r="JR46" s="253"/>
      <c r="JS46" s="253"/>
      <c r="JT46" s="256"/>
      <c r="JU46" s="259"/>
      <c r="JV46" s="259"/>
      <c r="JW46" s="259"/>
      <c r="JX46" s="259"/>
      <c r="JY46" s="180"/>
      <c r="JZ46" s="180"/>
      <c r="KA46" s="180"/>
      <c r="KB46" s="180"/>
      <c r="KC46" s="259"/>
      <c r="KD46" s="259"/>
      <c r="KE46" s="259"/>
      <c r="KF46" s="259"/>
      <c r="KG46" s="179"/>
      <c r="KH46" s="259"/>
      <c r="KI46" s="202"/>
      <c r="KJ46" s="202"/>
      <c r="KK46" s="259"/>
      <c r="KL46" s="259"/>
      <c r="KM46" s="260"/>
      <c r="KN46" s="259"/>
      <c r="KO46" s="259"/>
      <c r="KP46" s="260"/>
      <c r="KQ46" s="259"/>
      <c r="KR46" s="259"/>
      <c r="KS46" s="259"/>
      <c r="KT46" s="259"/>
      <c r="KU46" s="259"/>
      <c r="KV46" s="182"/>
      <c r="KW46" s="259"/>
      <c r="KX46" s="259"/>
      <c r="KY46" s="261"/>
      <c r="KZ46" s="259"/>
      <c r="LA46" s="259"/>
      <c r="LB46" s="182"/>
      <c r="LC46" s="259"/>
      <c r="LD46" s="259"/>
      <c r="LE46" s="260"/>
      <c r="LF46" s="259"/>
      <c r="LG46" s="259"/>
      <c r="LH46" s="259"/>
      <c r="LI46" s="259"/>
      <c r="LJ46" s="259"/>
      <c r="LK46" s="259"/>
      <c r="LL46" s="259"/>
      <c r="LM46" s="259"/>
      <c r="LN46" s="259"/>
      <c r="LO46" s="259"/>
      <c r="LP46" s="259"/>
      <c r="LQ46" s="259"/>
      <c r="LR46" s="259"/>
      <c r="LS46" s="259"/>
      <c r="LT46" s="259"/>
      <c r="LU46" s="260"/>
      <c r="LV46" s="259"/>
      <c r="LW46" s="259"/>
      <c r="LX46" s="259"/>
      <c r="LY46" s="259"/>
      <c r="LZ46" s="260"/>
      <c r="MA46" s="260"/>
      <c r="MB46" s="262"/>
      <c r="MC46" s="261"/>
      <c r="MD46" s="259"/>
      <c r="ME46" s="259"/>
      <c r="MF46" s="259"/>
      <c r="MG46" s="259"/>
      <c r="MH46" s="259"/>
      <c r="MI46" s="259"/>
      <c r="MJ46" s="259"/>
      <c r="MK46" s="259"/>
      <c r="ML46" s="259"/>
      <c r="MM46" s="259"/>
      <c r="MN46" s="259"/>
      <c r="MO46" s="259"/>
      <c r="MP46" s="259"/>
      <c r="MQ46" s="259"/>
      <c r="MR46" s="259"/>
      <c r="MS46" s="259"/>
      <c r="MT46" s="259"/>
      <c r="MU46" s="259"/>
      <c r="MV46" s="259"/>
      <c r="MW46" s="260"/>
      <c r="MX46" s="260"/>
      <c r="MY46" s="260"/>
      <c r="MZ46" s="182"/>
      <c r="NA46" s="259"/>
      <c r="NB46" s="182"/>
      <c r="NC46" s="259"/>
      <c r="ND46" s="259"/>
      <c r="NE46" s="259"/>
      <c r="NF46" s="259"/>
      <c r="NG46" s="260"/>
    </row>
    <row r="47">
      <c r="A47" s="175">
        <v>15.0</v>
      </c>
      <c r="B47" s="176" t="s">
        <v>210</v>
      </c>
      <c r="C47" s="116"/>
      <c r="D47" s="116"/>
      <c r="E47" s="117"/>
      <c r="F47" s="243" t="str">
        <f>SUMPRODUCT(IF(('▧ 26년 휴가대장'!$G47:$NG47&lt;&gt;"") * (('▧ 26년 휴가대장'!$G47:$NG47="전") + ('▧ 26년 휴가대장'!$G47:$NG47="후")), 0.5, IF('▧ 26년 휴가대장'!$G47:$NG47="반", 0.25, IF('▧ 26년 휴가대장'!$G47:$NG47="휴", 1, 0)))) &amp; " 일"</f>
        <v>0 일</v>
      </c>
      <c r="G47" s="178"/>
      <c r="H47" s="179"/>
      <c r="I47" s="178"/>
      <c r="J47" s="178"/>
      <c r="K47" s="178"/>
      <c r="L47" s="178"/>
      <c r="M47" s="178"/>
      <c r="N47" s="178"/>
      <c r="O47" s="178"/>
      <c r="P47" s="178"/>
      <c r="Q47" s="178"/>
      <c r="R47" s="179"/>
      <c r="S47" s="178"/>
      <c r="T47" s="178"/>
      <c r="U47" s="178"/>
      <c r="V47" s="179"/>
      <c r="W47" s="179"/>
      <c r="X47" s="178"/>
      <c r="Y47" s="178"/>
      <c r="Z47" s="178"/>
      <c r="AA47" s="179"/>
      <c r="AB47" s="178"/>
      <c r="AC47" s="179"/>
      <c r="AD47" s="178"/>
      <c r="AE47" s="179"/>
      <c r="AF47" s="179"/>
      <c r="AG47" s="180"/>
      <c r="AH47" s="179"/>
      <c r="AI47" s="178"/>
      <c r="AJ47" s="178"/>
      <c r="AK47" s="179"/>
      <c r="AL47" s="263"/>
      <c r="AM47" s="178"/>
      <c r="AN47" s="179"/>
      <c r="AO47" s="179"/>
      <c r="AP47" s="178"/>
      <c r="AQ47" s="178"/>
      <c r="AR47" s="179"/>
      <c r="AS47" s="179"/>
      <c r="AT47" s="179"/>
      <c r="AU47" s="179"/>
      <c r="AV47" s="179"/>
      <c r="AW47" s="179"/>
      <c r="AX47" s="178"/>
      <c r="AY47" s="178"/>
      <c r="AZ47" s="178"/>
      <c r="BA47" s="178"/>
      <c r="BB47" s="178"/>
      <c r="BC47" s="179"/>
      <c r="BD47" s="178"/>
      <c r="BE47" s="178"/>
      <c r="BF47" s="179"/>
      <c r="BG47" s="178"/>
      <c r="BH47" s="179"/>
      <c r="BI47" s="178"/>
      <c r="BJ47" s="178"/>
      <c r="BK47" s="178"/>
      <c r="BL47" s="178"/>
      <c r="BM47" s="178"/>
      <c r="BN47" s="264"/>
      <c r="BO47" s="182"/>
      <c r="BP47" s="179"/>
      <c r="BQ47" s="179"/>
      <c r="BR47" s="180"/>
      <c r="BS47" s="180"/>
      <c r="BT47" s="179"/>
      <c r="BU47" s="179"/>
      <c r="BV47" s="180"/>
      <c r="BW47" s="179"/>
      <c r="BX47" s="179"/>
      <c r="BY47" s="180"/>
      <c r="BZ47" s="180"/>
      <c r="CA47" s="180"/>
      <c r="CB47" s="180"/>
      <c r="CC47" s="180"/>
      <c r="CD47" s="180"/>
      <c r="CE47" s="180"/>
      <c r="CF47" s="180"/>
      <c r="CG47" s="180"/>
      <c r="CH47" s="180"/>
      <c r="CI47" s="179"/>
      <c r="CJ47" s="180"/>
      <c r="CK47" s="180"/>
      <c r="CL47" s="184"/>
      <c r="CM47" s="180"/>
      <c r="CN47" s="180"/>
      <c r="CO47" s="180"/>
      <c r="CP47" s="182"/>
      <c r="CQ47" s="180"/>
      <c r="CR47" s="182"/>
      <c r="CS47" s="185"/>
      <c r="CT47" s="180"/>
      <c r="CU47" s="180"/>
      <c r="CV47" s="180"/>
      <c r="CW47" s="180"/>
      <c r="CX47" s="184"/>
      <c r="CY47" s="182"/>
      <c r="CZ47" s="180"/>
      <c r="DA47" s="180"/>
      <c r="DB47" s="180"/>
      <c r="DC47" s="180"/>
      <c r="DD47" s="180"/>
      <c r="DE47" s="180"/>
      <c r="DF47" s="180"/>
      <c r="DG47" s="180"/>
      <c r="DH47" s="180"/>
      <c r="DI47" s="182"/>
      <c r="DJ47" s="180"/>
      <c r="DK47" s="180"/>
      <c r="DL47" s="180"/>
      <c r="DM47" s="180"/>
      <c r="DN47" s="180"/>
      <c r="DO47" s="180"/>
      <c r="DP47" s="180"/>
      <c r="DQ47" s="180"/>
      <c r="DR47" s="180"/>
      <c r="DS47" s="182"/>
      <c r="DT47" s="182"/>
      <c r="DU47" s="182"/>
      <c r="DV47" s="180"/>
      <c r="DW47" s="185"/>
      <c r="DX47" s="180"/>
      <c r="DY47" s="182"/>
      <c r="DZ47" s="180"/>
      <c r="EA47" s="180"/>
      <c r="EB47" s="180"/>
      <c r="EC47" s="180"/>
      <c r="ED47" s="180"/>
      <c r="EE47" s="180"/>
      <c r="EF47" s="180"/>
      <c r="EG47" s="180"/>
      <c r="EH47" s="180"/>
      <c r="EI47" s="180"/>
      <c r="EJ47" s="184"/>
      <c r="EK47" s="180"/>
      <c r="EL47" s="182"/>
      <c r="EM47" s="180"/>
      <c r="EN47" s="182"/>
      <c r="EO47" s="180"/>
      <c r="EP47" s="180"/>
      <c r="EQ47" s="180"/>
      <c r="ER47" s="180"/>
      <c r="ES47" s="180"/>
      <c r="ET47" s="180"/>
      <c r="EU47" s="180"/>
      <c r="EV47" s="180"/>
      <c r="EW47" s="180"/>
      <c r="EX47" s="182"/>
      <c r="EY47" s="180"/>
      <c r="EZ47" s="182"/>
      <c r="FA47" s="180"/>
      <c r="FB47" s="183"/>
      <c r="FC47" s="180"/>
      <c r="FD47" s="180"/>
      <c r="FE47" s="180"/>
      <c r="FF47" s="180"/>
      <c r="FG47" s="180"/>
      <c r="FH47" s="182"/>
      <c r="FI47" s="182"/>
      <c r="FJ47" s="180"/>
      <c r="FK47" s="180"/>
      <c r="FL47" s="182"/>
      <c r="FM47" s="180"/>
      <c r="FN47" s="180"/>
      <c r="FO47" s="180"/>
      <c r="FP47" s="180"/>
      <c r="FQ47" s="180"/>
      <c r="FR47" s="180"/>
      <c r="FS47" s="180"/>
      <c r="FT47" s="180"/>
      <c r="FU47" s="180"/>
      <c r="FV47" s="180"/>
      <c r="FW47" s="180"/>
      <c r="FX47" s="180"/>
      <c r="FY47" s="180"/>
      <c r="FZ47" s="184"/>
      <c r="GA47" s="184"/>
      <c r="GB47" s="180"/>
      <c r="GC47" s="180"/>
      <c r="GD47" s="182"/>
      <c r="GE47" s="180"/>
      <c r="GF47" s="183"/>
      <c r="GG47" s="180"/>
      <c r="GH47" s="179"/>
      <c r="GI47" s="180"/>
      <c r="GJ47" s="180"/>
      <c r="GK47" s="180"/>
      <c r="GL47" s="180"/>
      <c r="GM47" s="180"/>
      <c r="GN47" s="180"/>
      <c r="GO47" s="180"/>
      <c r="GP47" s="180"/>
      <c r="GQ47" s="180"/>
      <c r="GR47" s="180"/>
      <c r="GS47" s="180"/>
      <c r="GT47" s="180"/>
      <c r="GU47" s="180"/>
      <c r="GV47" s="180"/>
      <c r="GW47" s="182"/>
      <c r="GX47" s="182"/>
      <c r="GY47" s="182"/>
      <c r="GZ47" s="182"/>
      <c r="HA47" s="180"/>
      <c r="HB47" s="180"/>
      <c r="HC47" s="182"/>
      <c r="HD47" s="180"/>
      <c r="HE47" s="180"/>
      <c r="HF47" s="180"/>
      <c r="HG47" s="180"/>
      <c r="HH47" s="180"/>
      <c r="HI47" s="180"/>
      <c r="HJ47" s="182"/>
      <c r="HK47" s="183"/>
      <c r="HL47" s="180"/>
      <c r="HM47" s="180"/>
      <c r="HN47" s="180"/>
      <c r="HO47" s="180"/>
      <c r="HP47" s="180"/>
      <c r="HQ47" s="180"/>
      <c r="HR47" s="180"/>
      <c r="HS47" s="180"/>
      <c r="HT47" s="182"/>
      <c r="HU47" s="180"/>
      <c r="HV47" s="180"/>
      <c r="HW47" s="180"/>
      <c r="HX47" s="180"/>
      <c r="HY47" s="180"/>
      <c r="HZ47" s="180"/>
      <c r="IA47" s="180"/>
      <c r="IB47" s="182"/>
      <c r="IC47" s="179"/>
      <c r="ID47" s="180"/>
      <c r="IE47" s="180"/>
      <c r="IF47" s="180"/>
      <c r="IG47" s="180"/>
      <c r="IH47" s="180"/>
      <c r="II47" s="180"/>
      <c r="IJ47" s="180"/>
      <c r="IK47" s="180"/>
      <c r="IL47" s="180"/>
      <c r="IM47" s="180"/>
      <c r="IN47" s="180"/>
      <c r="IO47" s="240"/>
      <c r="IP47" s="183"/>
      <c r="IQ47" s="180"/>
      <c r="IR47" s="182"/>
      <c r="IS47" s="182"/>
      <c r="IT47" s="182"/>
      <c r="IU47" s="180"/>
      <c r="IV47" s="180"/>
      <c r="IW47" s="179"/>
      <c r="IX47" s="180"/>
      <c r="IY47" s="179"/>
      <c r="IZ47" s="179"/>
      <c r="JA47" s="179"/>
      <c r="JB47" s="180"/>
      <c r="JC47" s="182"/>
      <c r="JD47" s="182"/>
      <c r="JE47" s="182"/>
      <c r="JF47" s="180"/>
      <c r="JG47" s="180"/>
      <c r="JH47" s="182"/>
      <c r="JI47" s="180"/>
      <c r="JJ47" s="180"/>
      <c r="JK47" s="180"/>
      <c r="JL47" s="180"/>
      <c r="JM47" s="180"/>
      <c r="JN47" s="180"/>
      <c r="JO47" s="180"/>
      <c r="JP47" s="180"/>
      <c r="JQ47" s="180"/>
      <c r="JR47" s="180"/>
      <c r="JS47" s="180"/>
      <c r="JT47" s="183"/>
      <c r="JU47" s="180"/>
      <c r="JV47" s="180"/>
      <c r="JW47" s="180"/>
      <c r="JX47" s="180"/>
      <c r="JY47" s="180"/>
      <c r="JZ47" s="180"/>
      <c r="KA47" s="180"/>
      <c r="KB47" s="182"/>
      <c r="KC47" s="180"/>
      <c r="KD47" s="182"/>
      <c r="KE47" s="180"/>
      <c r="KF47" s="180"/>
      <c r="KG47" s="180"/>
      <c r="KH47" s="180"/>
      <c r="KI47" s="180"/>
      <c r="KJ47" s="180"/>
      <c r="KK47" s="180"/>
      <c r="KL47" s="180"/>
      <c r="KM47" s="179"/>
      <c r="KN47" s="180"/>
      <c r="KO47" s="180"/>
      <c r="KP47" s="182"/>
      <c r="KQ47" s="180"/>
      <c r="KR47" s="180"/>
      <c r="KS47" s="180"/>
      <c r="KT47" s="180"/>
      <c r="KU47" s="182"/>
      <c r="KV47" s="182"/>
      <c r="KW47" s="180"/>
      <c r="KX47" s="180"/>
      <c r="KY47" s="183"/>
      <c r="KZ47" s="180"/>
      <c r="LA47" s="180"/>
      <c r="LB47" s="180"/>
      <c r="LC47" s="180"/>
      <c r="LD47" s="180"/>
      <c r="LE47" s="182"/>
      <c r="LF47" s="180"/>
      <c r="LG47" s="180"/>
      <c r="LH47" s="182"/>
      <c r="LI47" s="180"/>
      <c r="LJ47" s="180"/>
      <c r="LK47" s="180"/>
      <c r="LL47" s="180"/>
      <c r="LM47" s="180"/>
      <c r="LN47" s="180"/>
      <c r="LO47" s="180"/>
      <c r="LP47" s="180"/>
      <c r="LQ47" s="180"/>
      <c r="LR47" s="265"/>
      <c r="LS47" s="180"/>
      <c r="LT47" s="180"/>
      <c r="LU47" s="182"/>
      <c r="LV47" s="180"/>
      <c r="LW47" s="180"/>
      <c r="LX47" s="182"/>
      <c r="LY47" s="182"/>
      <c r="LZ47" s="182"/>
      <c r="MA47" s="180"/>
      <c r="MB47" s="240"/>
      <c r="MC47" s="183"/>
      <c r="MD47" s="180"/>
      <c r="ME47" s="180"/>
      <c r="MF47" s="180"/>
      <c r="MG47" s="180"/>
      <c r="MH47" s="180"/>
      <c r="MI47" s="180"/>
      <c r="MJ47" s="180"/>
      <c r="MK47" s="180"/>
      <c r="ML47" s="180"/>
      <c r="MM47" s="180"/>
      <c r="MN47" s="180"/>
      <c r="MO47" s="180"/>
      <c r="MP47" s="180"/>
      <c r="MQ47" s="180"/>
      <c r="MR47" s="180"/>
      <c r="MS47" s="180"/>
      <c r="MT47" s="180"/>
      <c r="MU47" s="180"/>
      <c r="MV47" s="180"/>
      <c r="MW47" s="182"/>
      <c r="MX47" s="182"/>
      <c r="MY47" s="179"/>
      <c r="MZ47" s="180"/>
      <c r="NA47" s="180"/>
      <c r="NB47" s="180"/>
      <c r="NC47" s="180"/>
      <c r="ND47" s="180"/>
      <c r="NE47" s="180"/>
      <c r="NF47" s="180"/>
      <c r="NG47" s="179"/>
    </row>
    <row r="48">
      <c r="A48" s="175">
        <v>16.0</v>
      </c>
      <c r="B48" s="176" t="s">
        <v>212</v>
      </c>
      <c r="C48" s="116"/>
      <c r="D48" s="116"/>
      <c r="E48" s="117"/>
      <c r="F48" s="243" t="str">
        <f>SUMPRODUCT(IF(('▧ 26년 휴가대장'!$G48:$NG48&lt;&gt;"") * (('▧ 26년 휴가대장'!$G48:$NG48="전") + ('▧ 26년 휴가대장'!$G48:$NG48="후")), 0.5, IF('▧ 26년 휴가대장'!$G48:$NG48="반", 0.25, IF('▧ 26년 휴가대장'!$G48:$NG48="휴", 1, 0)))) &amp; " 일"</f>
        <v>0 일</v>
      </c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82"/>
      <c r="V48" s="179"/>
      <c r="W48" s="179"/>
      <c r="X48" s="178"/>
      <c r="Y48" s="178"/>
      <c r="Z48" s="179"/>
      <c r="AA48" s="178"/>
      <c r="AB48" s="178"/>
      <c r="AC48" s="179"/>
      <c r="AD48" s="178"/>
      <c r="AE48" s="178"/>
      <c r="AF48" s="178"/>
      <c r="AG48" s="178"/>
      <c r="AH48" s="178"/>
      <c r="AI48" s="178"/>
      <c r="AJ48" s="178"/>
      <c r="AK48" s="179"/>
      <c r="AL48" s="264"/>
      <c r="AM48" s="179"/>
      <c r="AN48" s="179"/>
      <c r="AO48" s="179"/>
      <c r="AP48" s="179"/>
      <c r="AQ48" s="179"/>
      <c r="AR48" s="179"/>
      <c r="AS48" s="179"/>
      <c r="AT48" s="179"/>
      <c r="AU48" s="179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79"/>
      <c r="BG48" s="179"/>
      <c r="BH48" s="179"/>
      <c r="BI48" s="179"/>
      <c r="BJ48" s="179"/>
      <c r="BK48" s="179"/>
      <c r="BL48" s="179"/>
      <c r="BM48" s="178"/>
      <c r="BN48" s="264"/>
      <c r="BO48" s="182"/>
      <c r="BP48" s="182"/>
      <c r="BQ48" s="182"/>
      <c r="BR48" s="182"/>
      <c r="BS48" s="182"/>
      <c r="BT48" s="182"/>
      <c r="BU48" s="182"/>
      <c r="BV48" s="182"/>
      <c r="BW48" s="182"/>
      <c r="BX48" s="182"/>
      <c r="BY48" s="182"/>
      <c r="BZ48" s="182"/>
      <c r="CA48" s="182"/>
      <c r="CB48" s="182"/>
      <c r="CC48" s="182"/>
      <c r="CD48" s="182"/>
      <c r="CE48" s="182"/>
      <c r="CF48" s="182"/>
      <c r="CG48" s="182"/>
      <c r="CH48" s="180"/>
      <c r="CI48" s="180"/>
      <c r="CJ48" s="180"/>
      <c r="CK48" s="182"/>
      <c r="CL48" s="182"/>
      <c r="CM48" s="182"/>
      <c r="CN48" s="182"/>
      <c r="CO48" s="182"/>
      <c r="CP48" s="182"/>
      <c r="CQ48" s="182"/>
      <c r="CR48" s="182"/>
      <c r="CS48" s="264"/>
      <c r="CT48" s="184"/>
      <c r="CU48" s="182"/>
      <c r="CV48" s="182"/>
      <c r="CW48" s="182"/>
      <c r="CX48" s="182"/>
      <c r="CY48" s="182"/>
      <c r="CZ48" s="182"/>
      <c r="DA48" s="182"/>
      <c r="DB48" s="182"/>
      <c r="DC48" s="182"/>
      <c r="DD48" s="182"/>
      <c r="DE48" s="182"/>
      <c r="DF48" s="182"/>
      <c r="DG48" s="182"/>
      <c r="DH48" s="182"/>
      <c r="DI48" s="182"/>
      <c r="DJ48" s="182"/>
      <c r="DK48" s="182"/>
      <c r="DL48" s="182"/>
      <c r="DM48" s="182"/>
      <c r="DN48" s="182"/>
      <c r="DO48" s="182"/>
      <c r="DP48" s="182"/>
      <c r="DQ48" s="182"/>
      <c r="DR48" s="182"/>
      <c r="DS48" s="182"/>
      <c r="DT48" s="182"/>
      <c r="DU48" s="182"/>
      <c r="DV48" s="182"/>
      <c r="DW48" s="185"/>
      <c r="DX48" s="182"/>
      <c r="DY48" s="182"/>
      <c r="DZ48" s="182"/>
      <c r="EA48" s="179"/>
      <c r="EB48" s="182"/>
      <c r="EC48" s="182"/>
      <c r="ED48" s="182"/>
      <c r="EE48" s="182"/>
      <c r="EF48" s="182"/>
      <c r="EG48" s="182"/>
      <c r="EH48" s="182"/>
      <c r="EI48" s="182"/>
      <c r="EJ48" s="182"/>
      <c r="EK48" s="182"/>
      <c r="EL48" s="182"/>
      <c r="EM48" s="182"/>
      <c r="EN48" s="184"/>
      <c r="EO48" s="182"/>
      <c r="EP48" s="182"/>
      <c r="EQ48" s="182"/>
      <c r="ER48" s="182"/>
      <c r="ES48" s="182"/>
      <c r="ET48" s="182"/>
      <c r="EU48" s="182"/>
      <c r="EV48" s="182"/>
      <c r="EW48" s="182"/>
      <c r="EX48" s="182"/>
      <c r="EY48" s="182"/>
      <c r="EZ48" s="182"/>
      <c r="FA48" s="182"/>
      <c r="FB48" s="185"/>
      <c r="FC48" s="182"/>
      <c r="FD48" s="182"/>
      <c r="FE48" s="182"/>
      <c r="FF48" s="182"/>
      <c r="FG48" s="182"/>
      <c r="FH48" s="182"/>
      <c r="FI48" s="182"/>
      <c r="FJ48" s="179"/>
      <c r="FK48" s="182"/>
      <c r="FL48" s="182"/>
      <c r="FM48" s="182"/>
      <c r="FN48" s="182"/>
      <c r="FO48" s="182"/>
      <c r="FP48" s="182"/>
      <c r="FQ48" s="182"/>
      <c r="FR48" s="182"/>
      <c r="FS48" s="182"/>
      <c r="FT48" s="182"/>
      <c r="FU48" s="182"/>
      <c r="FV48" s="182"/>
      <c r="FW48" s="182"/>
      <c r="FX48" s="182"/>
      <c r="FY48" s="182"/>
      <c r="FZ48" s="182"/>
      <c r="GA48" s="182"/>
      <c r="GB48" s="182"/>
      <c r="GC48" s="182"/>
      <c r="GD48" s="122"/>
      <c r="GE48" s="182"/>
      <c r="GF48" s="185"/>
      <c r="GG48" s="182"/>
      <c r="GH48" s="182"/>
      <c r="GI48" s="182"/>
      <c r="GJ48" s="182"/>
      <c r="GK48" s="182"/>
      <c r="GL48" s="182"/>
      <c r="GM48" s="182"/>
      <c r="GN48" s="182"/>
      <c r="GO48" s="182"/>
      <c r="GP48" s="182"/>
      <c r="GQ48" s="182"/>
      <c r="GR48" s="182"/>
      <c r="GS48" s="182"/>
      <c r="GT48" s="182"/>
      <c r="GU48" s="182"/>
      <c r="GV48" s="182"/>
      <c r="GW48" s="182"/>
      <c r="GX48" s="182"/>
      <c r="GY48" s="182"/>
      <c r="GZ48" s="179"/>
      <c r="HA48" s="182"/>
      <c r="HB48" s="182"/>
      <c r="HC48" s="182"/>
      <c r="HD48" s="182"/>
      <c r="HE48" s="182"/>
      <c r="HF48" s="182"/>
      <c r="HG48" s="182"/>
      <c r="HH48" s="182"/>
      <c r="HI48" s="182"/>
      <c r="HJ48" s="182"/>
      <c r="HK48" s="264"/>
      <c r="HL48" s="182"/>
      <c r="HM48" s="182"/>
      <c r="HN48" s="182"/>
      <c r="HO48" s="182"/>
      <c r="HP48" s="182"/>
      <c r="HQ48" s="182"/>
      <c r="HR48" s="182"/>
      <c r="HS48" s="182"/>
      <c r="HT48" s="182"/>
      <c r="HU48" s="182"/>
      <c r="HV48" s="182"/>
      <c r="HW48" s="182"/>
      <c r="HX48" s="184"/>
      <c r="HY48" s="184"/>
      <c r="HZ48" s="182"/>
      <c r="IA48" s="182"/>
      <c r="IB48" s="182"/>
      <c r="IC48" s="179"/>
      <c r="ID48" s="182"/>
      <c r="IE48" s="182"/>
      <c r="IF48" s="182"/>
      <c r="IG48" s="182"/>
      <c r="IH48" s="182"/>
      <c r="II48" s="182"/>
      <c r="IJ48" s="182"/>
      <c r="IK48" s="180"/>
      <c r="IL48" s="182"/>
      <c r="IM48" s="182"/>
      <c r="IN48" s="180"/>
      <c r="IO48" s="186"/>
      <c r="IP48" s="183"/>
      <c r="IQ48" s="182"/>
      <c r="IR48" s="179"/>
      <c r="IS48" s="179"/>
      <c r="IT48" s="179"/>
      <c r="IU48" s="182"/>
      <c r="IV48" s="182"/>
      <c r="IW48" s="182"/>
      <c r="IX48" s="182"/>
      <c r="IY48" s="182"/>
      <c r="IZ48" s="182"/>
      <c r="JA48" s="182"/>
      <c r="JB48" s="182"/>
      <c r="JC48" s="179"/>
      <c r="JD48" s="182"/>
      <c r="JE48" s="182"/>
      <c r="JF48" s="182"/>
      <c r="JG48" s="182"/>
      <c r="JH48" s="182"/>
      <c r="JI48" s="182"/>
      <c r="JJ48" s="182"/>
      <c r="JK48" s="182"/>
      <c r="JL48" s="182"/>
      <c r="JM48" s="182"/>
      <c r="JN48" s="182"/>
      <c r="JO48" s="182"/>
      <c r="JP48" s="182"/>
      <c r="JQ48" s="182"/>
      <c r="JR48" s="182"/>
      <c r="JS48" s="182"/>
      <c r="JT48" s="185"/>
      <c r="JU48" s="182"/>
      <c r="JV48" s="182"/>
      <c r="JW48" s="182"/>
      <c r="JX48" s="182"/>
      <c r="JY48" s="182"/>
      <c r="JZ48" s="182"/>
      <c r="KA48" s="182"/>
      <c r="KB48" s="182"/>
      <c r="KC48" s="182"/>
      <c r="KD48" s="182"/>
      <c r="KE48" s="182"/>
      <c r="KF48" s="182"/>
      <c r="KG48" s="179"/>
      <c r="KH48" s="182"/>
      <c r="KI48" s="182"/>
      <c r="KJ48" s="182"/>
      <c r="KK48" s="182"/>
      <c r="KL48" s="182"/>
      <c r="KM48" s="182"/>
      <c r="KN48" s="182"/>
      <c r="KO48" s="182"/>
      <c r="KP48" s="182"/>
      <c r="KQ48" s="179"/>
      <c r="KR48" s="182"/>
      <c r="KS48" s="182"/>
      <c r="KT48" s="182"/>
      <c r="KU48" s="182"/>
      <c r="KV48" s="182"/>
      <c r="KW48" s="182"/>
      <c r="KX48" s="182"/>
      <c r="KY48" s="185"/>
      <c r="KZ48" s="182"/>
      <c r="LA48" s="182"/>
      <c r="LB48" s="182"/>
      <c r="LC48" s="182"/>
      <c r="LD48" s="182"/>
      <c r="LE48" s="182"/>
      <c r="LF48" s="182"/>
      <c r="LG48" s="182"/>
      <c r="LH48" s="182"/>
      <c r="LI48" s="182"/>
      <c r="LJ48" s="182"/>
      <c r="LK48" s="182"/>
      <c r="LL48" s="179"/>
      <c r="LM48" s="182"/>
      <c r="LN48" s="182"/>
      <c r="LO48" s="182"/>
      <c r="LP48" s="182"/>
      <c r="LQ48" s="182"/>
      <c r="LR48" s="182"/>
      <c r="LS48" s="182"/>
      <c r="LT48" s="182"/>
      <c r="LU48" s="182"/>
      <c r="LV48" s="182"/>
      <c r="LW48" s="182"/>
      <c r="LX48" s="182"/>
      <c r="LY48" s="182"/>
      <c r="LZ48" s="182"/>
      <c r="MA48" s="182"/>
      <c r="MB48" s="240"/>
      <c r="MC48" s="185"/>
      <c r="MD48" s="182"/>
      <c r="ME48" s="182"/>
      <c r="MF48" s="182"/>
      <c r="MG48" s="182"/>
      <c r="MH48" s="182"/>
      <c r="MI48" s="182"/>
      <c r="MJ48" s="179"/>
      <c r="MK48" s="182"/>
      <c r="ML48" s="182"/>
      <c r="MM48" s="182"/>
      <c r="MN48" s="182"/>
      <c r="MO48" s="182"/>
      <c r="MP48" s="182"/>
      <c r="MQ48" s="182"/>
      <c r="MR48" s="182"/>
      <c r="MS48" s="182"/>
      <c r="MT48" s="182"/>
      <c r="MU48" s="182"/>
      <c r="MV48" s="182"/>
      <c r="MW48" s="182"/>
      <c r="MX48" s="182"/>
      <c r="MY48" s="182"/>
      <c r="MZ48" s="182"/>
      <c r="NA48" s="179"/>
      <c r="NB48" s="182"/>
      <c r="NC48" s="182"/>
      <c r="ND48" s="182"/>
      <c r="NE48" s="182"/>
      <c r="NF48" s="182"/>
      <c r="NG48" s="182"/>
    </row>
    <row r="49">
      <c r="A49" s="175">
        <v>17.0</v>
      </c>
      <c r="B49" s="176" t="s">
        <v>213</v>
      </c>
      <c r="C49" s="116"/>
      <c r="D49" s="116"/>
      <c r="E49" s="117"/>
      <c r="F49" s="243" t="str">
        <f>SUMPRODUCT(IF(('▧ 26년 휴가대장'!$G49:$NG49&lt;&gt;"") * (('▧ 26년 휴가대장'!$G49:$NG49="전") + ('▧ 26년 휴가대장'!$G49:$NG49="후")), 0.5, IF('▧ 26년 휴가대장'!$G49:$NG49="반", 0.25, IF('▧ 26년 휴가대장'!$G49:$NG49="휴", 1, 0)))) &amp; " 일"</f>
        <v>0 일</v>
      </c>
      <c r="G49" s="178"/>
      <c r="H49" s="178"/>
      <c r="I49" s="178"/>
      <c r="J49" s="178"/>
      <c r="K49" s="178"/>
      <c r="L49" s="178"/>
      <c r="M49" s="178"/>
      <c r="N49" s="179"/>
      <c r="O49" s="178"/>
      <c r="P49" s="178"/>
      <c r="Q49" s="178"/>
      <c r="R49" s="178"/>
      <c r="S49" s="179"/>
      <c r="T49" s="178"/>
      <c r="U49" s="178"/>
      <c r="V49" s="179"/>
      <c r="W49" s="179"/>
      <c r="X49" s="178"/>
      <c r="Y49" s="178"/>
      <c r="Z49" s="178"/>
      <c r="AA49" s="179"/>
      <c r="AB49" s="178"/>
      <c r="AC49" s="178"/>
      <c r="AD49" s="178"/>
      <c r="AE49" s="179"/>
      <c r="AF49" s="178"/>
      <c r="AG49" s="178"/>
      <c r="AH49" s="178"/>
      <c r="AI49" s="178"/>
      <c r="AJ49" s="178"/>
      <c r="AK49" s="178"/>
      <c r="AL49" s="181"/>
      <c r="AM49" s="178"/>
      <c r="AN49" s="178"/>
      <c r="AO49" s="178"/>
      <c r="AP49" s="178"/>
      <c r="AQ49" s="178"/>
      <c r="AR49" s="179"/>
      <c r="AS49" s="179"/>
      <c r="AT49" s="178"/>
      <c r="AU49" s="179"/>
      <c r="AV49" s="179"/>
      <c r="AW49" s="178"/>
      <c r="AX49" s="178"/>
      <c r="AY49" s="178"/>
      <c r="AZ49" s="178"/>
      <c r="BA49" s="179"/>
      <c r="BB49" s="178"/>
      <c r="BC49" s="178"/>
      <c r="BD49" s="178"/>
      <c r="BE49" s="178"/>
      <c r="BF49" s="178"/>
      <c r="BG49" s="178"/>
      <c r="BH49" s="178"/>
      <c r="BI49" s="178"/>
      <c r="BJ49" s="178"/>
      <c r="BK49" s="184"/>
      <c r="BL49" s="179"/>
      <c r="BM49" s="179"/>
      <c r="BN49" s="264"/>
      <c r="BO49" s="180"/>
      <c r="BP49" s="180"/>
      <c r="BQ49" s="180"/>
      <c r="BR49" s="182"/>
      <c r="BS49" s="180"/>
      <c r="BT49" s="180"/>
      <c r="BU49" s="180"/>
      <c r="BV49" s="180"/>
      <c r="BW49" s="180"/>
      <c r="BX49" s="179"/>
      <c r="BY49" s="180"/>
      <c r="BZ49" s="180"/>
      <c r="CA49" s="180"/>
      <c r="CB49" s="180"/>
      <c r="CC49" s="180"/>
      <c r="CD49" s="180"/>
      <c r="CE49" s="180"/>
      <c r="CF49" s="180"/>
      <c r="CG49" s="182"/>
      <c r="CH49" s="180"/>
      <c r="CI49" s="180"/>
      <c r="CJ49" s="180"/>
      <c r="CK49" s="179"/>
      <c r="CL49" s="180"/>
      <c r="CM49" s="180"/>
      <c r="CN49" s="180"/>
      <c r="CO49" s="180"/>
      <c r="CP49" s="180"/>
      <c r="CQ49" s="180"/>
      <c r="CR49" s="180"/>
      <c r="CS49" s="183"/>
      <c r="CT49" s="180"/>
      <c r="CU49" s="180"/>
      <c r="CV49" s="179"/>
      <c r="CW49" s="180"/>
      <c r="CX49" s="180"/>
      <c r="CY49" s="180"/>
      <c r="CZ49" s="180"/>
      <c r="DA49" s="180"/>
      <c r="DB49" s="182"/>
      <c r="DC49" s="180"/>
      <c r="DD49" s="182"/>
      <c r="DE49" s="180"/>
      <c r="DF49" s="180"/>
      <c r="DG49" s="180"/>
      <c r="DH49" s="180"/>
      <c r="DI49" s="180"/>
      <c r="DJ49" s="180"/>
      <c r="DK49" s="180"/>
      <c r="DL49" s="180"/>
      <c r="DM49" s="180"/>
      <c r="DN49" s="182"/>
      <c r="DO49" s="180"/>
      <c r="DP49" s="180"/>
      <c r="DQ49" s="180"/>
      <c r="DR49" s="180"/>
      <c r="DS49" s="180"/>
      <c r="DT49" s="180"/>
      <c r="DU49" s="180"/>
      <c r="DV49" s="180"/>
      <c r="DW49" s="183"/>
      <c r="DX49" s="182"/>
      <c r="DY49" s="180"/>
      <c r="DZ49" s="180"/>
      <c r="EA49" s="180"/>
      <c r="EB49" s="180"/>
      <c r="EC49" s="180"/>
      <c r="ED49" s="182"/>
      <c r="EE49" s="180"/>
      <c r="EF49" s="184"/>
      <c r="EG49" s="180"/>
      <c r="EH49" s="180"/>
      <c r="EI49" s="180"/>
      <c r="EJ49" s="180"/>
      <c r="EK49" s="182"/>
      <c r="EL49" s="180"/>
      <c r="EM49" s="180"/>
      <c r="EN49" s="180"/>
      <c r="EO49" s="180"/>
      <c r="EP49" s="180"/>
      <c r="EQ49" s="180"/>
      <c r="ER49" s="180"/>
      <c r="ES49" s="182"/>
      <c r="ET49" s="180"/>
      <c r="EU49" s="182"/>
      <c r="EV49" s="180"/>
      <c r="EW49" s="180"/>
      <c r="EX49" s="180"/>
      <c r="EY49" s="180"/>
      <c r="EZ49" s="180"/>
      <c r="FA49" s="180"/>
      <c r="FB49" s="183"/>
      <c r="FC49" s="182"/>
      <c r="FD49" s="179"/>
      <c r="FE49" s="182"/>
      <c r="FF49" s="180"/>
      <c r="FG49" s="179"/>
      <c r="FH49" s="180"/>
      <c r="FI49" s="180"/>
      <c r="FJ49" s="180"/>
      <c r="FK49" s="180"/>
      <c r="FL49" s="180"/>
      <c r="FM49" s="180"/>
      <c r="FN49" s="180"/>
      <c r="FO49" s="180"/>
      <c r="FP49" s="180"/>
      <c r="FQ49" s="180"/>
      <c r="FR49" s="180"/>
      <c r="FS49" s="180"/>
      <c r="FT49" s="180"/>
      <c r="FU49" s="180"/>
      <c r="FV49" s="182"/>
      <c r="FW49" s="180"/>
      <c r="FX49" s="180"/>
      <c r="FY49" s="180"/>
      <c r="FZ49" s="180"/>
      <c r="GA49" s="182"/>
      <c r="GB49" s="180"/>
      <c r="GC49" s="180"/>
      <c r="GD49" s="180"/>
      <c r="GE49" s="180"/>
      <c r="GF49" s="183"/>
      <c r="GG49" s="180"/>
      <c r="GH49" s="180"/>
      <c r="GI49" s="182"/>
      <c r="GJ49" s="180"/>
      <c r="GK49" s="182"/>
      <c r="GL49" s="179"/>
      <c r="GM49" s="180"/>
      <c r="GN49" s="180"/>
      <c r="GO49" s="182"/>
      <c r="GP49" s="182"/>
      <c r="GQ49" s="180"/>
      <c r="GR49" s="180"/>
      <c r="GS49" s="180"/>
      <c r="GT49" s="180"/>
      <c r="GU49" s="180"/>
      <c r="GV49" s="180"/>
      <c r="GW49" s="180"/>
      <c r="GX49" s="180"/>
      <c r="GY49" s="180"/>
      <c r="HA49" s="182"/>
      <c r="HB49" s="182"/>
      <c r="HC49" s="180"/>
      <c r="HD49" s="180"/>
      <c r="HE49" s="180"/>
      <c r="HF49" s="180"/>
      <c r="HG49" s="180"/>
      <c r="HH49" s="180"/>
      <c r="HI49" s="180"/>
      <c r="HJ49" s="180"/>
      <c r="HK49" s="183"/>
      <c r="HL49" s="180"/>
      <c r="HM49" s="180"/>
      <c r="HN49" s="182"/>
      <c r="HO49" s="182"/>
      <c r="HP49" s="180"/>
      <c r="HQ49" s="180"/>
      <c r="HR49" s="180"/>
      <c r="HS49" s="180"/>
      <c r="HT49" s="182"/>
      <c r="HU49" s="180"/>
      <c r="HV49" s="182"/>
      <c r="HW49" s="180"/>
      <c r="HX49" s="180"/>
      <c r="HY49" s="180"/>
      <c r="HZ49" s="180"/>
      <c r="IA49" s="180"/>
      <c r="IB49" s="180"/>
      <c r="IC49" s="179"/>
      <c r="ID49" s="179"/>
      <c r="IE49" s="179"/>
      <c r="IF49" s="180"/>
      <c r="IG49" s="180"/>
      <c r="IH49" s="180"/>
      <c r="II49" s="182"/>
      <c r="IJ49" s="180"/>
      <c r="IK49" s="180"/>
      <c r="IL49" s="180"/>
      <c r="IM49" s="180"/>
      <c r="IN49" s="180"/>
      <c r="IO49" s="186"/>
      <c r="IP49" s="183"/>
      <c r="IQ49" s="180"/>
      <c r="IR49" s="182"/>
      <c r="IS49" s="180"/>
      <c r="IT49" s="180"/>
      <c r="IU49" s="182"/>
      <c r="IV49" s="182"/>
      <c r="IW49" s="180"/>
      <c r="IX49" s="180"/>
      <c r="IY49" s="180"/>
      <c r="IZ49" s="180"/>
      <c r="JA49" s="179"/>
      <c r="JB49" s="180"/>
      <c r="JC49" s="182"/>
      <c r="JD49" s="182"/>
      <c r="JE49" s="182"/>
      <c r="JF49" s="180"/>
      <c r="JG49" s="182"/>
      <c r="JH49" s="179"/>
      <c r="JI49" s="180"/>
      <c r="JJ49" s="180"/>
      <c r="JK49" s="180"/>
      <c r="JL49" s="182"/>
      <c r="JM49" s="180"/>
      <c r="JN49" s="180"/>
      <c r="JO49" s="180"/>
      <c r="JP49" s="180"/>
      <c r="JQ49" s="180"/>
      <c r="JR49" s="180"/>
      <c r="JS49" s="179"/>
      <c r="JT49" s="183"/>
      <c r="JU49" s="180"/>
      <c r="JV49" s="180"/>
      <c r="JW49" s="180"/>
      <c r="JX49" s="182"/>
      <c r="JY49" s="182"/>
      <c r="JZ49" s="182"/>
      <c r="KA49" s="182"/>
      <c r="KB49" s="182"/>
      <c r="KC49" s="180"/>
      <c r="KD49" s="182"/>
      <c r="KE49" s="182"/>
      <c r="KF49" s="182"/>
      <c r="KG49" s="182"/>
      <c r="KH49" s="182"/>
      <c r="KI49" s="182"/>
      <c r="KJ49" s="180"/>
      <c r="KK49" s="180"/>
      <c r="KL49" s="180"/>
      <c r="KM49" s="182"/>
      <c r="KN49" s="180"/>
      <c r="KO49" s="180"/>
      <c r="KP49" s="180"/>
      <c r="KQ49" s="180"/>
      <c r="KR49" s="180"/>
      <c r="KS49" s="180"/>
      <c r="KT49" s="179"/>
      <c r="KU49" s="179"/>
      <c r="KV49" s="180"/>
      <c r="KW49" s="180"/>
      <c r="KX49" s="179"/>
      <c r="KY49" s="264"/>
      <c r="KZ49" s="180"/>
      <c r="LA49" s="180"/>
      <c r="LB49" s="180"/>
      <c r="LC49" s="180"/>
      <c r="LD49" s="180"/>
      <c r="LE49" s="180"/>
      <c r="LF49" s="180"/>
      <c r="LG49" s="182"/>
      <c r="LH49" s="180"/>
      <c r="LI49" s="182"/>
      <c r="LJ49" s="180"/>
      <c r="LK49" s="180"/>
      <c r="LL49" s="180"/>
      <c r="LM49" s="180"/>
      <c r="LN49" s="180"/>
      <c r="LO49" s="182"/>
      <c r="LP49" s="182"/>
      <c r="LQ49" s="182"/>
      <c r="LR49" s="180"/>
      <c r="LS49" s="180"/>
      <c r="LT49" s="182"/>
      <c r="LU49" s="182"/>
      <c r="LV49" s="182"/>
      <c r="LW49" s="180"/>
      <c r="LX49" s="180"/>
      <c r="LY49" s="182"/>
      <c r="LZ49" s="180"/>
      <c r="MA49" s="180"/>
      <c r="MB49" s="240"/>
      <c r="MC49" s="183"/>
      <c r="MD49" s="180"/>
      <c r="ME49" s="182"/>
      <c r="MF49" s="182"/>
      <c r="MG49" s="182"/>
      <c r="MH49" s="180"/>
      <c r="MI49" s="180"/>
      <c r="MJ49" s="180"/>
      <c r="MK49" s="180"/>
      <c r="ML49" s="180"/>
      <c r="MM49" s="182"/>
      <c r="MN49" s="179"/>
      <c r="MO49" s="180"/>
      <c r="MP49" s="180"/>
      <c r="MQ49" s="180"/>
      <c r="MR49" s="182"/>
      <c r="MS49" s="180"/>
      <c r="MT49" s="180"/>
      <c r="MU49" s="180"/>
      <c r="MV49" s="182"/>
      <c r="MW49" s="182"/>
      <c r="MX49" s="180"/>
      <c r="MY49" s="180"/>
      <c r="MZ49" s="180"/>
      <c r="NA49" s="179"/>
      <c r="NB49" s="180"/>
      <c r="NC49" s="180"/>
      <c r="ND49" s="180"/>
      <c r="NE49" s="180"/>
      <c r="NF49" s="182"/>
      <c r="NG49" s="180"/>
    </row>
    <row r="50">
      <c r="A50" s="175">
        <v>18.0</v>
      </c>
      <c r="B50" s="176" t="s">
        <v>215</v>
      </c>
      <c r="C50" s="116"/>
      <c r="D50" s="116"/>
      <c r="E50" s="117"/>
      <c r="F50" s="243" t="str">
        <f>SUMPRODUCT(IF(('▧ 26년 휴가대장'!$G50:$NG50&lt;&gt;"") * (('▧ 26년 휴가대장'!$G50:$NG50="전") + ('▧ 26년 휴가대장'!$G50:$NG50="후")), 0.5, IF('▧ 26년 휴가대장'!$G50:$NG50="반", 0.25, IF('▧ 26년 휴가대장'!$G50:$NG50="휴", 1, 0)))) &amp; " 일"</f>
        <v>0 일</v>
      </c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9"/>
      <c r="R50" s="179"/>
      <c r="S50" s="178"/>
      <c r="T50" s="179"/>
      <c r="U50" s="178"/>
      <c r="V50" s="178"/>
      <c r="W50" s="179"/>
      <c r="X50" s="178"/>
      <c r="Y50" s="178"/>
      <c r="Z50" s="178"/>
      <c r="AA50" s="178"/>
      <c r="AB50" s="178"/>
      <c r="AC50" s="178"/>
      <c r="AD50" s="178"/>
      <c r="AE50" s="179"/>
      <c r="AF50" s="178"/>
      <c r="AG50" s="178"/>
      <c r="AH50" s="179"/>
      <c r="AI50" s="178"/>
      <c r="AJ50" s="178"/>
      <c r="AK50" s="178"/>
      <c r="AL50" s="181"/>
      <c r="AM50" s="179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9"/>
      <c r="AY50" s="178"/>
      <c r="AZ50" s="178"/>
      <c r="BA50" s="178"/>
      <c r="BB50" s="178"/>
      <c r="BC50" s="178"/>
      <c r="BD50" s="179"/>
      <c r="BE50" s="178"/>
      <c r="BF50" s="179"/>
      <c r="BG50" s="202"/>
      <c r="BH50" s="178"/>
      <c r="BI50" s="179"/>
      <c r="BJ50" s="179"/>
      <c r="BK50" s="179"/>
      <c r="BL50" s="178"/>
      <c r="BM50" s="178"/>
      <c r="BN50" s="181"/>
      <c r="BO50" s="180"/>
      <c r="BP50" s="182"/>
      <c r="BQ50" s="180"/>
      <c r="BR50" s="180"/>
      <c r="BS50" s="180"/>
      <c r="BT50" s="180"/>
      <c r="BU50" s="180"/>
      <c r="BV50" s="180"/>
      <c r="BW50" s="180"/>
      <c r="BX50" s="180"/>
      <c r="BY50" s="180"/>
      <c r="BZ50" s="180"/>
      <c r="CA50" s="180"/>
      <c r="CB50" s="180"/>
      <c r="CC50" s="180"/>
      <c r="CD50" s="180"/>
      <c r="CE50" s="180"/>
      <c r="CF50" s="180"/>
      <c r="CG50" s="180"/>
      <c r="CH50" s="180"/>
      <c r="CI50" s="180"/>
      <c r="CJ50" s="180"/>
      <c r="CK50" s="180"/>
      <c r="CL50" s="180"/>
      <c r="CM50" s="180"/>
      <c r="CN50" s="180"/>
      <c r="CO50" s="180"/>
      <c r="CP50" s="180"/>
      <c r="CQ50" s="180"/>
      <c r="CR50" s="182"/>
      <c r="CS50" s="185"/>
      <c r="CT50" s="180"/>
      <c r="CU50" s="180"/>
      <c r="CV50" s="180"/>
      <c r="CW50" s="180"/>
      <c r="CX50" s="180"/>
      <c r="CY50" s="182"/>
      <c r="CZ50" s="182"/>
      <c r="DA50" s="180"/>
      <c r="DB50" s="180"/>
      <c r="DC50" s="180"/>
      <c r="DD50" s="180"/>
      <c r="DE50" s="180"/>
      <c r="DF50" s="180"/>
      <c r="DG50" s="180"/>
      <c r="DH50" s="180"/>
      <c r="DI50" s="180"/>
      <c r="DJ50" s="179"/>
      <c r="DK50" s="180"/>
      <c r="DL50" s="180"/>
      <c r="DM50" s="180"/>
      <c r="DN50" s="180"/>
      <c r="DO50" s="180"/>
      <c r="DP50" s="180"/>
      <c r="DQ50" s="182"/>
      <c r="DR50" s="180"/>
      <c r="DS50" s="180"/>
      <c r="DT50" s="180"/>
      <c r="DU50" s="180"/>
      <c r="DV50" s="180"/>
      <c r="DW50" s="183"/>
      <c r="DX50" s="182"/>
      <c r="DY50" s="180"/>
      <c r="DZ50" s="180"/>
      <c r="EA50" s="180"/>
      <c r="EB50" s="180"/>
      <c r="EC50" s="182"/>
      <c r="ED50" s="182"/>
      <c r="EE50" s="180"/>
      <c r="EF50" s="180"/>
      <c r="EG50" s="180"/>
      <c r="EH50" s="180"/>
      <c r="EI50" s="179"/>
      <c r="EJ50" s="180"/>
      <c r="EK50" s="180"/>
      <c r="EL50" s="180"/>
      <c r="EM50" s="180"/>
      <c r="EN50" s="180"/>
      <c r="EO50" s="180"/>
      <c r="EP50" s="180"/>
      <c r="EQ50" s="179"/>
      <c r="ER50" s="180"/>
      <c r="ES50" s="182"/>
      <c r="ET50" s="180"/>
      <c r="EU50" s="180"/>
      <c r="EV50" s="180"/>
      <c r="EW50" s="180"/>
      <c r="EX50" s="180"/>
      <c r="EY50" s="180"/>
      <c r="EZ50" s="182"/>
      <c r="FA50" s="180"/>
      <c r="FB50" s="183"/>
      <c r="FC50" s="179"/>
      <c r="FD50" s="182"/>
      <c r="FE50" s="182"/>
      <c r="FF50" s="182"/>
      <c r="FG50" s="182"/>
      <c r="FH50" s="180"/>
      <c r="FI50" s="180"/>
      <c r="FJ50" s="180"/>
      <c r="FK50" s="180"/>
      <c r="FL50" s="182"/>
      <c r="FM50" s="182"/>
      <c r="FN50" s="180"/>
      <c r="FO50" s="180"/>
      <c r="FP50" s="180"/>
      <c r="FQ50" s="180"/>
      <c r="FR50" s="180"/>
      <c r="FS50" s="180"/>
      <c r="FT50" s="180"/>
      <c r="FU50" s="180"/>
      <c r="FV50" s="182"/>
      <c r="FW50" s="180"/>
      <c r="FX50" s="180"/>
      <c r="FY50" s="180"/>
      <c r="FZ50" s="180"/>
      <c r="GA50" s="182"/>
      <c r="GB50" s="180"/>
      <c r="GC50" s="180"/>
      <c r="GD50" s="180"/>
      <c r="GE50" s="180"/>
      <c r="GF50" s="183"/>
      <c r="GG50" s="180"/>
      <c r="GH50" s="180"/>
      <c r="GI50" s="180"/>
      <c r="GJ50" s="182"/>
      <c r="GK50" s="182"/>
      <c r="GL50" s="180"/>
      <c r="GM50" s="180"/>
      <c r="GN50" s="180"/>
      <c r="GO50" s="182"/>
      <c r="GP50" s="180"/>
      <c r="GQ50" s="180"/>
      <c r="GR50" s="180"/>
      <c r="GS50" s="180"/>
      <c r="GT50" s="180"/>
      <c r="GU50" s="180"/>
      <c r="GV50" s="180"/>
      <c r="GW50" s="182"/>
      <c r="GX50" s="180"/>
      <c r="GY50" s="182"/>
      <c r="GZ50" s="180"/>
      <c r="HA50" s="180"/>
      <c r="HB50" s="180"/>
      <c r="HC50" s="180"/>
      <c r="HD50" s="180"/>
      <c r="HE50" s="180"/>
      <c r="HF50" s="180"/>
      <c r="HG50" s="180"/>
      <c r="HH50" s="180"/>
      <c r="HI50" s="180"/>
      <c r="HJ50" s="180"/>
      <c r="HK50" s="185"/>
      <c r="HL50" s="182"/>
      <c r="HM50" s="182"/>
      <c r="HN50" s="182"/>
      <c r="HO50" s="182"/>
      <c r="HP50" s="180"/>
      <c r="HQ50" s="180"/>
      <c r="HR50" s="179"/>
      <c r="HS50" s="122"/>
      <c r="HT50" s="182"/>
      <c r="HU50" s="180"/>
      <c r="HV50" s="180"/>
      <c r="HW50" s="180"/>
      <c r="HX50" s="182"/>
      <c r="HY50" s="180"/>
      <c r="HZ50" s="180"/>
      <c r="IA50" s="180"/>
      <c r="IB50" s="180"/>
      <c r="IC50" s="180"/>
      <c r="ID50" s="180"/>
      <c r="IE50" s="179"/>
      <c r="IF50" s="180"/>
      <c r="IG50" s="180"/>
      <c r="IH50" s="180"/>
      <c r="II50" s="180"/>
      <c r="IJ50" s="180"/>
      <c r="IK50" s="180"/>
      <c r="IL50" s="180"/>
      <c r="IM50" s="179"/>
      <c r="IN50" s="180"/>
      <c r="IO50" s="186"/>
      <c r="IP50" s="183"/>
      <c r="IQ50" s="179"/>
      <c r="IR50" s="179"/>
      <c r="IS50" s="180"/>
      <c r="IT50" s="180"/>
      <c r="IU50" s="180"/>
      <c r="IV50" s="180"/>
      <c r="IW50" s="180"/>
      <c r="IX50" s="180"/>
      <c r="IY50" s="180"/>
      <c r="IZ50" s="180"/>
      <c r="JA50" s="180"/>
      <c r="JB50" s="180"/>
      <c r="JC50" s="180"/>
      <c r="JD50" s="180"/>
      <c r="JE50" s="182"/>
      <c r="JF50" s="180"/>
      <c r="JG50" s="180"/>
      <c r="JH50" s="180"/>
      <c r="JI50" s="180"/>
      <c r="JJ50" s="180"/>
      <c r="JK50" s="180"/>
      <c r="JL50" s="180"/>
      <c r="JM50" s="180"/>
      <c r="JN50" s="182"/>
      <c r="JO50" s="180"/>
      <c r="JP50" s="180"/>
      <c r="JQ50" s="180"/>
      <c r="JR50" s="180"/>
      <c r="JS50" s="180"/>
      <c r="JT50" s="183"/>
      <c r="JU50" s="180"/>
      <c r="JV50" s="180"/>
      <c r="JW50" s="180"/>
      <c r="JX50" s="180"/>
      <c r="JY50" s="180"/>
      <c r="JZ50" s="180"/>
      <c r="KA50" s="180"/>
      <c r="KB50" s="180"/>
      <c r="KC50" s="180"/>
      <c r="KD50" s="180"/>
      <c r="KE50" s="180"/>
      <c r="KF50" s="180"/>
      <c r="KG50" s="180"/>
      <c r="KH50" s="180"/>
      <c r="KI50" s="182"/>
      <c r="KJ50" s="180"/>
      <c r="KK50" s="180"/>
      <c r="KL50" s="180"/>
      <c r="KM50" s="180"/>
      <c r="KN50" s="180"/>
      <c r="KO50" s="180"/>
      <c r="KP50" s="180"/>
      <c r="KQ50" s="180"/>
      <c r="KR50" s="180"/>
      <c r="KS50" s="180"/>
      <c r="KT50" s="180"/>
      <c r="KU50" s="180"/>
      <c r="KV50" s="180"/>
      <c r="KW50" s="180"/>
      <c r="KX50" s="182"/>
      <c r="KY50" s="183"/>
      <c r="KZ50" s="180"/>
      <c r="LA50" s="180"/>
      <c r="LB50" s="180"/>
      <c r="LC50" s="180"/>
      <c r="LD50" s="182"/>
      <c r="LE50" s="180"/>
      <c r="LF50" s="180"/>
      <c r="LG50" s="180"/>
      <c r="LH50" s="182"/>
      <c r="LI50" s="182"/>
      <c r="LJ50" s="180"/>
      <c r="LK50" s="180"/>
      <c r="LL50" s="180"/>
      <c r="LM50" s="180"/>
      <c r="LN50" s="180"/>
      <c r="LO50" s="180"/>
      <c r="LP50" s="180"/>
      <c r="LQ50" s="180"/>
      <c r="LR50" s="180"/>
      <c r="LS50" s="182"/>
      <c r="LT50" s="180"/>
      <c r="LU50" s="182"/>
      <c r="LV50" s="180"/>
      <c r="LW50" s="180"/>
      <c r="LX50" s="180"/>
      <c r="LY50" s="180"/>
      <c r="LZ50" s="180"/>
      <c r="MA50" s="180"/>
      <c r="MB50" s="186"/>
      <c r="MC50" s="182"/>
      <c r="MD50" s="180"/>
      <c r="ME50" s="180"/>
      <c r="MF50" s="180"/>
      <c r="MG50" s="180"/>
      <c r="MH50" s="180"/>
      <c r="MI50" s="180"/>
      <c r="MJ50" s="180"/>
      <c r="MK50" s="182"/>
      <c r="ML50" s="180"/>
      <c r="MM50" s="180"/>
      <c r="MN50" s="180"/>
      <c r="MO50" s="182"/>
      <c r="MP50" s="182"/>
      <c r="MQ50" s="180"/>
      <c r="MR50" s="180"/>
      <c r="MS50" s="180"/>
      <c r="MT50" s="180"/>
      <c r="MU50" s="180"/>
      <c r="MV50" s="180"/>
      <c r="MW50" s="182"/>
      <c r="MX50" s="180"/>
      <c r="MY50" s="180"/>
      <c r="MZ50" s="180"/>
      <c r="NA50" s="180"/>
      <c r="NB50" s="180"/>
      <c r="NC50" s="180"/>
      <c r="ND50" s="180"/>
      <c r="NE50" s="180"/>
      <c r="NF50" s="180"/>
      <c r="NG50" s="180"/>
    </row>
    <row r="51">
      <c r="A51" s="175">
        <v>19.0</v>
      </c>
      <c r="B51" s="176" t="s">
        <v>217</v>
      </c>
      <c r="C51" s="116"/>
      <c r="D51" s="116"/>
      <c r="E51" s="117"/>
      <c r="F51" s="243" t="str">
        <f>SUMPRODUCT(IF(('▧ 26년 휴가대장'!$G51:$NG51&lt;&gt;"") * (('▧ 26년 휴가대장'!$G51:$NG51="전") + ('▧ 26년 휴가대장'!$G51:$NG51="후")), 0.5, IF('▧ 26년 휴가대장'!$G51:$NG51="반", 0.25, IF('▧ 26년 휴가대장'!$G51:$NG51="휴", 1, 0)))) &amp; " 일"</f>
        <v>0 일</v>
      </c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9"/>
      <c r="R51" s="179"/>
      <c r="S51" s="178"/>
      <c r="T51" s="179"/>
      <c r="U51" s="178"/>
      <c r="V51" s="178"/>
      <c r="W51" s="179"/>
      <c r="X51" s="178"/>
      <c r="Y51" s="178"/>
      <c r="Z51" s="178"/>
      <c r="AA51" s="178"/>
      <c r="AB51" s="178"/>
      <c r="AC51" s="178"/>
      <c r="AD51" s="178"/>
      <c r="AE51" s="179"/>
      <c r="AF51" s="178"/>
      <c r="AG51" s="178"/>
      <c r="AH51" s="179"/>
      <c r="AI51" s="178"/>
      <c r="AJ51" s="178"/>
      <c r="AK51" s="178"/>
      <c r="AL51" s="181"/>
      <c r="AM51" s="179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9"/>
      <c r="AY51" s="178"/>
      <c r="AZ51" s="178"/>
      <c r="BA51" s="178"/>
      <c r="BB51" s="178"/>
      <c r="BC51" s="178"/>
      <c r="BD51" s="179"/>
      <c r="BE51" s="178"/>
      <c r="BF51" s="179"/>
      <c r="BG51" s="202"/>
      <c r="BH51" s="178"/>
      <c r="BI51" s="179"/>
      <c r="BJ51" s="179"/>
      <c r="BK51" s="179"/>
      <c r="BL51" s="178"/>
      <c r="BM51" s="178"/>
      <c r="BN51" s="181"/>
      <c r="BO51" s="180"/>
      <c r="BP51" s="182"/>
      <c r="BQ51" s="180"/>
      <c r="BR51" s="180"/>
      <c r="BS51" s="180"/>
      <c r="BT51" s="180"/>
      <c r="BU51" s="180"/>
      <c r="BV51" s="180"/>
      <c r="BW51" s="180"/>
      <c r="BX51" s="180"/>
      <c r="BY51" s="180"/>
      <c r="BZ51" s="180"/>
      <c r="CA51" s="180"/>
      <c r="CB51" s="180"/>
      <c r="CC51" s="180"/>
      <c r="CD51" s="180"/>
      <c r="CE51" s="180"/>
      <c r="CF51" s="180"/>
      <c r="CG51" s="180"/>
      <c r="CH51" s="182"/>
      <c r="CI51" s="180"/>
      <c r="CJ51" s="180"/>
      <c r="CK51" s="180"/>
      <c r="CL51" s="180"/>
      <c r="CM51" s="180"/>
      <c r="CN51" s="180"/>
      <c r="CO51" s="180"/>
      <c r="CP51" s="180"/>
      <c r="CQ51" s="180"/>
      <c r="CR51" s="182"/>
      <c r="CS51" s="185"/>
      <c r="CT51" s="180"/>
      <c r="CU51" s="180"/>
      <c r="CV51" s="180"/>
      <c r="CW51" s="180"/>
      <c r="CX51" s="180"/>
      <c r="CY51" s="182"/>
      <c r="CZ51" s="182"/>
      <c r="DA51" s="180"/>
      <c r="DB51" s="180"/>
      <c r="DC51" s="180"/>
      <c r="DD51" s="180"/>
      <c r="DE51" s="180"/>
      <c r="DF51" s="180"/>
      <c r="DG51" s="180"/>
      <c r="DH51" s="180"/>
      <c r="DI51" s="180"/>
      <c r="DJ51" s="179"/>
      <c r="DK51" s="180"/>
      <c r="DL51" s="180"/>
      <c r="DM51" s="180"/>
      <c r="DN51" s="180"/>
      <c r="DO51" s="180"/>
      <c r="DP51" s="180"/>
      <c r="DQ51" s="180"/>
      <c r="DR51" s="180"/>
      <c r="DS51" s="180"/>
      <c r="DT51" s="180"/>
      <c r="DU51" s="180"/>
      <c r="DV51" s="180"/>
      <c r="DW51" s="183"/>
      <c r="DX51" s="180"/>
      <c r="DY51" s="180"/>
      <c r="DZ51" s="180"/>
      <c r="EA51" s="180"/>
      <c r="EB51" s="180"/>
      <c r="EC51" s="180"/>
      <c r="ED51" s="180"/>
      <c r="EE51" s="180"/>
      <c r="EF51" s="180"/>
      <c r="EG51" s="180"/>
      <c r="EH51" s="180"/>
      <c r="EI51" s="179"/>
      <c r="EJ51" s="180"/>
      <c r="EK51" s="180"/>
      <c r="EL51" s="180"/>
      <c r="EM51" s="180"/>
      <c r="EN51" s="180"/>
      <c r="EO51" s="180"/>
      <c r="EP51" s="180"/>
      <c r="EQ51" s="179"/>
      <c r="ER51" s="180"/>
      <c r="ES51" s="182"/>
      <c r="ET51" s="180"/>
      <c r="EU51" s="180"/>
      <c r="EV51" s="180"/>
      <c r="EW51" s="180"/>
      <c r="EX51" s="180"/>
      <c r="EY51" s="180"/>
      <c r="EZ51" s="182"/>
      <c r="FA51" s="180"/>
      <c r="FB51" s="183"/>
      <c r="FC51" s="179"/>
      <c r="FD51" s="182"/>
      <c r="FE51" s="182"/>
      <c r="FF51" s="182"/>
      <c r="FG51" s="182"/>
      <c r="FH51" s="180"/>
      <c r="FI51" s="180"/>
      <c r="FJ51" s="180"/>
      <c r="FK51" s="180"/>
      <c r="FL51" s="180"/>
      <c r="FM51" s="182"/>
      <c r="FN51" s="180"/>
      <c r="FO51" s="180"/>
      <c r="FP51" s="180"/>
      <c r="FQ51" s="180"/>
      <c r="FR51" s="180"/>
      <c r="FS51" s="180"/>
      <c r="FT51" s="180"/>
      <c r="FU51" s="180"/>
      <c r="FV51" s="182"/>
      <c r="FW51" s="180"/>
      <c r="FX51" s="182"/>
      <c r="FY51" s="180"/>
      <c r="FZ51" s="180"/>
      <c r="GA51" s="182"/>
      <c r="GB51" s="180"/>
      <c r="GC51" s="180"/>
      <c r="GD51" s="180"/>
      <c r="GE51" s="180"/>
      <c r="GF51" s="183"/>
      <c r="GG51" s="180"/>
      <c r="GH51" s="180"/>
      <c r="GI51" s="180"/>
      <c r="GJ51" s="182"/>
      <c r="GK51" s="182"/>
      <c r="GL51" s="180"/>
      <c r="GM51" s="180"/>
      <c r="GN51" s="180"/>
      <c r="GO51" s="182"/>
      <c r="GP51" s="180"/>
      <c r="GQ51" s="180"/>
      <c r="GR51" s="180"/>
      <c r="GS51" s="180"/>
      <c r="GT51" s="180"/>
      <c r="GU51" s="180"/>
      <c r="GV51" s="180"/>
      <c r="GW51" s="180"/>
      <c r="GX51" s="180"/>
      <c r="GY51" s="182"/>
      <c r="GZ51" s="180"/>
      <c r="HA51" s="180"/>
      <c r="HB51" s="180"/>
      <c r="HC51" s="180"/>
      <c r="HD51" s="180"/>
      <c r="HE51" s="180"/>
      <c r="HF51" s="180"/>
      <c r="HG51" s="182"/>
      <c r="HH51" s="180"/>
      <c r="HI51" s="180"/>
      <c r="HJ51" s="180"/>
      <c r="HK51" s="185"/>
      <c r="HL51" s="182"/>
      <c r="HM51" s="182"/>
      <c r="HN51" s="182"/>
      <c r="HO51" s="180"/>
      <c r="HP51" s="180"/>
      <c r="HQ51" s="180"/>
      <c r="HR51" s="180"/>
      <c r="HS51" s="122"/>
      <c r="HT51" s="182"/>
      <c r="HU51" s="180"/>
      <c r="HV51" s="182"/>
      <c r="HW51" s="182"/>
      <c r="HX51" s="182"/>
      <c r="HY51" s="180"/>
      <c r="HZ51" s="180"/>
      <c r="IA51" s="180"/>
      <c r="IB51" s="180"/>
      <c r="IC51" s="180"/>
      <c r="ID51" s="180"/>
      <c r="IE51" s="180"/>
      <c r="IF51" s="180"/>
      <c r="IG51" s="180"/>
      <c r="IH51" s="180"/>
      <c r="II51" s="180"/>
      <c r="IJ51" s="180"/>
      <c r="IK51" s="180"/>
      <c r="IL51" s="180"/>
      <c r="IM51" s="179"/>
      <c r="IN51" s="180"/>
      <c r="IO51" s="186"/>
      <c r="IP51" s="183"/>
      <c r="IQ51" s="179"/>
      <c r="IR51" s="179"/>
      <c r="IS51" s="180"/>
      <c r="IT51" s="180"/>
      <c r="IU51" s="180"/>
      <c r="IV51" s="180"/>
      <c r="IW51" s="180"/>
      <c r="IX51" s="180"/>
      <c r="IY51" s="180"/>
      <c r="IZ51" s="180"/>
      <c r="JA51" s="180"/>
      <c r="JB51" s="180"/>
      <c r="JC51" s="180"/>
      <c r="JD51" s="180"/>
      <c r="JE51" s="180"/>
      <c r="JF51" s="180"/>
      <c r="JG51" s="180"/>
      <c r="JH51" s="180"/>
      <c r="JI51" s="180"/>
      <c r="JJ51" s="180"/>
      <c r="JK51" s="180"/>
      <c r="JL51" s="180"/>
      <c r="JM51" s="180"/>
      <c r="JN51" s="182"/>
      <c r="JO51" s="182"/>
      <c r="JP51" s="180"/>
      <c r="JQ51" s="180"/>
      <c r="JR51" s="180"/>
      <c r="JS51" s="180"/>
      <c r="JT51" s="183"/>
      <c r="JU51" s="180"/>
      <c r="JV51" s="180"/>
      <c r="JW51" s="180"/>
      <c r="JX51" s="180"/>
      <c r="JY51" s="180"/>
      <c r="JZ51" s="180"/>
      <c r="KA51" s="180"/>
      <c r="KB51" s="180"/>
      <c r="KC51" s="180"/>
      <c r="KD51" s="180"/>
      <c r="KE51" s="180"/>
      <c r="KF51" s="180"/>
      <c r="KG51" s="180"/>
      <c r="KH51" s="180"/>
      <c r="KI51" s="182"/>
      <c r="KJ51" s="180"/>
      <c r="KK51" s="180"/>
      <c r="KL51" s="180"/>
      <c r="KM51" s="180"/>
      <c r="KN51" s="180"/>
      <c r="KO51" s="180"/>
      <c r="KP51" s="180"/>
      <c r="KQ51" s="180"/>
      <c r="KR51" s="180"/>
      <c r="KS51" s="180"/>
      <c r="KT51" s="180"/>
      <c r="KU51" s="180"/>
      <c r="KV51" s="180"/>
      <c r="KW51" s="180"/>
      <c r="KX51" s="182"/>
      <c r="KY51" s="183"/>
      <c r="KZ51" s="180"/>
      <c r="LA51" s="180"/>
      <c r="LB51" s="180"/>
      <c r="LC51" s="180"/>
      <c r="LD51" s="182"/>
      <c r="LE51" s="180"/>
      <c r="LF51" s="180"/>
      <c r="LG51" s="180"/>
      <c r="LH51" s="182"/>
      <c r="LI51" s="182"/>
      <c r="LJ51" s="180"/>
      <c r="LK51" s="180"/>
      <c r="LL51" s="180"/>
      <c r="LM51" s="180"/>
      <c r="LN51" s="180"/>
      <c r="LO51" s="180"/>
      <c r="LP51" s="180"/>
      <c r="LQ51" s="180"/>
      <c r="LR51" s="180"/>
      <c r="LS51" s="182"/>
      <c r="LT51" s="180"/>
      <c r="LU51" s="182"/>
      <c r="LV51" s="180"/>
      <c r="LW51" s="180"/>
      <c r="LX51" s="180"/>
      <c r="LY51" s="180"/>
      <c r="LZ51" s="180"/>
      <c r="MA51" s="180"/>
      <c r="MB51" s="186"/>
      <c r="MC51" s="185"/>
      <c r="MD51" s="180"/>
      <c r="ME51" s="180"/>
      <c r="MF51" s="180"/>
      <c r="MG51" s="180"/>
      <c r="MH51" s="180"/>
      <c r="MI51" s="180"/>
      <c r="MJ51" s="180"/>
      <c r="MK51" s="182"/>
      <c r="ML51" s="180"/>
      <c r="MM51" s="180"/>
      <c r="MN51" s="180"/>
      <c r="MO51" s="182"/>
      <c r="MP51" s="182"/>
      <c r="MQ51" s="180"/>
      <c r="MR51" s="180"/>
      <c r="MS51" s="180"/>
      <c r="MT51" s="180"/>
      <c r="MU51" s="180"/>
      <c r="MV51" s="180"/>
      <c r="MW51" s="182"/>
      <c r="MX51" s="180"/>
      <c r="MY51" s="180"/>
      <c r="MZ51" s="180"/>
      <c r="NA51" s="180"/>
      <c r="NB51" s="180"/>
      <c r="NC51" s="180"/>
      <c r="ND51" s="180"/>
      <c r="NE51" s="182"/>
      <c r="NF51" s="182"/>
      <c r="NG51" s="182"/>
    </row>
    <row r="52">
      <c r="A52" s="221">
        <v>20.0</v>
      </c>
      <c r="B52" s="268" t="s">
        <v>219</v>
      </c>
      <c r="C52" s="269"/>
      <c r="D52" s="269"/>
      <c r="E52" s="270"/>
      <c r="F52" s="223" t="str">
        <f>SUMPRODUCT(IF(('▧ 26년 휴가대장'!$G52:$NG52&lt;&gt;"") * (('▧ 26년 휴가대장'!$G52:$NG52="전") + ('▧ 26년 휴가대장'!$G52:$NG52="후")), 0.5, IF('▧ 26년 휴가대장'!$G52:$NG52="반", 0.25, IF('▧ 26년 휴가대장'!$G52:$NG52="휴", 1, 0)))) &amp; " 일"</f>
        <v>0 일</v>
      </c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5"/>
      <c r="T52" s="224"/>
      <c r="U52" s="224"/>
      <c r="V52" s="225"/>
      <c r="W52" s="224"/>
      <c r="X52" s="224"/>
      <c r="Y52" s="224"/>
      <c r="Z52" s="224"/>
      <c r="AA52" s="224"/>
      <c r="AB52" s="224"/>
      <c r="AC52" s="224"/>
      <c r="AD52" s="224"/>
      <c r="AE52" s="224"/>
      <c r="AF52" s="224"/>
      <c r="AG52" s="224"/>
      <c r="AH52" s="224"/>
      <c r="AI52" s="225"/>
      <c r="AJ52" s="224"/>
      <c r="AK52" s="224"/>
      <c r="AL52" s="228"/>
      <c r="AM52" s="224"/>
      <c r="AN52" s="224"/>
      <c r="AO52" s="224"/>
      <c r="AP52" s="225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5"/>
      <c r="BE52" s="224"/>
      <c r="BF52" s="224"/>
      <c r="BG52" s="224"/>
      <c r="BH52" s="225"/>
      <c r="BI52" s="224"/>
      <c r="BJ52" s="224"/>
      <c r="BK52" s="224"/>
      <c r="BL52" s="225"/>
      <c r="BM52" s="225"/>
      <c r="BN52" s="271"/>
      <c r="BO52" s="232"/>
      <c r="BP52" s="226"/>
      <c r="BQ52" s="226"/>
      <c r="BR52" s="230"/>
      <c r="BS52" s="226"/>
      <c r="BT52" s="230"/>
      <c r="BU52" s="226"/>
      <c r="BV52" s="226"/>
      <c r="BW52" s="226"/>
      <c r="BX52" s="230"/>
      <c r="BY52" s="226"/>
      <c r="BZ52" s="230"/>
      <c r="CA52" s="226"/>
      <c r="CB52" s="226"/>
      <c r="CC52" s="226"/>
      <c r="CD52" s="226"/>
      <c r="CE52" s="226"/>
      <c r="CF52" s="226"/>
      <c r="CG52" s="226"/>
      <c r="CH52" s="226"/>
      <c r="CI52" s="226"/>
      <c r="CJ52" s="226"/>
      <c r="CK52" s="226"/>
      <c r="CL52" s="226"/>
      <c r="CM52" s="226"/>
      <c r="CN52" s="226"/>
      <c r="CO52" s="226"/>
      <c r="CP52" s="230"/>
      <c r="CQ52" s="226"/>
      <c r="CR52" s="226"/>
      <c r="CS52" s="231"/>
      <c r="CT52" s="226"/>
      <c r="CU52" s="226"/>
      <c r="CV52" s="226"/>
      <c r="CW52" s="226"/>
      <c r="CX52" s="226"/>
      <c r="CY52" s="226"/>
      <c r="CZ52" s="226"/>
      <c r="DA52" s="226"/>
      <c r="DB52" s="226"/>
      <c r="DC52" s="226"/>
      <c r="DD52" s="232"/>
      <c r="DE52" s="226"/>
      <c r="DF52" s="225"/>
      <c r="DG52" s="226"/>
      <c r="DH52" s="226"/>
      <c r="DI52" s="226"/>
      <c r="DJ52" s="226"/>
      <c r="DK52" s="226"/>
      <c r="DL52" s="226"/>
      <c r="DM52" s="230"/>
      <c r="DN52" s="230"/>
      <c r="DO52" s="226"/>
      <c r="DP52" s="226"/>
      <c r="DQ52" s="226"/>
      <c r="DR52" s="226"/>
      <c r="DS52" s="226"/>
      <c r="DT52" s="230"/>
      <c r="DU52" s="226"/>
      <c r="DV52" s="226"/>
      <c r="DW52" s="231"/>
      <c r="DX52" s="226"/>
      <c r="DY52" s="226"/>
      <c r="DZ52" s="226"/>
      <c r="EA52" s="226"/>
      <c r="EB52" s="226"/>
      <c r="EC52" s="226"/>
      <c r="ED52" s="226"/>
      <c r="EE52" s="226"/>
      <c r="EF52" s="232"/>
      <c r="EG52" s="232"/>
      <c r="EH52" s="226"/>
      <c r="EI52" s="226"/>
      <c r="EJ52" s="226"/>
      <c r="EK52" s="230"/>
      <c r="EL52" s="226"/>
      <c r="EM52" s="226"/>
      <c r="EN52" s="226"/>
      <c r="EO52" s="225"/>
      <c r="EP52" s="226"/>
      <c r="EQ52" s="230"/>
      <c r="ER52" s="226"/>
      <c r="ES52" s="226"/>
      <c r="ET52" s="226"/>
      <c r="EU52" s="226"/>
      <c r="EV52" s="230"/>
      <c r="EW52" s="226"/>
      <c r="EX52" s="230"/>
      <c r="EY52" s="226"/>
      <c r="EZ52" s="226"/>
      <c r="FA52" s="226"/>
      <c r="FB52" s="231"/>
      <c r="FC52" s="226"/>
      <c r="FD52" s="226"/>
      <c r="FE52" s="232"/>
      <c r="FF52" s="232"/>
      <c r="FG52" s="226"/>
      <c r="FH52" s="226"/>
      <c r="FI52" s="230"/>
      <c r="FJ52" s="225"/>
      <c r="FK52" s="226"/>
      <c r="FL52" s="230"/>
      <c r="FM52" s="226"/>
      <c r="FN52" s="226"/>
      <c r="FO52" s="226"/>
      <c r="FP52" s="226"/>
      <c r="FQ52" s="226"/>
      <c r="FR52" s="226"/>
      <c r="FS52" s="226"/>
      <c r="FT52" s="226"/>
      <c r="FU52" s="226"/>
      <c r="FV52" s="226"/>
      <c r="FW52" s="226"/>
      <c r="FX52" s="230"/>
      <c r="FY52" s="226"/>
      <c r="FZ52" s="226"/>
      <c r="GA52" s="226"/>
      <c r="GB52" s="226"/>
      <c r="GC52" s="226"/>
      <c r="GD52" s="226"/>
      <c r="GE52" s="226"/>
      <c r="GF52" s="231"/>
      <c r="GG52" s="226"/>
      <c r="GH52" s="226"/>
      <c r="GI52" s="226"/>
      <c r="GJ52" s="226"/>
      <c r="GK52" s="226"/>
      <c r="GL52" s="230"/>
      <c r="GM52" s="226"/>
      <c r="GN52" s="226"/>
      <c r="GO52" s="230"/>
      <c r="GP52" s="226"/>
      <c r="GQ52" s="226"/>
      <c r="GR52" s="226"/>
      <c r="GS52" s="226"/>
      <c r="GT52" s="230"/>
      <c r="GU52" s="226"/>
      <c r="GV52" s="226"/>
      <c r="GW52" s="226"/>
      <c r="GX52" s="226"/>
      <c r="GY52" s="226"/>
      <c r="GZ52" s="226"/>
      <c r="HA52" s="226"/>
      <c r="HB52" s="226"/>
      <c r="HC52" s="226"/>
      <c r="HD52" s="230"/>
      <c r="HE52" s="226"/>
      <c r="HF52" s="226"/>
      <c r="HG52" s="226"/>
      <c r="HH52" s="226"/>
      <c r="HI52" s="226"/>
      <c r="HJ52" s="226"/>
      <c r="HK52" s="231"/>
      <c r="HL52" s="226"/>
      <c r="HM52" s="230"/>
      <c r="HN52" s="226"/>
      <c r="HO52" s="230"/>
      <c r="HP52" s="226"/>
      <c r="HQ52" s="226"/>
      <c r="HR52" s="226"/>
      <c r="HS52" s="226"/>
      <c r="HT52" s="226"/>
      <c r="HU52" s="226"/>
      <c r="HV52" s="226"/>
      <c r="HW52" s="226"/>
      <c r="HX52" s="226"/>
      <c r="HY52" s="230"/>
      <c r="HZ52" s="226"/>
      <c r="IA52" s="226"/>
      <c r="IB52" s="226"/>
      <c r="IC52" s="226"/>
      <c r="ID52" s="226"/>
      <c r="IE52" s="226"/>
      <c r="IF52" s="230"/>
      <c r="IG52" s="226"/>
      <c r="IH52" s="226"/>
      <c r="II52" s="230"/>
      <c r="IJ52" s="226"/>
      <c r="IK52" s="226"/>
      <c r="IL52" s="230"/>
      <c r="IM52" s="226"/>
      <c r="IN52" s="226"/>
      <c r="IO52" s="272"/>
      <c r="IP52" s="231"/>
      <c r="IQ52" s="226"/>
      <c r="IR52" s="226"/>
      <c r="IS52" s="230"/>
      <c r="IT52" s="226"/>
      <c r="IU52" s="226"/>
      <c r="IV52" s="230"/>
      <c r="IW52" s="226"/>
      <c r="IX52" s="226"/>
      <c r="IY52" s="226"/>
      <c r="IZ52" s="226"/>
      <c r="JA52" s="226"/>
      <c r="JB52" s="226"/>
      <c r="JC52" s="226"/>
      <c r="JD52" s="226"/>
      <c r="JE52" s="226"/>
      <c r="JF52" s="226"/>
      <c r="JG52" s="226"/>
      <c r="JH52" s="226"/>
      <c r="JI52" s="226"/>
      <c r="JJ52" s="226"/>
      <c r="JK52" s="230"/>
      <c r="JL52" s="230"/>
      <c r="JM52" s="230"/>
      <c r="JN52" s="226"/>
      <c r="JO52" s="226"/>
      <c r="JP52" s="226"/>
      <c r="JQ52" s="226"/>
      <c r="JR52" s="226"/>
      <c r="JS52" s="230"/>
      <c r="JT52" s="231"/>
      <c r="JU52" s="226"/>
      <c r="JV52" s="226"/>
      <c r="JW52" s="226"/>
      <c r="JX52" s="226"/>
      <c r="JY52" s="226"/>
      <c r="JZ52" s="226"/>
      <c r="KA52" s="226"/>
      <c r="KB52" s="226"/>
      <c r="KC52" s="230"/>
      <c r="KD52" s="226"/>
      <c r="KE52" s="226"/>
      <c r="KF52" s="226"/>
      <c r="KG52" s="226"/>
      <c r="KH52" s="226"/>
      <c r="KI52" s="226"/>
      <c r="KJ52" s="226"/>
      <c r="KK52" s="226"/>
      <c r="KL52" s="230"/>
      <c r="KM52" s="226"/>
      <c r="KN52" s="230"/>
      <c r="KO52" s="226"/>
      <c r="KP52" s="226"/>
      <c r="KQ52" s="226"/>
      <c r="KR52" s="226"/>
      <c r="KS52" s="230"/>
      <c r="KT52" s="226"/>
      <c r="KU52" s="226"/>
      <c r="KV52" s="230"/>
      <c r="KW52" s="226"/>
      <c r="KX52" s="226"/>
      <c r="KY52" s="231"/>
      <c r="KZ52" s="226"/>
      <c r="LA52" s="225"/>
      <c r="LB52" s="226"/>
      <c r="LC52" s="226"/>
      <c r="LD52" s="226"/>
      <c r="LE52" s="230"/>
      <c r="LF52" s="226"/>
      <c r="LG52" s="230"/>
      <c r="LH52" s="230"/>
      <c r="LI52" s="230"/>
      <c r="LJ52" s="230"/>
      <c r="LK52" s="230"/>
      <c r="LL52" s="230"/>
      <c r="LM52" s="230"/>
      <c r="LN52" s="230"/>
      <c r="LO52" s="230"/>
      <c r="LP52" s="230"/>
      <c r="LQ52" s="230"/>
      <c r="LR52" s="226"/>
      <c r="LS52" s="226"/>
      <c r="LT52" s="226"/>
      <c r="LU52" s="226"/>
      <c r="LV52" s="226"/>
      <c r="LW52" s="226"/>
      <c r="LX52" s="230"/>
      <c r="LY52" s="230"/>
      <c r="LZ52" s="230"/>
      <c r="MA52" s="226"/>
      <c r="MB52" s="226"/>
      <c r="MC52" s="231"/>
      <c r="MD52" s="226"/>
      <c r="ME52" s="226"/>
      <c r="MF52" s="226"/>
      <c r="MG52" s="226"/>
      <c r="MH52" s="226"/>
      <c r="MI52" s="226"/>
      <c r="MJ52" s="230"/>
      <c r="MK52" s="225"/>
      <c r="ML52" s="225"/>
      <c r="MM52" s="225"/>
      <c r="MN52" s="226"/>
      <c r="MO52" s="226"/>
      <c r="MP52" s="226"/>
      <c r="MQ52" s="226"/>
      <c r="MR52" s="226"/>
      <c r="MS52" s="226"/>
      <c r="MT52" s="230"/>
      <c r="MU52" s="230"/>
      <c r="MV52" s="226"/>
      <c r="MW52" s="225"/>
      <c r="MX52" s="225"/>
      <c r="MY52" s="226"/>
      <c r="MZ52" s="230"/>
      <c r="NA52" s="226"/>
      <c r="NB52" s="230"/>
      <c r="NC52" s="226"/>
      <c r="ND52" s="226"/>
      <c r="NE52" s="226"/>
      <c r="NF52" s="226"/>
      <c r="NG52" s="226"/>
    </row>
  </sheetData>
  <mergeCells count="39">
    <mergeCell ref="GF29:HJ29"/>
    <mergeCell ref="HK29:IO29"/>
    <mergeCell ref="IP29:JS29"/>
    <mergeCell ref="JT29:KX29"/>
    <mergeCell ref="KY29:MB29"/>
    <mergeCell ref="MC29:NG29"/>
    <mergeCell ref="A24:F24"/>
    <mergeCell ref="A28:F28"/>
    <mergeCell ref="BO28:NG28"/>
    <mergeCell ref="G29:AK29"/>
    <mergeCell ref="AL29:BM29"/>
    <mergeCell ref="BN29:CR29"/>
    <mergeCell ref="CS29:DV29"/>
    <mergeCell ref="DW29:FA29"/>
    <mergeCell ref="FB29:GE29"/>
    <mergeCell ref="A30:F30"/>
    <mergeCell ref="A31:A32"/>
    <mergeCell ref="B31:E32"/>
    <mergeCell ref="F31:F32"/>
    <mergeCell ref="B33:E33"/>
    <mergeCell ref="B34:E34"/>
    <mergeCell ref="B35:E35"/>
    <mergeCell ref="B36:E36"/>
    <mergeCell ref="B37:E37"/>
    <mergeCell ref="B38:E38"/>
    <mergeCell ref="B39:E39"/>
    <mergeCell ref="B40:E40"/>
    <mergeCell ref="B48:E48"/>
    <mergeCell ref="B49:E49"/>
    <mergeCell ref="B50:E50"/>
    <mergeCell ref="B51:E51"/>
    <mergeCell ref="B52:E52"/>
    <mergeCell ref="B41:E41"/>
    <mergeCell ref="B42:E42"/>
    <mergeCell ref="B43:E43"/>
    <mergeCell ref="B44:E44"/>
    <mergeCell ref="B45:E45"/>
    <mergeCell ref="B46:E46"/>
    <mergeCell ref="B47:E47"/>
  </mergeCells>
  <conditionalFormatting sqref="LI39">
    <cfRule type="expression" dxfId="8" priority="1">
      <formula>WEEKDAY(LH$32)=7</formula>
    </cfRule>
  </conditionalFormatting>
  <conditionalFormatting sqref="LI39">
    <cfRule type="expression" dxfId="9" priority="2">
      <formula>WEEKDAY(LH$32)=1</formula>
    </cfRule>
  </conditionalFormatting>
  <conditionalFormatting sqref="LI39">
    <cfRule type="expression" dxfId="10" priority="3">
      <formula>match(LH$32,$B$4:$B$25,0)&gt;=1</formula>
    </cfRule>
  </conditionalFormatting>
  <conditionalFormatting sqref="I34:I36 IJ34 LC34 CA35:CA37 JO35:JO36 JR35:JR36 KI39 CA40:CA43 LE44 LI44 U48 MG48">
    <cfRule type="expression" dxfId="8" priority="4">
      <formula>WEEKDAY(I$32)=7</formula>
    </cfRule>
  </conditionalFormatting>
  <conditionalFormatting sqref="I34:I36 IJ34 LC34 CA35:CA37 JO35:JO36 JR35:JR36 KI39 CA40:CA43 LE44 LI44 U48 MG48">
    <cfRule type="expression" dxfId="9" priority="5">
      <formula>WEEKDAY(I$32)=1</formula>
    </cfRule>
  </conditionalFormatting>
  <conditionalFormatting sqref="I34:I36 IJ34 LC34 CA35:CA37 JO35:JO36 JR35:JR36 KI39 CA40:CA43 LE44 LI44 U48 MG48">
    <cfRule type="expression" dxfId="10" priority="6">
      <formula>match(I$32,$B$4:$B$25,0)&gt;=1</formula>
    </cfRule>
  </conditionalFormatting>
  <conditionalFormatting sqref="G31:NG52">
    <cfRule type="expression" dxfId="8" priority="7">
      <formula>WEEKDAY(G$31)=7</formula>
    </cfRule>
  </conditionalFormatting>
  <conditionalFormatting sqref="G31:NG52">
    <cfRule type="expression" dxfId="9" priority="8">
      <formula>WEEKDAY(G$31)=1</formula>
    </cfRule>
  </conditionalFormatting>
  <conditionalFormatting sqref="G33:NG52">
    <cfRule type="containsText" dxfId="11" priority="9" operator="containsText" text="휴">
      <formula>NOT(ISERROR(SEARCH(("휴"),(G33))))</formula>
    </cfRule>
  </conditionalFormatting>
  <conditionalFormatting sqref="G33:NG52">
    <cfRule type="containsText" dxfId="12" priority="10" operator="containsText" text="전">
      <formula>NOT(ISERROR(SEARCH(("전"),(G33))))</formula>
    </cfRule>
  </conditionalFormatting>
  <conditionalFormatting sqref="G33:NG52">
    <cfRule type="containsText" dxfId="13" priority="11" operator="containsText" text="후">
      <formula>NOT(ISERROR(SEARCH(("후"),(G33))))</formula>
    </cfRule>
  </conditionalFormatting>
  <conditionalFormatting sqref="G33:NG52">
    <cfRule type="containsText" dxfId="14" priority="12" operator="containsText" text="반">
      <formula>NOT(ISERROR(SEARCH(("반"),(G33))))</formula>
    </cfRule>
  </conditionalFormatting>
  <conditionalFormatting sqref="G31:NG52">
    <cfRule type="expression" dxfId="10" priority="13">
      <formula>match(G$31,$B$4:$B$24,0)&gt;=1</formula>
    </cfRule>
  </conditionalFormatting>
  <conditionalFormatting sqref="G31:NG31">
    <cfRule type="timePeriod" dxfId="15" priority="14" timePeriod="today"/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5.0" ySplit="31.0" topLeftCell="F32" activePane="bottomRight" state="frozen"/>
      <selection activeCell="F1" sqref="F1" pane="topRight"/>
      <selection activeCell="A32" sqref="A32" pane="bottomLeft"/>
      <selection activeCell="F32" sqref="F32" pane="bottomRight"/>
    </sheetView>
  </sheetViews>
  <sheetFormatPr customHeight="1" defaultColWidth="12.63" defaultRowHeight="15.75" outlineLevelRow="1"/>
  <cols>
    <col customWidth="1" min="1" max="1" width="8.13"/>
    <col customWidth="1" min="2" max="2" width="9.38"/>
    <col customWidth="1" min="3" max="3" width="9.13"/>
    <col customWidth="1" min="4" max="4" width="77.63"/>
    <col customWidth="1" min="5" max="5" width="9.88"/>
    <col customWidth="1" hidden="1" min="6" max="248" width="2.63"/>
    <col customWidth="1" min="249" max="370" width="2.63"/>
  </cols>
  <sheetData>
    <row r="1" ht="36.0" customHeight="1" collapsed="1">
      <c r="A1" s="16" t="s">
        <v>59</v>
      </c>
      <c r="B1" s="17"/>
      <c r="C1" s="18"/>
      <c r="D1" s="19"/>
      <c r="E1" s="18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</row>
    <row r="2" ht="15.0" hidden="1" customHeight="1" outlineLevel="1">
      <c r="A2" s="47">
        <v>2026.0</v>
      </c>
      <c r="B2" s="49"/>
      <c r="C2" s="51"/>
      <c r="D2" s="52"/>
      <c r="E2" s="51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</row>
    <row r="3" ht="15.0" hidden="1" customHeight="1" outlineLevel="1">
      <c r="A3" s="62">
        <v>1.0</v>
      </c>
      <c r="B3" s="63"/>
      <c r="C3" s="64"/>
      <c r="D3" s="65"/>
      <c r="E3" s="64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</row>
    <row r="4" ht="15.0" hidden="1" customHeight="1" outlineLevel="1">
      <c r="A4" s="62">
        <v>6.0</v>
      </c>
      <c r="B4" s="67"/>
      <c r="C4" s="64"/>
      <c r="D4" s="68"/>
      <c r="E4" s="64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</row>
    <row r="5" ht="15.0" hidden="1" customHeight="1" outlineLevel="1">
      <c r="A5" s="69" t="s">
        <v>97</v>
      </c>
      <c r="B5" s="70">
        <v>46023.0</v>
      </c>
      <c r="C5" s="64"/>
      <c r="D5" s="71"/>
      <c r="E5" s="64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</row>
    <row r="6" ht="15.0" hidden="1" customHeight="1" outlineLevel="1">
      <c r="A6" s="69" t="s">
        <v>98</v>
      </c>
      <c r="B6" s="70">
        <v>46069.0</v>
      </c>
      <c r="C6" s="64"/>
      <c r="D6" s="71"/>
      <c r="E6" s="64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</row>
    <row r="7" ht="15.0" hidden="1" customHeight="1" outlineLevel="1">
      <c r="A7" s="72"/>
      <c r="B7" s="70">
        <v>46070.0</v>
      </c>
      <c r="C7" s="64"/>
      <c r="D7" s="71"/>
      <c r="E7" s="64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  <c r="LQ7" s="22"/>
      <c r="LR7" s="22"/>
      <c r="LS7" s="22"/>
      <c r="LT7" s="22"/>
      <c r="LU7" s="22"/>
      <c r="LV7" s="22"/>
      <c r="LW7" s="22"/>
      <c r="LX7" s="22"/>
      <c r="LY7" s="22"/>
      <c r="LZ7" s="22"/>
      <c r="MA7" s="22"/>
      <c r="MB7" s="22"/>
      <c r="MC7" s="22"/>
      <c r="MD7" s="22"/>
      <c r="ME7" s="22"/>
      <c r="MF7" s="22"/>
      <c r="MG7" s="22"/>
      <c r="MH7" s="22"/>
      <c r="MI7" s="22"/>
      <c r="MJ7" s="22"/>
      <c r="MK7" s="22"/>
      <c r="ML7" s="22"/>
      <c r="MM7" s="22"/>
      <c r="MN7" s="22"/>
      <c r="MO7" s="22"/>
      <c r="MP7" s="22"/>
      <c r="MQ7" s="22"/>
      <c r="MR7" s="22"/>
      <c r="MS7" s="22"/>
      <c r="MT7" s="22"/>
      <c r="MU7" s="22"/>
      <c r="MV7" s="22"/>
      <c r="MW7" s="22"/>
      <c r="MX7" s="22"/>
      <c r="MY7" s="22"/>
      <c r="MZ7" s="22"/>
      <c r="NA7" s="22"/>
      <c r="NB7" s="22"/>
      <c r="NC7" s="22"/>
      <c r="ND7" s="22"/>
      <c r="NE7" s="22"/>
      <c r="NF7" s="22"/>
    </row>
    <row r="8" ht="15.0" hidden="1" customHeight="1" outlineLevel="1">
      <c r="A8" s="72"/>
      <c r="B8" s="70">
        <v>46071.0</v>
      </c>
      <c r="C8" s="64"/>
      <c r="D8" s="71"/>
      <c r="E8" s="64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  <c r="IZ8" s="22"/>
      <c r="JA8" s="22"/>
      <c r="JB8" s="22"/>
      <c r="JC8" s="22"/>
      <c r="JD8" s="22"/>
      <c r="JE8" s="22"/>
      <c r="JF8" s="22"/>
      <c r="JG8" s="22"/>
      <c r="JH8" s="22"/>
      <c r="JI8" s="22"/>
      <c r="JJ8" s="22"/>
      <c r="JK8" s="22"/>
      <c r="JL8" s="22"/>
      <c r="JM8" s="22"/>
      <c r="JN8" s="22"/>
      <c r="JO8" s="22"/>
      <c r="JP8" s="22"/>
      <c r="JQ8" s="22"/>
      <c r="JR8" s="22"/>
      <c r="JS8" s="22"/>
      <c r="JT8" s="22"/>
      <c r="JU8" s="22"/>
      <c r="JV8" s="22"/>
      <c r="JW8" s="22"/>
      <c r="JX8" s="22"/>
      <c r="JY8" s="22"/>
      <c r="JZ8" s="22"/>
      <c r="KA8" s="22"/>
      <c r="KB8" s="22"/>
      <c r="KC8" s="22"/>
      <c r="KD8" s="22"/>
      <c r="KE8" s="22"/>
      <c r="KF8" s="22"/>
      <c r="KG8" s="22"/>
      <c r="KH8" s="22"/>
      <c r="KI8" s="22"/>
      <c r="KJ8" s="22"/>
      <c r="KK8" s="22"/>
      <c r="KL8" s="22"/>
      <c r="KM8" s="22"/>
      <c r="KN8" s="22"/>
      <c r="KO8" s="22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2"/>
      <c r="LD8" s="22"/>
      <c r="LE8" s="22"/>
      <c r="LF8" s="22"/>
      <c r="LG8" s="22"/>
      <c r="LH8" s="22"/>
      <c r="LI8" s="22"/>
      <c r="LJ8" s="22"/>
      <c r="LK8" s="22"/>
      <c r="LL8" s="22"/>
      <c r="LM8" s="22"/>
      <c r="LN8" s="22"/>
      <c r="LO8" s="22"/>
      <c r="LP8" s="22"/>
      <c r="LQ8" s="22"/>
      <c r="LR8" s="22"/>
      <c r="LS8" s="22"/>
      <c r="LT8" s="22"/>
      <c r="LU8" s="22"/>
      <c r="LV8" s="22"/>
      <c r="LW8" s="22"/>
      <c r="LX8" s="22"/>
      <c r="LY8" s="22"/>
      <c r="LZ8" s="22"/>
      <c r="MA8" s="22"/>
      <c r="MB8" s="22"/>
      <c r="MC8" s="22"/>
      <c r="MD8" s="22"/>
      <c r="ME8" s="22"/>
      <c r="MF8" s="22"/>
      <c r="MG8" s="22"/>
      <c r="MH8" s="22"/>
      <c r="MI8" s="22"/>
      <c r="MJ8" s="22"/>
      <c r="MK8" s="22"/>
      <c r="ML8" s="22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2"/>
      <c r="MZ8" s="22"/>
      <c r="NA8" s="22"/>
      <c r="NB8" s="22"/>
      <c r="NC8" s="22"/>
      <c r="ND8" s="22"/>
      <c r="NE8" s="22"/>
      <c r="NF8" s="22"/>
    </row>
    <row r="9" ht="15.0" hidden="1" customHeight="1" outlineLevel="1">
      <c r="A9" s="69" t="s">
        <v>99</v>
      </c>
      <c r="B9" s="70">
        <v>46082.0</v>
      </c>
      <c r="C9" s="64"/>
      <c r="D9" s="71"/>
      <c r="E9" s="64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  <c r="IZ9" s="22"/>
      <c r="JA9" s="22"/>
      <c r="JB9" s="22"/>
      <c r="JC9" s="22"/>
      <c r="JD9" s="22"/>
      <c r="JE9" s="22"/>
      <c r="JF9" s="22"/>
      <c r="JG9" s="22"/>
      <c r="JH9" s="22"/>
      <c r="JI9" s="22"/>
      <c r="JJ9" s="22"/>
      <c r="JK9" s="22"/>
      <c r="JL9" s="22"/>
      <c r="JM9" s="22"/>
      <c r="JN9" s="22"/>
      <c r="JO9" s="22"/>
      <c r="JP9" s="22"/>
      <c r="JQ9" s="22"/>
      <c r="JR9" s="22"/>
      <c r="JS9" s="22"/>
      <c r="JT9" s="22"/>
      <c r="JU9" s="22"/>
      <c r="JV9" s="22"/>
      <c r="JW9" s="22"/>
      <c r="JX9" s="22"/>
      <c r="JY9" s="22"/>
      <c r="JZ9" s="22"/>
      <c r="KA9" s="22"/>
      <c r="KB9" s="22"/>
      <c r="KC9" s="22"/>
      <c r="KD9" s="22"/>
      <c r="KE9" s="22"/>
      <c r="KF9" s="22"/>
      <c r="KG9" s="22"/>
      <c r="KH9" s="22"/>
      <c r="KI9" s="22"/>
      <c r="KJ9" s="22"/>
      <c r="KK9" s="22"/>
      <c r="KL9" s="22"/>
      <c r="KM9" s="22"/>
      <c r="KN9" s="22"/>
      <c r="KO9" s="22"/>
      <c r="KP9" s="22"/>
      <c r="KQ9" s="22"/>
      <c r="KR9" s="22"/>
      <c r="KS9" s="22"/>
      <c r="KT9" s="22"/>
      <c r="KU9" s="22"/>
      <c r="KV9" s="22"/>
      <c r="KW9" s="22"/>
      <c r="KX9" s="22"/>
      <c r="KY9" s="22"/>
      <c r="KZ9" s="22"/>
      <c r="LA9" s="22"/>
      <c r="LB9" s="22"/>
      <c r="LC9" s="22"/>
      <c r="LD9" s="22"/>
      <c r="LE9" s="22"/>
      <c r="LF9" s="22"/>
      <c r="LG9" s="22"/>
      <c r="LH9" s="22"/>
      <c r="LI9" s="22"/>
      <c r="LJ9" s="22"/>
      <c r="LK9" s="22"/>
      <c r="LL9" s="22"/>
      <c r="LM9" s="22"/>
      <c r="LN9" s="22"/>
      <c r="LO9" s="22"/>
      <c r="LP9" s="22"/>
      <c r="LQ9" s="22"/>
      <c r="LR9" s="22"/>
      <c r="LS9" s="22"/>
      <c r="LT9" s="22"/>
      <c r="LU9" s="22"/>
      <c r="LV9" s="22"/>
      <c r="LW9" s="22"/>
      <c r="LX9" s="22"/>
      <c r="LY9" s="22"/>
      <c r="LZ9" s="22"/>
      <c r="MA9" s="22"/>
      <c r="MB9" s="22"/>
      <c r="MC9" s="22"/>
      <c r="MD9" s="22"/>
      <c r="ME9" s="22"/>
      <c r="MF9" s="22"/>
      <c r="MG9" s="22"/>
      <c r="MH9" s="22"/>
      <c r="MI9" s="22"/>
      <c r="MJ9" s="22"/>
      <c r="MK9" s="22"/>
      <c r="ML9" s="22"/>
      <c r="MM9" s="22"/>
      <c r="MN9" s="22"/>
      <c r="MO9" s="22"/>
      <c r="MP9" s="22"/>
      <c r="MQ9" s="22"/>
      <c r="MR9" s="22"/>
      <c r="MS9" s="22"/>
      <c r="MT9" s="22"/>
      <c r="MU9" s="22"/>
      <c r="MV9" s="22"/>
      <c r="MW9" s="22"/>
      <c r="MX9" s="22"/>
      <c r="MY9" s="22"/>
      <c r="MZ9" s="22"/>
      <c r="NA9" s="22"/>
      <c r="NB9" s="22"/>
      <c r="NC9" s="22"/>
      <c r="ND9" s="22"/>
      <c r="NE9" s="22"/>
      <c r="NF9" s="22"/>
    </row>
    <row r="10" ht="15.0" hidden="1" customHeight="1" outlineLevel="1">
      <c r="A10" s="72"/>
      <c r="B10" s="70">
        <v>46083.0</v>
      </c>
      <c r="C10" s="64"/>
      <c r="D10" s="71"/>
      <c r="E10" s="73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  <c r="IZ10" s="22"/>
      <c r="JA10" s="22"/>
      <c r="JB10" s="22"/>
      <c r="JC10" s="22"/>
      <c r="JD10" s="22"/>
      <c r="JE10" s="22"/>
      <c r="JF10" s="22"/>
      <c r="JG10" s="22"/>
      <c r="JH10" s="22"/>
      <c r="JI10" s="22"/>
      <c r="JJ10" s="22"/>
      <c r="JK10" s="22"/>
      <c r="JL10" s="22"/>
      <c r="JM10" s="22"/>
      <c r="JN10" s="22"/>
      <c r="JO10" s="22"/>
      <c r="JP10" s="22"/>
      <c r="JQ10" s="22"/>
      <c r="JR10" s="22"/>
      <c r="JS10" s="22"/>
      <c r="JT10" s="22"/>
      <c r="JU10" s="22"/>
      <c r="JV10" s="22"/>
      <c r="JW10" s="22"/>
      <c r="JX10" s="22"/>
      <c r="JY10" s="22"/>
      <c r="JZ10" s="22"/>
      <c r="KA10" s="22"/>
      <c r="KB10" s="22"/>
      <c r="KC10" s="22"/>
      <c r="KD10" s="22"/>
      <c r="KE10" s="22"/>
      <c r="KF10" s="22"/>
      <c r="KG10" s="22"/>
      <c r="KH10" s="22"/>
      <c r="KI10" s="22"/>
      <c r="KJ10" s="22"/>
      <c r="KK10" s="22"/>
      <c r="KL10" s="22"/>
      <c r="KM10" s="22"/>
      <c r="KN10" s="22"/>
      <c r="KO10" s="22"/>
      <c r="KP10" s="22"/>
      <c r="KQ10" s="22"/>
      <c r="KR10" s="22"/>
      <c r="KS10" s="22"/>
      <c r="KT10" s="22"/>
      <c r="KU10" s="22"/>
      <c r="KV10" s="22"/>
      <c r="KW10" s="22"/>
      <c r="KX10" s="22"/>
      <c r="KY10" s="22"/>
      <c r="KZ10" s="22"/>
      <c r="LA10" s="22"/>
      <c r="LB10" s="22"/>
      <c r="LC10" s="22"/>
      <c r="LD10" s="22"/>
      <c r="LE10" s="22"/>
      <c r="LF10" s="22"/>
      <c r="LG10" s="22"/>
      <c r="LH10" s="22"/>
      <c r="LI10" s="22"/>
      <c r="LJ10" s="22"/>
      <c r="LK10" s="22"/>
      <c r="LL10" s="22"/>
      <c r="LM10" s="22"/>
      <c r="LN10" s="22"/>
      <c r="LO10" s="22"/>
      <c r="LP10" s="22"/>
      <c r="LQ10" s="22"/>
      <c r="LR10" s="22"/>
      <c r="LS10" s="22"/>
      <c r="LT10" s="22"/>
      <c r="LU10" s="22"/>
      <c r="LV10" s="22"/>
      <c r="LW10" s="22"/>
      <c r="LX10" s="22"/>
      <c r="LY10" s="22"/>
      <c r="LZ10" s="22"/>
      <c r="MA10" s="22"/>
      <c r="MB10" s="22"/>
      <c r="MC10" s="22"/>
      <c r="MD10" s="22"/>
      <c r="ME10" s="22"/>
      <c r="MF10" s="22"/>
      <c r="MG10" s="22"/>
      <c r="MH10" s="22"/>
      <c r="MI10" s="22"/>
      <c r="MJ10" s="22"/>
      <c r="MK10" s="22"/>
      <c r="ML10" s="22"/>
      <c r="MM10" s="22"/>
      <c r="MN10" s="22"/>
      <c r="MO10" s="22"/>
      <c r="MP10" s="22"/>
      <c r="MQ10" s="22"/>
      <c r="MR10" s="22"/>
      <c r="MS10" s="22"/>
      <c r="MT10" s="22"/>
      <c r="MU10" s="22"/>
      <c r="MV10" s="22"/>
      <c r="MW10" s="22"/>
      <c r="MX10" s="22"/>
      <c r="MY10" s="22"/>
      <c r="MZ10" s="22"/>
      <c r="NA10" s="22"/>
      <c r="NB10" s="22"/>
      <c r="NC10" s="22"/>
      <c r="ND10" s="22"/>
      <c r="NE10" s="22"/>
      <c r="NF10" s="22"/>
    </row>
    <row r="11" ht="15.0" hidden="1" customHeight="1" outlineLevel="1">
      <c r="A11" s="69" t="s">
        <v>100</v>
      </c>
      <c r="B11" s="70">
        <v>46122.0</v>
      </c>
      <c r="C11" s="64"/>
      <c r="D11" s="71"/>
      <c r="E11" s="73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  <c r="IZ11" s="22"/>
      <c r="JA11" s="22"/>
      <c r="JB11" s="22"/>
      <c r="JC11" s="22"/>
      <c r="JD11" s="22"/>
      <c r="JE11" s="22"/>
      <c r="JF11" s="22"/>
      <c r="JG11" s="22"/>
      <c r="JH11" s="22"/>
      <c r="JI11" s="22"/>
      <c r="JJ11" s="22"/>
      <c r="JK11" s="22"/>
      <c r="JL11" s="22"/>
      <c r="JM11" s="22"/>
      <c r="JN11" s="22"/>
      <c r="JO11" s="22"/>
      <c r="JP11" s="22"/>
      <c r="JQ11" s="22"/>
      <c r="JR11" s="22"/>
      <c r="JS11" s="22"/>
      <c r="JT11" s="22"/>
      <c r="JU11" s="22"/>
      <c r="JV11" s="22"/>
      <c r="JW11" s="22"/>
      <c r="JX11" s="22"/>
      <c r="JY11" s="22"/>
      <c r="JZ11" s="22"/>
      <c r="KA11" s="22"/>
      <c r="KB11" s="22"/>
      <c r="KC11" s="22"/>
      <c r="KD11" s="22"/>
      <c r="KE11" s="22"/>
      <c r="KF11" s="22"/>
      <c r="KG11" s="22"/>
      <c r="KH11" s="22"/>
      <c r="KI11" s="22"/>
      <c r="KJ11" s="22"/>
      <c r="KK11" s="22"/>
      <c r="KL11" s="22"/>
      <c r="KM11" s="22"/>
      <c r="KN11" s="22"/>
      <c r="KO11" s="22"/>
      <c r="KP11" s="22"/>
      <c r="KQ11" s="22"/>
      <c r="KR11" s="22"/>
      <c r="KS11" s="22"/>
      <c r="KT11" s="22"/>
      <c r="KU11" s="22"/>
      <c r="KV11" s="22"/>
      <c r="KW11" s="22"/>
      <c r="KX11" s="22"/>
      <c r="KY11" s="22"/>
      <c r="KZ11" s="22"/>
      <c r="LA11" s="22"/>
      <c r="LB11" s="22"/>
      <c r="LC11" s="22"/>
      <c r="LD11" s="22"/>
      <c r="LE11" s="22"/>
      <c r="LF11" s="22"/>
      <c r="LG11" s="22"/>
      <c r="LH11" s="22"/>
      <c r="LI11" s="22"/>
      <c r="LJ11" s="22"/>
      <c r="LK11" s="22"/>
      <c r="LL11" s="22"/>
      <c r="LM11" s="22"/>
      <c r="LN11" s="22"/>
      <c r="LO11" s="22"/>
      <c r="LP11" s="22"/>
      <c r="LQ11" s="22"/>
      <c r="LR11" s="22"/>
      <c r="LS11" s="22"/>
      <c r="LT11" s="22"/>
      <c r="LU11" s="22"/>
      <c r="LV11" s="22"/>
      <c r="LW11" s="22"/>
      <c r="LX11" s="22"/>
      <c r="LY11" s="22"/>
      <c r="LZ11" s="22"/>
      <c r="MA11" s="22"/>
      <c r="MB11" s="22"/>
      <c r="MC11" s="22"/>
      <c r="MD11" s="22"/>
      <c r="ME11" s="22"/>
      <c r="MF11" s="22"/>
      <c r="MG11" s="22"/>
      <c r="MH11" s="22"/>
      <c r="MI11" s="22"/>
      <c r="MJ11" s="22"/>
      <c r="MK11" s="22"/>
      <c r="ML11" s="22"/>
      <c r="MM11" s="22"/>
      <c r="MN11" s="22"/>
      <c r="MO11" s="22"/>
      <c r="MP11" s="22"/>
      <c r="MQ11" s="22"/>
      <c r="MR11" s="22"/>
      <c r="MS11" s="22"/>
      <c r="MT11" s="22"/>
      <c r="MU11" s="22"/>
      <c r="MV11" s="22"/>
      <c r="MW11" s="22"/>
      <c r="MX11" s="22"/>
      <c r="MY11" s="22"/>
      <c r="MZ11" s="22"/>
      <c r="NA11" s="22"/>
      <c r="NB11" s="22"/>
      <c r="NC11" s="22"/>
      <c r="ND11" s="22"/>
      <c r="NE11" s="22"/>
      <c r="NF11" s="22"/>
    </row>
    <row r="12" ht="15.0" hidden="1" customHeight="1" outlineLevel="1">
      <c r="A12" s="69" t="s">
        <v>101</v>
      </c>
      <c r="B12" s="70">
        <v>46143.0</v>
      </c>
      <c r="C12" s="74"/>
      <c r="D12" s="71"/>
      <c r="E12" s="7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  <c r="IZ12" s="22"/>
      <c r="JA12" s="22"/>
      <c r="JB12" s="22"/>
      <c r="JC12" s="22"/>
      <c r="JD12" s="22"/>
      <c r="JE12" s="22"/>
      <c r="JF12" s="22"/>
      <c r="JG12" s="22"/>
      <c r="JH12" s="22"/>
      <c r="JI12" s="22"/>
      <c r="JJ12" s="22"/>
      <c r="JK12" s="22"/>
      <c r="JL12" s="22"/>
      <c r="JM12" s="22"/>
      <c r="JN12" s="22"/>
      <c r="JO12" s="22"/>
      <c r="JP12" s="22"/>
      <c r="JQ12" s="22"/>
      <c r="JR12" s="22"/>
      <c r="JS12" s="22"/>
      <c r="JT12" s="22"/>
      <c r="JU12" s="22"/>
      <c r="JV12" s="22"/>
      <c r="JW12" s="22"/>
      <c r="JX12" s="22"/>
      <c r="JY12" s="22"/>
      <c r="JZ12" s="22"/>
      <c r="KA12" s="22"/>
      <c r="KB12" s="22"/>
      <c r="KC12" s="22"/>
      <c r="KD12" s="22"/>
      <c r="KE12" s="22"/>
      <c r="KF12" s="22"/>
      <c r="KG12" s="22"/>
      <c r="KH12" s="22"/>
      <c r="KI12" s="22"/>
      <c r="KJ12" s="22"/>
      <c r="KK12" s="22"/>
      <c r="KL12" s="22"/>
      <c r="KM12" s="22"/>
      <c r="KN12" s="22"/>
      <c r="KO12" s="22"/>
      <c r="KP12" s="22"/>
      <c r="KQ12" s="22"/>
      <c r="KR12" s="22"/>
      <c r="KS12" s="22"/>
      <c r="KT12" s="22"/>
      <c r="KU12" s="22"/>
      <c r="KV12" s="22"/>
      <c r="KW12" s="22"/>
      <c r="KX12" s="22"/>
      <c r="KY12" s="22"/>
      <c r="KZ12" s="22"/>
      <c r="LA12" s="22"/>
      <c r="LB12" s="22"/>
      <c r="LC12" s="22"/>
      <c r="LD12" s="22"/>
      <c r="LE12" s="22"/>
      <c r="LF12" s="22"/>
      <c r="LG12" s="22"/>
      <c r="LH12" s="22"/>
      <c r="LI12" s="22"/>
      <c r="LJ12" s="22"/>
      <c r="LK12" s="22"/>
      <c r="LL12" s="22"/>
      <c r="LM12" s="22"/>
      <c r="LN12" s="22"/>
      <c r="LO12" s="22"/>
      <c r="LP12" s="22"/>
      <c r="LQ12" s="22"/>
      <c r="LR12" s="22"/>
      <c r="LS12" s="22"/>
      <c r="LT12" s="22"/>
      <c r="LU12" s="22"/>
      <c r="LV12" s="22"/>
      <c r="LW12" s="22"/>
      <c r="LX12" s="22"/>
      <c r="LY12" s="22"/>
      <c r="LZ12" s="22"/>
      <c r="MA12" s="22"/>
      <c r="MB12" s="22"/>
      <c r="MC12" s="22"/>
      <c r="MD12" s="22"/>
      <c r="ME12" s="22"/>
      <c r="MF12" s="22"/>
      <c r="MG12" s="22"/>
      <c r="MH12" s="22"/>
      <c r="MI12" s="22"/>
      <c r="MJ12" s="22"/>
      <c r="MK12" s="22"/>
      <c r="ML12" s="22"/>
      <c r="MM12" s="22"/>
      <c r="MN12" s="22"/>
      <c r="MO12" s="22"/>
      <c r="MP12" s="22"/>
      <c r="MQ12" s="22"/>
      <c r="MR12" s="22"/>
      <c r="MS12" s="22"/>
      <c r="MT12" s="22"/>
      <c r="MU12" s="22"/>
      <c r="MV12" s="22"/>
      <c r="MW12" s="22"/>
      <c r="MX12" s="22"/>
      <c r="MY12" s="22"/>
      <c r="MZ12" s="22"/>
      <c r="NA12" s="22"/>
      <c r="NB12" s="22"/>
      <c r="NC12" s="22"/>
      <c r="ND12" s="22"/>
      <c r="NE12" s="22"/>
      <c r="NF12" s="22"/>
    </row>
    <row r="13" ht="15.0" hidden="1" customHeight="1" outlineLevel="1">
      <c r="A13" s="69" t="s">
        <v>102</v>
      </c>
      <c r="B13" s="70">
        <v>46147.0</v>
      </c>
      <c r="C13" s="74"/>
      <c r="D13" s="71"/>
      <c r="E13" s="74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  <c r="IZ13" s="22"/>
      <c r="JA13" s="22"/>
      <c r="JB13" s="22"/>
      <c r="JC13" s="22"/>
      <c r="JD13" s="22"/>
      <c r="JE13" s="22"/>
      <c r="JF13" s="22"/>
      <c r="JG13" s="22"/>
      <c r="JH13" s="22"/>
      <c r="JI13" s="22"/>
      <c r="JJ13" s="22"/>
      <c r="JK13" s="22"/>
      <c r="JL13" s="22"/>
      <c r="JM13" s="22"/>
      <c r="JN13" s="22"/>
      <c r="JO13" s="22"/>
      <c r="JP13" s="22"/>
      <c r="JQ13" s="22"/>
      <c r="JR13" s="22"/>
      <c r="JS13" s="22"/>
      <c r="JT13" s="22"/>
      <c r="JU13" s="22"/>
      <c r="JV13" s="22"/>
      <c r="JW13" s="22"/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2"/>
      <c r="KI13" s="22"/>
      <c r="KJ13" s="22"/>
      <c r="KK13" s="22"/>
      <c r="KL13" s="22"/>
      <c r="KM13" s="22"/>
      <c r="KN13" s="22"/>
      <c r="KO13" s="22"/>
      <c r="KP13" s="22"/>
      <c r="KQ13" s="22"/>
      <c r="KR13" s="22"/>
      <c r="KS13" s="22"/>
      <c r="KT13" s="22"/>
      <c r="KU13" s="22"/>
      <c r="KV13" s="22"/>
      <c r="KW13" s="22"/>
      <c r="KX13" s="22"/>
      <c r="KY13" s="22"/>
      <c r="KZ13" s="22"/>
      <c r="LA13" s="22"/>
      <c r="LB13" s="22"/>
      <c r="LC13" s="22"/>
      <c r="LD13" s="22"/>
      <c r="LE13" s="22"/>
      <c r="LF13" s="22"/>
      <c r="LG13" s="22"/>
      <c r="LH13" s="22"/>
      <c r="LI13" s="22"/>
      <c r="LJ13" s="22"/>
      <c r="LK13" s="22"/>
      <c r="LL13" s="22"/>
      <c r="LM13" s="22"/>
      <c r="LN13" s="22"/>
      <c r="LO13" s="22"/>
      <c r="LP13" s="22"/>
      <c r="LQ13" s="22"/>
      <c r="LR13" s="22"/>
      <c r="LS13" s="22"/>
      <c r="LT13" s="22"/>
      <c r="LU13" s="22"/>
      <c r="LV13" s="22"/>
      <c r="LW13" s="22"/>
      <c r="LX13" s="22"/>
      <c r="LY13" s="22"/>
      <c r="LZ13" s="22"/>
      <c r="MA13" s="22"/>
      <c r="MB13" s="22"/>
      <c r="MC13" s="22"/>
      <c r="MD13" s="22"/>
      <c r="ME13" s="22"/>
      <c r="MF13" s="22"/>
      <c r="MG13" s="22"/>
      <c r="MH13" s="22"/>
      <c r="MI13" s="22"/>
      <c r="MJ13" s="22"/>
      <c r="MK13" s="22"/>
      <c r="ML13" s="22"/>
      <c r="MM13" s="22"/>
      <c r="MN13" s="22"/>
      <c r="MO13" s="22"/>
      <c r="MP13" s="22"/>
      <c r="MQ13" s="22"/>
      <c r="MR13" s="22"/>
      <c r="MS13" s="22"/>
      <c r="MT13" s="22"/>
      <c r="MU13" s="22"/>
      <c r="MV13" s="22"/>
      <c r="MW13" s="22"/>
      <c r="MX13" s="22"/>
      <c r="MY13" s="22"/>
      <c r="MZ13" s="22"/>
      <c r="NA13" s="22"/>
      <c r="NB13" s="22"/>
      <c r="NC13" s="22"/>
      <c r="ND13" s="22"/>
      <c r="NE13" s="22"/>
      <c r="NF13" s="22"/>
    </row>
    <row r="14" ht="15.0" hidden="1" customHeight="1" outlineLevel="1">
      <c r="A14" s="69" t="s">
        <v>103</v>
      </c>
      <c r="B14" s="70">
        <v>46166.0</v>
      </c>
      <c r="C14" s="74"/>
      <c r="D14" s="71"/>
      <c r="E14" s="76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  <c r="IZ14" s="22"/>
      <c r="JA14" s="22"/>
      <c r="JB14" s="22"/>
      <c r="JC14" s="22"/>
      <c r="JD14" s="22"/>
      <c r="JE14" s="22"/>
      <c r="JF14" s="22"/>
      <c r="JG14" s="22"/>
      <c r="JH14" s="22"/>
      <c r="JI14" s="22"/>
      <c r="JJ14" s="22"/>
      <c r="JK14" s="22"/>
      <c r="JL14" s="22"/>
      <c r="JM14" s="22"/>
      <c r="JN14" s="22"/>
      <c r="JO14" s="22"/>
      <c r="JP14" s="22"/>
      <c r="JQ14" s="22"/>
      <c r="JR14" s="22"/>
      <c r="JS14" s="22"/>
      <c r="JT14" s="22"/>
      <c r="JU14" s="22"/>
      <c r="JV14" s="22"/>
      <c r="JW14" s="22"/>
      <c r="JX14" s="22"/>
      <c r="JY14" s="22"/>
      <c r="JZ14" s="22"/>
      <c r="KA14" s="22"/>
      <c r="KB14" s="22"/>
      <c r="KC14" s="22"/>
      <c r="KD14" s="22"/>
      <c r="KE14" s="22"/>
      <c r="KF14" s="22"/>
      <c r="KG14" s="22"/>
      <c r="KH14" s="22"/>
      <c r="KI14" s="22"/>
      <c r="KJ14" s="22"/>
      <c r="KK14" s="22"/>
      <c r="KL14" s="22"/>
      <c r="KM14" s="22"/>
      <c r="KN14" s="22"/>
      <c r="KO14" s="22"/>
      <c r="KP14" s="22"/>
      <c r="KQ14" s="22"/>
      <c r="KR14" s="22"/>
      <c r="KS14" s="22"/>
      <c r="KT14" s="22"/>
      <c r="KU14" s="22"/>
      <c r="KV14" s="22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 s="22"/>
      <c r="LH14" s="22"/>
      <c r="LI14" s="22"/>
      <c r="LJ14" s="22"/>
      <c r="LK14" s="22"/>
      <c r="LL14" s="22"/>
      <c r="LM14" s="22"/>
      <c r="LN14" s="22"/>
      <c r="LO14" s="22"/>
      <c r="LP14" s="22"/>
      <c r="LQ14" s="22"/>
      <c r="LR14" s="22"/>
      <c r="LS14" s="22"/>
      <c r="LT14" s="22"/>
      <c r="LU14" s="22"/>
      <c r="LV14" s="22"/>
      <c r="LW14" s="22"/>
      <c r="LX14" s="22"/>
      <c r="LY14" s="22"/>
      <c r="LZ14" s="22"/>
      <c r="MA14" s="22"/>
      <c r="MB14" s="22"/>
      <c r="MC14" s="22"/>
      <c r="MD14" s="22"/>
      <c r="ME14" s="22"/>
      <c r="MF14" s="22"/>
      <c r="MG14" s="22"/>
      <c r="MH14" s="22"/>
      <c r="MI14" s="22"/>
      <c r="MJ14" s="22"/>
      <c r="MK14" s="22"/>
      <c r="ML14" s="22"/>
      <c r="MM14" s="22"/>
      <c r="MN14" s="22"/>
      <c r="MO14" s="22"/>
      <c r="MP14" s="22"/>
      <c r="MQ14" s="22"/>
      <c r="MR14" s="22"/>
      <c r="MS14" s="22"/>
      <c r="MT14" s="22"/>
      <c r="MU14" s="22"/>
      <c r="MV14" s="22"/>
      <c r="MW14" s="22"/>
      <c r="MX14" s="22"/>
      <c r="MY14" s="22"/>
      <c r="MZ14" s="22"/>
      <c r="NA14" s="22"/>
      <c r="NB14" s="22"/>
      <c r="NC14" s="22"/>
      <c r="ND14" s="22"/>
      <c r="NE14" s="22"/>
      <c r="NF14" s="22"/>
    </row>
    <row r="15" ht="15.0" hidden="1" customHeight="1" outlineLevel="1">
      <c r="A15" s="72"/>
      <c r="B15" s="70">
        <v>46167.0</v>
      </c>
      <c r="C15" s="74"/>
      <c r="D15" s="71"/>
      <c r="E15" s="74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  <c r="IZ15" s="22"/>
      <c r="JA15" s="22"/>
      <c r="JB15" s="22"/>
      <c r="JC15" s="22"/>
      <c r="JD15" s="22"/>
      <c r="JE15" s="22"/>
      <c r="JF15" s="22"/>
      <c r="JG15" s="22"/>
      <c r="JH15" s="22"/>
      <c r="JI15" s="22"/>
      <c r="JJ15" s="22"/>
      <c r="JK15" s="22"/>
      <c r="JL15" s="22"/>
      <c r="JM15" s="22"/>
      <c r="JN15" s="22"/>
      <c r="JO15" s="22"/>
      <c r="JP15" s="22"/>
      <c r="JQ15" s="22"/>
      <c r="JR15" s="22"/>
      <c r="JS15" s="22"/>
      <c r="JT15" s="22"/>
      <c r="JU15" s="22"/>
      <c r="JV15" s="22"/>
      <c r="JW15" s="22"/>
      <c r="JX15" s="22"/>
      <c r="JY15" s="22"/>
      <c r="JZ15" s="22"/>
      <c r="KA15" s="22"/>
      <c r="KB15" s="22"/>
      <c r="KC15" s="22"/>
      <c r="KD15" s="22"/>
      <c r="KE15" s="22"/>
      <c r="KF15" s="22"/>
      <c r="KG15" s="22"/>
      <c r="KH15" s="22"/>
      <c r="KI15" s="22"/>
      <c r="KJ15" s="22"/>
      <c r="KK15" s="22"/>
      <c r="KL15" s="22"/>
      <c r="KM15" s="22"/>
      <c r="KN15" s="22"/>
      <c r="KO15" s="22"/>
      <c r="KP15" s="22"/>
      <c r="KQ15" s="22"/>
      <c r="KR15" s="22"/>
      <c r="KS15" s="22"/>
      <c r="KT15" s="22"/>
      <c r="KU15" s="22"/>
      <c r="KV15" s="22"/>
      <c r="KW15" s="22"/>
      <c r="KX15" s="22"/>
      <c r="KY15" s="22"/>
      <c r="KZ15" s="22"/>
      <c r="LA15" s="22"/>
      <c r="LB15" s="22"/>
      <c r="LC15" s="22"/>
      <c r="LD15" s="22"/>
      <c r="LE15" s="22"/>
      <c r="LF15" s="22"/>
      <c r="LG15" s="22"/>
      <c r="LH15" s="22"/>
      <c r="LI15" s="22"/>
      <c r="LJ15" s="22"/>
      <c r="LK15" s="22"/>
      <c r="LL15" s="22"/>
      <c r="LM15" s="22"/>
      <c r="LN15" s="22"/>
      <c r="LO15" s="22"/>
      <c r="LP15" s="22"/>
      <c r="LQ15" s="22"/>
      <c r="LR15" s="22"/>
      <c r="LS15" s="22"/>
      <c r="LT15" s="22"/>
      <c r="LU15" s="22"/>
      <c r="LV15" s="22"/>
      <c r="LW15" s="22"/>
      <c r="LX15" s="22"/>
      <c r="LY15" s="22"/>
      <c r="LZ15" s="22"/>
      <c r="MA15" s="22"/>
      <c r="MB15" s="22"/>
      <c r="MC15" s="22"/>
      <c r="MD15" s="22"/>
      <c r="ME15" s="22"/>
      <c r="MF15" s="22"/>
      <c r="MG15" s="22"/>
      <c r="MH15" s="22"/>
      <c r="MI15" s="22"/>
      <c r="MJ15" s="22"/>
      <c r="MK15" s="22"/>
      <c r="ML15" s="22"/>
      <c r="MM15" s="22"/>
      <c r="MN15" s="22"/>
      <c r="MO15" s="22"/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</row>
    <row r="16" ht="15.0" hidden="1" customHeight="1" outlineLevel="1">
      <c r="A16" s="87" t="s">
        <v>112</v>
      </c>
      <c r="B16" s="88">
        <v>46176.0</v>
      </c>
      <c r="C16" s="74"/>
      <c r="D16" s="71"/>
      <c r="E16" s="74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  <c r="IZ16" s="22"/>
      <c r="JA16" s="22"/>
      <c r="JB16" s="22"/>
      <c r="JC16" s="22"/>
      <c r="JD16" s="22"/>
      <c r="JE16" s="22"/>
      <c r="JF16" s="22"/>
      <c r="JG16" s="22"/>
      <c r="JH16" s="22"/>
      <c r="JI16" s="22"/>
      <c r="JJ16" s="22"/>
      <c r="JK16" s="22"/>
      <c r="JL16" s="22"/>
      <c r="JM16" s="22"/>
      <c r="JN16" s="22"/>
      <c r="JO16" s="22"/>
      <c r="JP16" s="22"/>
      <c r="JQ16" s="22"/>
      <c r="JR16" s="22"/>
      <c r="JS16" s="22"/>
      <c r="JT16" s="22"/>
      <c r="JU16" s="22"/>
      <c r="JV16" s="22"/>
      <c r="JW16" s="22"/>
      <c r="JX16" s="22"/>
      <c r="JY16" s="22"/>
      <c r="JZ16" s="22"/>
      <c r="KA16" s="22"/>
      <c r="KB16" s="22"/>
      <c r="KC16" s="22"/>
      <c r="KD16" s="22"/>
      <c r="KE16" s="22"/>
      <c r="KF16" s="22"/>
      <c r="KG16" s="22"/>
      <c r="KH16" s="22"/>
      <c r="KI16" s="22"/>
      <c r="KJ16" s="22"/>
      <c r="KK16" s="22"/>
      <c r="KL16" s="22"/>
      <c r="KM16" s="22"/>
      <c r="KN16" s="22"/>
      <c r="KO16" s="22"/>
      <c r="KP16" s="22"/>
      <c r="KQ16" s="22"/>
      <c r="KR16" s="22"/>
      <c r="KS16" s="22"/>
      <c r="KT16" s="22"/>
      <c r="KU16" s="22"/>
      <c r="KV16" s="22"/>
      <c r="KW16" s="22"/>
      <c r="KX16" s="22"/>
      <c r="KY16" s="22"/>
      <c r="KZ16" s="22"/>
      <c r="LA16" s="22"/>
      <c r="LB16" s="22"/>
      <c r="LC16" s="22"/>
      <c r="LD16" s="22"/>
      <c r="LE16" s="22"/>
      <c r="LF16" s="22"/>
      <c r="LG16" s="22"/>
      <c r="LH16" s="22"/>
      <c r="LI16" s="22"/>
      <c r="LJ16" s="22"/>
      <c r="LK16" s="22"/>
      <c r="LL16" s="22"/>
      <c r="LM16" s="22"/>
      <c r="LN16" s="22"/>
      <c r="LO16" s="22"/>
      <c r="LP16" s="22"/>
      <c r="LQ16" s="22"/>
      <c r="LR16" s="22"/>
      <c r="LS16" s="22"/>
      <c r="LT16" s="22"/>
      <c r="LU16" s="22"/>
      <c r="LV16" s="22"/>
      <c r="LW16" s="22"/>
      <c r="LX16" s="22"/>
      <c r="LY16" s="22"/>
      <c r="LZ16" s="22"/>
      <c r="MA16" s="22"/>
      <c r="MB16" s="22"/>
      <c r="MC16" s="22"/>
      <c r="MD16" s="22"/>
      <c r="ME16" s="22"/>
      <c r="MF16" s="22"/>
      <c r="MG16" s="22"/>
      <c r="MH16" s="22"/>
      <c r="MI16" s="22"/>
      <c r="MJ16" s="22"/>
      <c r="MK16" s="22"/>
      <c r="ML16" s="22"/>
      <c r="MM16" s="22"/>
      <c r="MN16" s="22"/>
      <c r="MO16" s="22"/>
      <c r="MP16" s="22"/>
      <c r="MQ16" s="22"/>
      <c r="MR16" s="22"/>
      <c r="MS16" s="22"/>
      <c r="MT16" s="22"/>
      <c r="MU16" s="22"/>
      <c r="MV16" s="22"/>
      <c r="MW16" s="22"/>
      <c r="MX16" s="22"/>
      <c r="MY16" s="22"/>
      <c r="MZ16" s="22"/>
      <c r="NA16" s="22"/>
      <c r="NB16" s="22"/>
      <c r="NC16" s="22"/>
      <c r="ND16" s="22"/>
      <c r="NE16" s="22"/>
      <c r="NF16" s="22"/>
    </row>
    <row r="17" ht="15.0" hidden="1" customHeight="1" outlineLevel="1">
      <c r="A17" s="69" t="s">
        <v>104</v>
      </c>
      <c r="B17" s="70">
        <v>46179.0</v>
      </c>
      <c r="C17" s="74"/>
      <c r="D17" s="71"/>
      <c r="E17" s="74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  <c r="IZ17" s="22"/>
      <c r="JA17" s="22"/>
      <c r="JB17" s="22"/>
      <c r="JC17" s="22"/>
      <c r="JD17" s="22"/>
      <c r="JE17" s="22"/>
      <c r="JF17" s="22"/>
      <c r="JG17" s="22"/>
      <c r="JH17" s="22"/>
      <c r="JI17" s="22"/>
      <c r="JJ17" s="22"/>
      <c r="JK17" s="22"/>
      <c r="JL17" s="22"/>
      <c r="JM17" s="22"/>
      <c r="JN17" s="22"/>
      <c r="JO17" s="22"/>
      <c r="JP17" s="22"/>
      <c r="JQ17" s="22"/>
      <c r="JR17" s="22"/>
      <c r="JS17" s="22"/>
      <c r="JT17" s="22"/>
      <c r="JU17" s="22"/>
      <c r="JV17" s="22"/>
      <c r="JW17" s="22"/>
      <c r="JX17" s="22"/>
      <c r="JY17" s="22"/>
      <c r="JZ17" s="22"/>
      <c r="KA17" s="22"/>
      <c r="KB17" s="22"/>
      <c r="KC17" s="22"/>
      <c r="KD17" s="22"/>
      <c r="KE17" s="22"/>
      <c r="KF17" s="22"/>
      <c r="KG17" s="22"/>
      <c r="KH17" s="22"/>
      <c r="KI17" s="22"/>
      <c r="KJ17" s="22"/>
      <c r="KK17" s="22"/>
      <c r="KL17" s="22"/>
      <c r="KM17" s="22"/>
      <c r="KN17" s="22"/>
      <c r="KO17" s="22"/>
      <c r="KP17" s="22"/>
      <c r="KQ17" s="22"/>
      <c r="KR17" s="22"/>
      <c r="KS17" s="22"/>
      <c r="KT17" s="22"/>
      <c r="KU17" s="22"/>
      <c r="KV17" s="22"/>
      <c r="KW17" s="22"/>
      <c r="KX17" s="22"/>
      <c r="KY17" s="22"/>
      <c r="KZ17" s="22"/>
      <c r="LA17" s="22"/>
      <c r="LB17" s="22"/>
      <c r="LC17" s="22"/>
      <c r="LD17" s="22"/>
      <c r="LE17" s="22"/>
      <c r="LF17" s="22"/>
      <c r="LG17" s="22"/>
      <c r="LH17" s="22"/>
      <c r="LI17" s="22"/>
      <c r="LJ17" s="22"/>
      <c r="LK17" s="22"/>
      <c r="LL17" s="22"/>
      <c r="LM17" s="22"/>
      <c r="LN17" s="22"/>
      <c r="LO17" s="22"/>
      <c r="LP17" s="22"/>
      <c r="LQ17" s="22"/>
      <c r="LR17" s="22"/>
      <c r="LS17" s="22"/>
      <c r="LT17" s="22"/>
      <c r="LU17" s="22"/>
      <c r="LV17" s="22"/>
      <c r="LW17" s="22"/>
      <c r="LX17" s="22"/>
      <c r="LY17" s="22"/>
      <c r="LZ17" s="22"/>
      <c r="MA17" s="22"/>
      <c r="MB17" s="22"/>
      <c r="MC17" s="22"/>
      <c r="MD17" s="22"/>
      <c r="ME17" s="22"/>
      <c r="MF17" s="22"/>
      <c r="MG17" s="22"/>
      <c r="MH17" s="22"/>
      <c r="MI17" s="22"/>
      <c r="MJ17" s="22"/>
      <c r="MK17" s="22"/>
      <c r="ML17" s="22"/>
      <c r="MM17" s="22"/>
      <c r="MN17" s="22"/>
      <c r="MO17" s="22"/>
      <c r="MP17" s="22"/>
      <c r="MQ17" s="22"/>
      <c r="MR17" s="22"/>
      <c r="MS17" s="22"/>
      <c r="MT17" s="22"/>
      <c r="MU17" s="22"/>
      <c r="MV17" s="22"/>
      <c r="MW17" s="22"/>
      <c r="MX17" s="22"/>
      <c r="MY17" s="22"/>
      <c r="MZ17" s="22"/>
      <c r="NA17" s="22"/>
      <c r="NB17" s="22"/>
      <c r="NC17" s="22"/>
      <c r="ND17" s="22"/>
      <c r="NE17" s="22"/>
      <c r="NF17" s="22"/>
    </row>
    <row r="18" ht="15.0" hidden="1" customHeight="1" outlineLevel="1">
      <c r="A18" s="87" t="s">
        <v>157</v>
      </c>
      <c r="B18" s="88">
        <v>46220.0</v>
      </c>
      <c r="C18" s="74"/>
      <c r="D18" s="71"/>
      <c r="E18" s="74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2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2"/>
      <c r="LK18" s="22"/>
      <c r="LL18" s="22"/>
      <c r="LM18" s="22"/>
      <c r="LN18" s="22"/>
      <c r="LO18" s="22"/>
      <c r="LP18" s="22"/>
      <c r="LQ18" s="22"/>
      <c r="LR18" s="22"/>
      <c r="LS18" s="22"/>
      <c r="LT18" s="22"/>
      <c r="LU18" s="22"/>
      <c r="LV18" s="22"/>
      <c r="LW18" s="22"/>
      <c r="LX18" s="22"/>
      <c r="LY18" s="22"/>
      <c r="LZ18" s="22"/>
      <c r="MA18" s="22"/>
      <c r="MB18" s="22"/>
      <c r="MC18" s="22"/>
      <c r="MD18" s="22"/>
      <c r="ME18" s="22"/>
      <c r="MF18" s="22"/>
      <c r="MG18" s="22"/>
      <c r="MH18" s="22"/>
      <c r="MI18" s="22"/>
      <c r="MJ18" s="22"/>
      <c r="MK18" s="22"/>
      <c r="ML18" s="22"/>
      <c r="MM18" s="22"/>
      <c r="MN18" s="22"/>
      <c r="MO18" s="22"/>
      <c r="MP18" s="22"/>
      <c r="MQ18" s="22"/>
      <c r="MR18" s="22"/>
      <c r="MS18" s="22"/>
      <c r="MT18" s="22"/>
      <c r="MU18" s="22"/>
      <c r="MV18" s="22"/>
      <c r="MW18" s="22"/>
      <c r="MX18" s="22"/>
      <c r="MY18" s="22"/>
      <c r="MZ18" s="22"/>
      <c r="NA18" s="22"/>
      <c r="NB18" s="22"/>
      <c r="NC18" s="22"/>
      <c r="ND18" s="22"/>
      <c r="NE18" s="22"/>
      <c r="NF18" s="22"/>
    </row>
    <row r="19" ht="15.0" hidden="1" customHeight="1" outlineLevel="1">
      <c r="A19" s="69" t="s">
        <v>105</v>
      </c>
      <c r="B19" s="70">
        <v>46249.0</v>
      </c>
      <c r="C19" s="74"/>
      <c r="D19" s="71"/>
      <c r="E19" s="74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2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2"/>
      <c r="LK19" s="22"/>
      <c r="LL19" s="22"/>
      <c r="LM19" s="22"/>
      <c r="LN19" s="22"/>
      <c r="LO19" s="22"/>
      <c r="LP19" s="22"/>
      <c r="LQ19" s="22"/>
      <c r="LR19" s="22"/>
      <c r="LS19" s="22"/>
      <c r="LT19" s="22"/>
      <c r="LU19" s="22"/>
      <c r="LV19" s="22"/>
      <c r="LW19" s="22"/>
      <c r="LX19" s="22"/>
      <c r="LY19" s="22"/>
      <c r="LZ19" s="22"/>
      <c r="MA19" s="22"/>
      <c r="MB19" s="22"/>
      <c r="MC19" s="22"/>
      <c r="MD19" s="22"/>
      <c r="ME19" s="22"/>
      <c r="MF19" s="22"/>
      <c r="MG19" s="22"/>
      <c r="MH19" s="22"/>
      <c r="MI19" s="22"/>
      <c r="MJ19" s="22"/>
      <c r="MK19" s="22"/>
      <c r="ML19" s="22"/>
      <c r="MM19" s="22"/>
      <c r="MN19" s="22"/>
      <c r="MO19" s="22"/>
      <c r="MP19" s="22"/>
      <c r="MQ19" s="22"/>
      <c r="MR19" s="22"/>
      <c r="MS19" s="22"/>
      <c r="MT19" s="22"/>
      <c r="MU19" s="22"/>
      <c r="MV19" s="22"/>
      <c r="MW19" s="22"/>
      <c r="MX19" s="22"/>
      <c r="MY19" s="22"/>
      <c r="MZ19" s="22"/>
      <c r="NA19" s="22"/>
      <c r="NB19" s="22"/>
      <c r="NC19" s="22"/>
      <c r="ND19" s="22"/>
      <c r="NE19" s="22"/>
      <c r="NF19" s="22"/>
    </row>
    <row r="20" ht="15.0" hidden="1" customHeight="1" outlineLevel="1">
      <c r="A20" s="72"/>
      <c r="B20" s="70">
        <v>46251.0</v>
      </c>
      <c r="C20" s="74"/>
      <c r="D20" s="71"/>
      <c r="E20" s="74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2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2"/>
      <c r="LK20" s="22"/>
      <c r="LL20" s="22"/>
      <c r="LM20" s="22"/>
      <c r="LN20" s="22"/>
      <c r="LO20" s="22"/>
      <c r="LP20" s="22"/>
      <c r="LQ20" s="22"/>
      <c r="LR20" s="22"/>
      <c r="LS20" s="22"/>
      <c r="LT20" s="22"/>
      <c r="LU20" s="22"/>
      <c r="LV20" s="22"/>
      <c r="LW20" s="22"/>
      <c r="LX20" s="22"/>
      <c r="LY20" s="22"/>
      <c r="LZ20" s="22"/>
      <c r="MA20" s="22"/>
      <c r="MB20" s="22"/>
      <c r="MC20" s="22"/>
      <c r="MD20" s="22"/>
      <c r="ME20" s="22"/>
      <c r="MF20" s="22"/>
      <c r="MG20" s="22"/>
      <c r="MH20" s="22"/>
      <c r="MI20" s="22"/>
      <c r="MJ20" s="22"/>
      <c r="MK20" s="22"/>
      <c r="ML20" s="22"/>
      <c r="MM20" s="22"/>
      <c r="MN20" s="22"/>
      <c r="MO20" s="22"/>
      <c r="MP20" s="22"/>
      <c r="MQ20" s="22"/>
      <c r="MR20" s="22"/>
      <c r="MS20" s="22"/>
      <c r="MT20" s="22"/>
      <c r="MU20" s="22"/>
      <c r="MV20" s="22"/>
      <c r="MW20" s="22"/>
      <c r="MX20" s="22"/>
      <c r="MY20" s="22"/>
      <c r="MZ20" s="22"/>
      <c r="NA20" s="22"/>
      <c r="NB20" s="22"/>
      <c r="NC20" s="22"/>
      <c r="ND20" s="22"/>
      <c r="NE20" s="22"/>
      <c r="NF20" s="22"/>
    </row>
    <row r="21" ht="15.0" hidden="1" customHeight="1" outlineLevel="1">
      <c r="A21" s="69" t="s">
        <v>106</v>
      </c>
      <c r="B21" s="70">
        <v>46289.0</v>
      </c>
      <c r="C21" s="74"/>
      <c r="D21" s="71"/>
      <c r="E21" s="74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2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2"/>
      <c r="LK21" s="22"/>
      <c r="LL21" s="22"/>
      <c r="LM21" s="22"/>
      <c r="LN21" s="22"/>
      <c r="LO21" s="22"/>
      <c r="LP21" s="22"/>
      <c r="LQ21" s="22"/>
      <c r="LR21" s="22"/>
      <c r="LS21" s="22"/>
      <c r="LT21" s="22"/>
      <c r="LU21" s="22"/>
      <c r="LV21" s="22"/>
      <c r="LW21" s="22"/>
      <c r="LX21" s="22"/>
      <c r="LY21" s="22"/>
      <c r="LZ21" s="22"/>
      <c r="MA21" s="22"/>
      <c r="MB21" s="22"/>
      <c r="MC21" s="22"/>
      <c r="MD21" s="22"/>
      <c r="ME21" s="22"/>
      <c r="MF21" s="22"/>
      <c r="MG21" s="22"/>
      <c r="MH21" s="22"/>
      <c r="MI21" s="22"/>
      <c r="MJ21" s="22"/>
      <c r="MK21" s="22"/>
      <c r="ML21" s="22"/>
      <c r="MM21" s="22"/>
      <c r="MN21" s="22"/>
      <c r="MO21" s="22"/>
      <c r="MP21" s="22"/>
      <c r="MQ21" s="22"/>
      <c r="MR21" s="22"/>
      <c r="MS21" s="22"/>
      <c r="MT21" s="22"/>
      <c r="MU21" s="22"/>
      <c r="MV21" s="22"/>
      <c r="MW21" s="22"/>
      <c r="MX21" s="22"/>
      <c r="MY21" s="22"/>
      <c r="MZ21" s="22"/>
      <c r="NA21" s="22"/>
      <c r="NB21" s="22"/>
      <c r="NC21" s="22"/>
      <c r="ND21" s="22"/>
      <c r="NE21" s="22"/>
      <c r="NF21" s="22"/>
    </row>
    <row r="22" ht="15.0" hidden="1" customHeight="1" outlineLevel="1">
      <c r="A22" s="72"/>
      <c r="B22" s="70">
        <v>46290.0</v>
      </c>
      <c r="C22" s="74"/>
      <c r="D22" s="71"/>
      <c r="E22" s="74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2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2"/>
      <c r="LK22" s="22"/>
      <c r="LL22" s="22"/>
      <c r="LM22" s="22"/>
      <c r="LN22" s="22"/>
      <c r="LO22" s="22"/>
      <c r="LP22" s="22"/>
      <c r="LQ22" s="22"/>
      <c r="LR22" s="22"/>
      <c r="LS22" s="22"/>
      <c r="LT22" s="22"/>
      <c r="LU22" s="22"/>
      <c r="LV22" s="22"/>
      <c r="LW22" s="22"/>
      <c r="LX22" s="22"/>
      <c r="LY22" s="22"/>
      <c r="LZ22" s="22"/>
      <c r="MA22" s="22"/>
      <c r="MB22" s="22"/>
      <c r="MC22" s="22"/>
      <c r="MD22" s="22"/>
      <c r="ME22" s="22"/>
      <c r="MF22" s="22"/>
      <c r="MG22" s="22"/>
      <c r="MH22" s="22"/>
      <c r="MI22" s="22"/>
      <c r="MJ22" s="22"/>
      <c r="MK22" s="22"/>
      <c r="ML22" s="22"/>
      <c r="MM22" s="22"/>
      <c r="MN22" s="22"/>
      <c r="MO22" s="22"/>
      <c r="MP22" s="22"/>
      <c r="MQ22" s="22"/>
      <c r="MR22" s="22"/>
      <c r="MS22" s="22"/>
      <c r="MT22" s="22"/>
      <c r="MU22" s="22"/>
      <c r="MV22" s="22"/>
      <c r="MW22" s="22"/>
      <c r="MX22" s="22"/>
      <c r="MY22" s="22"/>
      <c r="MZ22" s="22"/>
      <c r="NA22" s="22"/>
      <c r="NB22" s="22"/>
      <c r="NC22" s="22"/>
      <c r="ND22" s="22"/>
      <c r="NE22" s="22"/>
      <c r="NF22" s="22"/>
    </row>
    <row r="23" ht="15.0" hidden="1" customHeight="1" outlineLevel="1">
      <c r="A23" s="69" t="s">
        <v>107</v>
      </c>
      <c r="B23" s="70">
        <v>46298.0</v>
      </c>
      <c r="C23" s="74"/>
      <c r="D23" s="71"/>
      <c r="E23" s="74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2"/>
      <c r="LK23" s="22"/>
      <c r="LL23" s="22"/>
      <c r="LM23" s="22"/>
      <c r="LN23" s="22"/>
      <c r="LO23" s="22"/>
      <c r="LP23" s="22"/>
      <c r="LQ23" s="22"/>
      <c r="LR23" s="22"/>
      <c r="LS23" s="22"/>
      <c r="LT23" s="22"/>
      <c r="LU23" s="22"/>
      <c r="LV23" s="22"/>
      <c r="LW23" s="22"/>
      <c r="LX23" s="22"/>
      <c r="LY23" s="22"/>
      <c r="LZ23" s="22"/>
      <c r="MA23" s="22"/>
      <c r="MB23" s="22"/>
      <c r="MC23" s="22"/>
      <c r="MD23" s="22"/>
      <c r="ME23" s="22"/>
      <c r="MF23" s="22"/>
      <c r="MG23" s="22"/>
      <c r="MH23" s="22"/>
      <c r="MI23" s="22"/>
      <c r="MJ23" s="22"/>
      <c r="MK23" s="22"/>
      <c r="ML23" s="22"/>
      <c r="MM23" s="22"/>
      <c r="MN23" s="22"/>
      <c r="MO23" s="22"/>
      <c r="MP23" s="22"/>
      <c r="MQ23" s="22"/>
      <c r="MR23" s="22"/>
      <c r="MS23" s="22"/>
      <c r="MT23" s="22"/>
      <c r="MU23" s="22"/>
      <c r="MV23" s="22"/>
      <c r="MW23" s="22"/>
      <c r="MX23" s="22"/>
      <c r="MY23" s="22"/>
      <c r="MZ23" s="22"/>
      <c r="NA23" s="22"/>
      <c r="NB23" s="22"/>
      <c r="NC23" s="22"/>
      <c r="ND23" s="22"/>
      <c r="NE23" s="22"/>
      <c r="NF23" s="22"/>
    </row>
    <row r="24" ht="15.0" hidden="1" customHeight="1" outlineLevel="1">
      <c r="A24" s="72"/>
      <c r="B24" s="70">
        <v>46300.0</v>
      </c>
      <c r="C24" s="74"/>
      <c r="D24" s="71"/>
      <c r="E24" s="74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22"/>
      <c r="LP24" s="22"/>
      <c r="LQ24" s="22"/>
      <c r="LR24" s="22"/>
      <c r="LS24" s="22"/>
      <c r="LT24" s="22"/>
      <c r="LU24" s="22"/>
      <c r="LV24" s="22"/>
      <c r="LW24" s="22"/>
      <c r="LX24" s="22"/>
      <c r="LY24" s="22"/>
      <c r="LZ24" s="22"/>
      <c r="MA24" s="22"/>
      <c r="MB24" s="22"/>
      <c r="MC24" s="22"/>
      <c r="MD24" s="22"/>
      <c r="ME24" s="22"/>
      <c r="MF24" s="22"/>
      <c r="MG24" s="22"/>
      <c r="MH24" s="22"/>
      <c r="MI24" s="22"/>
      <c r="MJ24" s="22"/>
      <c r="MK24" s="22"/>
      <c r="ML24" s="22"/>
      <c r="MM24" s="22"/>
      <c r="MN24" s="22"/>
      <c r="MO24" s="22"/>
      <c r="MP24" s="22"/>
      <c r="MQ24" s="22"/>
      <c r="MR24" s="22"/>
      <c r="MS24" s="22"/>
      <c r="MT24" s="2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</row>
    <row r="25" ht="15.0" hidden="1" customHeight="1" outlineLevel="1">
      <c r="A25" s="69" t="s">
        <v>108</v>
      </c>
      <c r="B25" s="70">
        <v>46304.0</v>
      </c>
      <c r="C25" s="74"/>
      <c r="D25" s="71"/>
      <c r="E25" s="74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2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2"/>
      <c r="LK25" s="22"/>
      <c r="LL25" s="22"/>
      <c r="LM25" s="22"/>
      <c r="LN25" s="22"/>
      <c r="LO25" s="22"/>
      <c r="LP25" s="22"/>
      <c r="LQ25" s="22"/>
      <c r="LR25" s="22"/>
      <c r="LS25" s="22"/>
      <c r="LT25" s="22"/>
      <c r="LU25" s="22"/>
      <c r="LV25" s="22"/>
      <c r="LW25" s="22"/>
      <c r="LX25" s="22"/>
      <c r="LY25" s="22"/>
      <c r="LZ25" s="22"/>
      <c r="MA25" s="22"/>
      <c r="MB25" s="22"/>
      <c r="MC25" s="22"/>
      <c r="MD25" s="22"/>
      <c r="ME25" s="22"/>
      <c r="MF25" s="22"/>
      <c r="MG25" s="22"/>
      <c r="MH25" s="22"/>
      <c r="MI25" s="22"/>
      <c r="MJ25" s="22"/>
      <c r="MK25" s="22"/>
      <c r="ML25" s="22"/>
      <c r="MM25" s="22"/>
      <c r="MN25" s="22"/>
      <c r="MO25" s="22"/>
      <c r="MP25" s="22"/>
      <c r="MQ25" s="22"/>
      <c r="MR25" s="22"/>
      <c r="MS25" s="22"/>
      <c r="MT25" s="22"/>
      <c r="MU25" s="22"/>
      <c r="MV25" s="22"/>
      <c r="MW25" s="22"/>
      <c r="MX25" s="22"/>
      <c r="MY25" s="22"/>
      <c r="MZ25" s="22"/>
      <c r="NA25" s="22"/>
      <c r="NB25" s="22"/>
      <c r="NC25" s="22"/>
      <c r="ND25" s="22"/>
      <c r="NE25" s="22"/>
      <c r="NF25" s="22"/>
    </row>
    <row r="26" ht="15.0" hidden="1" customHeight="1" outlineLevel="1">
      <c r="A26" s="69" t="s">
        <v>109</v>
      </c>
      <c r="B26" s="70">
        <v>46381.0</v>
      </c>
      <c r="C26" s="74"/>
      <c r="D26" s="71"/>
      <c r="E26" s="74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2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2"/>
      <c r="LK26" s="22"/>
      <c r="LL26" s="22"/>
      <c r="LM26" s="22"/>
      <c r="LN26" s="22"/>
      <c r="LO26" s="22"/>
      <c r="LP26" s="22"/>
      <c r="LQ26" s="22"/>
      <c r="LR26" s="22"/>
      <c r="LS26" s="22"/>
      <c r="LT26" s="22"/>
      <c r="LU26" s="22"/>
      <c r="LV26" s="22"/>
      <c r="LW26" s="22"/>
      <c r="LX26" s="22"/>
      <c r="LY26" s="22"/>
      <c r="LZ26" s="22"/>
      <c r="MA26" s="22"/>
      <c r="MB26" s="22"/>
      <c r="MC26" s="22"/>
      <c r="MD26" s="22"/>
      <c r="ME26" s="22"/>
      <c r="MF26" s="22"/>
      <c r="MG26" s="22"/>
      <c r="MH26" s="22"/>
      <c r="MI26" s="22"/>
      <c r="MJ26" s="22"/>
      <c r="MK26" s="22"/>
      <c r="ML26" s="22"/>
      <c r="MM26" s="22"/>
      <c r="MN26" s="22"/>
      <c r="MO26" s="22"/>
      <c r="MP26" s="22"/>
      <c r="MQ26" s="22"/>
      <c r="MR26" s="22"/>
      <c r="MS26" s="22"/>
      <c r="MT26" s="22"/>
      <c r="MU26" s="22"/>
      <c r="MV26" s="22"/>
      <c r="MW26" s="22"/>
      <c r="MX26" s="22"/>
      <c r="MY26" s="22"/>
      <c r="MZ26" s="22"/>
      <c r="NA26" s="22"/>
      <c r="NB26" s="22"/>
      <c r="NC26" s="22"/>
      <c r="ND26" s="22"/>
      <c r="NE26" s="22"/>
      <c r="NF26" s="22"/>
    </row>
    <row r="27" ht="15.0" hidden="1" customHeight="1" outlineLevel="1">
      <c r="A27" s="138"/>
      <c r="B27" s="71"/>
      <c r="C27" s="74"/>
      <c r="D27" s="71"/>
      <c r="E27" s="74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2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2"/>
      <c r="LK27" s="22"/>
      <c r="LL27" s="22"/>
      <c r="LM27" s="22"/>
      <c r="LN27" s="22"/>
      <c r="LO27" s="22"/>
      <c r="LP27" s="22"/>
      <c r="LQ27" s="22"/>
      <c r="LR27" s="22"/>
      <c r="LS27" s="22"/>
      <c r="LT27" s="22"/>
      <c r="LU27" s="22"/>
      <c r="LV27" s="22"/>
      <c r="LW27" s="22"/>
      <c r="LX27" s="22"/>
      <c r="LY27" s="22"/>
      <c r="LZ27" s="22"/>
      <c r="MA27" s="22"/>
      <c r="MB27" s="22"/>
      <c r="MC27" s="22"/>
      <c r="MD27" s="22"/>
      <c r="ME27" s="22"/>
      <c r="MF27" s="22"/>
      <c r="MG27" s="22"/>
      <c r="MH27" s="22"/>
      <c r="MI27" s="22"/>
      <c r="MJ27" s="22"/>
      <c r="MK27" s="22"/>
      <c r="ML27" s="22"/>
      <c r="MM27" s="22"/>
      <c r="MN27" s="22"/>
      <c r="MO27" s="22"/>
      <c r="MP27" s="22"/>
      <c r="MQ27" s="22"/>
      <c r="MR27" s="22"/>
      <c r="MS27" s="22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2"/>
      <c r="NE27" s="22"/>
      <c r="NF27" s="22"/>
    </row>
    <row r="28">
      <c r="A28" s="139"/>
      <c r="B28" s="139"/>
      <c r="C28" s="140"/>
      <c r="D28" s="141"/>
      <c r="E28" s="140"/>
      <c r="F28" s="142" t="s">
        <v>158</v>
      </c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7"/>
      <c r="AK28" s="142" t="s">
        <v>159</v>
      </c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7"/>
      <c r="BM28" s="142" t="s">
        <v>160</v>
      </c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7"/>
      <c r="CR28" s="142" t="s">
        <v>161</v>
      </c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7"/>
      <c r="DV28" s="142" t="s">
        <v>162</v>
      </c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6"/>
      <c r="EY28" s="116"/>
      <c r="EZ28" s="117"/>
      <c r="FA28" s="142" t="s">
        <v>163</v>
      </c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7"/>
      <c r="GE28" s="142" t="s">
        <v>164</v>
      </c>
      <c r="GF28" s="116"/>
      <c r="GG28" s="116"/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6"/>
      <c r="GX28" s="116"/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7"/>
      <c r="HJ28" s="142" t="s">
        <v>165</v>
      </c>
      <c r="HK28" s="116"/>
      <c r="HL28" s="116"/>
      <c r="HM28" s="116"/>
      <c r="HN28" s="116"/>
      <c r="HO28" s="116"/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6"/>
      <c r="IF28" s="116"/>
      <c r="IG28" s="116"/>
      <c r="IH28" s="116"/>
      <c r="II28" s="116"/>
      <c r="IJ28" s="116"/>
      <c r="IK28" s="116"/>
      <c r="IL28" s="116"/>
      <c r="IM28" s="116"/>
      <c r="IN28" s="117"/>
      <c r="IO28" s="142" t="s">
        <v>166</v>
      </c>
      <c r="IP28" s="116"/>
      <c r="IQ28" s="116"/>
      <c r="IR28" s="116"/>
      <c r="IS28" s="116"/>
      <c r="IT28" s="116"/>
      <c r="IU28" s="116"/>
      <c r="IV28" s="116"/>
      <c r="IW28" s="116"/>
      <c r="IX28" s="116"/>
      <c r="IY28" s="116"/>
      <c r="IZ28" s="116"/>
      <c r="JA28" s="116"/>
      <c r="JB28" s="116"/>
      <c r="JC28" s="116"/>
      <c r="JD28" s="116"/>
      <c r="JE28" s="116"/>
      <c r="JF28" s="116"/>
      <c r="JG28" s="116"/>
      <c r="JH28" s="116"/>
      <c r="JI28" s="116"/>
      <c r="JJ28" s="116"/>
      <c r="JK28" s="116"/>
      <c r="JL28" s="116"/>
      <c r="JM28" s="116"/>
      <c r="JN28" s="116"/>
      <c r="JO28" s="116"/>
      <c r="JP28" s="116"/>
      <c r="JQ28" s="116"/>
      <c r="JR28" s="117"/>
      <c r="JS28" s="142" t="s">
        <v>144</v>
      </c>
      <c r="JT28" s="116"/>
      <c r="JU28" s="116"/>
      <c r="JV28" s="116"/>
      <c r="JW28" s="116"/>
      <c r="JX28" s="116"/>
      <c r="JY28" s="116"/>
      <c r="JZ28" s="116"/>
      <c r="KA28" s="116"/>
      <c r="KB28" s="116"/>
      <c r="KC28" s="116"/>
      <c r="KD28" s="116"/>
      <c r="KE28" s="116"/>
      <c r="KF28" s="116"/>
      <c r="KG28" s="116"/>
      <c r="KH28" s="116"/>
      <c r="KI28" s="116"/>
      <c r="KJ28" s="116"/>
      <c r="KK28" s="116"/>
      <c r="KL28" s="116"/>
      <c r="KM28" s="116"/>
      <c r="KN28" s="116"/>
      <c r="KO28" s="116"/>
      <c r="KP28" s="116"/>
      <c r="KQ28" s="116"/>
      <c r="KR28" s="116"/>
      <c r="KS28" s="116"/>
      <c r="KT28" s="116"/>
      <c r="KU28" s="116"/>
      <c r="KV28" s="116"/>
      <c r="KW28" s="117"/>
      <c r="KX28" s="142" t="s">
        <v>167</v>
      </c>
      <c r="KY28" s="116"/>
      <c r="KZ28" s="116"/>
      <c r="LA28" s="116"/>
      <c r="LB28" s="116"/>
      <c r="LC28" s="116"/>
      <c r="LD28" s="116"/>
      <c r="LE28" s="116"/>
      <c r="LF28" s="116"/>
      <c r="LG28" s="116"/>
      <c r="LH28" s="116"/>
      <c r="LI28" s="116"/>
      <c r="LJ28" s="116"/>
      <c r="LK28" s="116"/>
      <c r="LL28" s="116"/>
      <c r="LM28" s="116"/>
      <c r="LN28" s="116"/>
      <c r="LO28" s="116"/>
      <c r="LP28" s="116"/>
      <c r="LQ28" s="116"/>
      <c r="LR28" s="116"/>
      <c r="LS28" s="116"/>
      <c r="LT28" s="116"/>
      <c r="LU28" s="116"/>
      <c r="LV28" s="116"/>
      <c r="LW28" s="116"/>
      <c r="LX28" s="116"/>
      <c r="LY28" s="116"/>
      <c r="LZ28" s="116"/>
      <c r="MA28" s="117"/>
      <c r="MB28" s="142" t="s">
        <v>168</v>
      </c>
      <c r="MC28" s="116"/>
      <c r="MD28" s="116"/>
      <c r="ME28" s="116"/>
      <c r="MF28" s="116"/>
      <c r="MG28" s="116"/>
      <c r="MH28" s="116"/>
      <c r="MI28" s="116"/>
      <c r="MJ28" s="116"/>
      <c r="MK28" s="116"/>
      <c r="ML28" s="116"/>
      <c r="MM28" s="116"/>
      <c r="MN28" s="116"/>
      <c r="MO28" s="116"/>
      <c r="MP28" s="116"/>
      <c r="MQ28" s="116"/>
      <c r="MR28" s="116"/>
      <c r="MS28" s="116"/>
      <c r="MT28" s="116"/>
      <c r="MU28" s="116"/>
      <c r="MV28" s="116"/>
      <c r="MW28" s="116"/>
      <c r="MX28" s="116"/>
      <c r="MY28" s="116"/>
      <c r="MZ28" s="116"/>
      <c r="NA28" s="116"/>
      <c r="NB28" s="116"/>
      <c r="NC28" s="116"/>
      <c r="ND28" s="116"/>
      <c r="NE28" s="116"/>
      <c r="NF28" s="117"/>
    </row>
    <row r="29">
      <c r="A29" s="139"/>
      <c r="B29" s="139"/>
      <c r="C29" s="139"/>
      <c r="D29" s="141"/>
      <c r="E29" s="143" t="s">
        <v>169</v>
      </c>
      <c r="F29" s="144" t="s">
        <v>170</v>
      </c>
      <c r="G29" s="145"/>
      <c r="H29" s="145"/>
      <c r="I29" s="145"/>
      <c r="J29" s="146"/>
      <c r="K29" s="146"/>
      <c r="L29" s="145"/>
      <c r="M29" s="145"/>
      <c r="N29" s="145"/>
      <c r="O29" s="145"/>
      <c r="P29" s="145"/>
      <c r="Q29" s="145"/>
      <c r="R29" s="145"/>
      <c r="S29" s="145"/>
      <c r="T29" s="146"/>
      <c r="U29" s="145"/>
      <c r="V29" s="145"/>
      <c r="W29" s="145"/>
      <c r="X29" s="147"/>
      <c r="Y29" s="145"/>
      <c r="Z29" s="145"/>
      <c r="AA29" s="73"/>
      <c r="AB29" s="145"/>
      <c r="AC29" s="145"/>
      <c r="AD29" s="145"/>
      <c r="AE29" s="145"/>
      <c r="AF29" s="145"/>
      <c r="AG29" s="145"/>
      <c r="AH29" s="73"/>
      <c r="AI29" s="145"/>
      <c r="AJ29" s="145"/>
      <c r="AK29" s="148"/>
      <c r="AL29" s="145"/>
      <c r="AM29" s="145"/>
      <c r="AN29" s="145"/>
      <c r="AO29" s="145"/>
      <c r="AP29" s="145"/>
      <c r="AQ29" s="145"/>
      <c r="AR29" s="145"/>
      <c r="AS29" s="145"/>
      <c r="AT29" s="73"/>
      <c r="AU29" s="145"/>
      <c r="AV29" s="146"/>
      <c r="AW29" s="145"/>
      <c r="AX29" s="146"/>
      <c r="AY29" s="145"/>
      <c r="AZ29" s="145"/>
      <c r="BA29" s="144" t="s">
        <v>171</v>
      </c>
      <c r="BB29" s="145"/>
      <c r="BC29" s="145"/>
      <c r="BD29" s="146"/>
      <c r="BE29" s="145"/>
      <c r="BF29" s="145"/>
      <c r="BG29" s="145"/>
      <c r="BH29" s="145"/>
      <c r="BI29" s="145"/>
      <c r="BJ29" s="145"/>
      <c r="BK29" s="145"/>
      <c r="BL29" s="145"/>
      <c r="BM29" s="148" t="s">
        <v>172</v>
      </c>
      <c r="BN29" s="73"/>
      <c r="BO29" s="145"/>
      <c r="BP29" s="145"/>
      <c r="BQ29" s="145"/>
      <c r="BR29" s="145"/>
      <c r="BS29" s="145"/>
      <c r="BT29" s="145"/>
      <c r="BU29" s="144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9"/>
      <c r="CS29" s="145"/>
      <c r="CT29" s="145"/>
      <c r="CU29" s="145"/>
      <c r="CV29" s="145"/>
      <c r="CW29" s="145"/>
      <c r="CX29" s="145"/>
      <c r="CY29" s="144"/>
      <c r="CZ29" s="145"/>
      <c r="DA29" s="144" t="s">
        <v>173</v>
      </c>
      <c r="DB29" s="73"/>
      <c r="DC29" s="145"/>
      <c r="DD29" s="73"/>
      <c r="DE29" s="145"/>
      <c r="DF29" s="145"/>
      <c r="DG29" s="145"/>
      <c r="DH29" s="145"/>
      <c r="DI29" s="145"/>
      <c r="DJ29" s="145"/>
      <c r="DK29" s="145"/>
      <c r="DL29" s="146"/>
      <c r="DM29" s="145"/>
      <c r="DN29" s="145"/>
      <c r="DO29" s="145"/>
      <c r="DP29" s="145"/>
      <c r="DQ29" s="145"/>
      <c r="DR29" s="145"/>
      <c r="DS29" s="145"/>
      <c r="DT29" s="145"/>
      <c r="DU29" s="146"/>
      <c r="DV29" s="148" t="s">
        <v>174</v>
      </c>
      <c r="DW29" s="73"/>
      <c r="DX29" s="145"/>
      <c r="DY29" s="145"/>
      <c r="DZ29" s="144" t="s">
        <v>175</v>
      </c>
      <c r="EA29" s="144"/>
      <c r="EB29" s="146"/>
      <c r="EC29" s="144"/>
      <c r="ED29" s="150"/>
      <c r="EE29" s="145"/>
      <c r="EF29" s="145"/>
      <c r="EG29" s="145"/>
      <c r="EH29" s="145"/>
      <c r="EI29" s="145"/>
      <c r="EJ29" s="145"/>
      <c r="EK29" s="144"/>
      <c r="EL29" s="145"/>
      <c r="EM29" s="151"/>
      <c r="EN29" s="150"/>
      <c r="EO29" s="145"/>
      <c r="EP29" s="145"/>
      <c r="EQ29" s="145"/>
      <c r="ER29" s="145"/>
      <c r="ES29" s="144" t="s">
        <v>176</v>
      </c>
      <c r="ET29" s="145"/>
      <c r="EU29" s="145"/>
      <c r="EV29" s="73"/>
      <c r="EW29" s="145"/>
      <c r="EX29" s="145"/>
      <c r="EY29" s="145"/>
      <c r="EZ29" s="145"/>
      <c r="FA29" s="148"/>
      <c r="FB29" s="152"/>
      <c r="FC29" s="144" t="s">
        <v>177</v>
      </c>
      <c r="FD29" s="152"/>
      <c r="FE29" s="152"/>
      <c r="FF29" s="144" t="s">
        <v>178</v>
      </c>
      <c r="FG29" s="73"/>
      <c r="FH29" s="152"/>
      <c r="FI29" s="152"/>
      <c r="FJ29" s="152"/>
      <c r="FK29" s="152"/>
      <c r="FL29" s="152"/>
      <c r="FM29" s="152"/>
      <c r="FN29" s="152"/>
      <c r="FO29" s="152"/>
      <c r="FP29" s="152"/>
      <c r="FQ29" s="152"/>
      <c r="FR29" s="152"/>
      <c r="FS29" s="152"/>
      <c r="FT29" s="152"/>
      <c r="FU29" s="152"/>
      <c r="FV29" s="152"/>
      <c r="FW29" s="152"/>
      <c r="FX29" s="152"/>
      <c r="FY29" s="152"/>
      <c r="FZ29" s="152"/>
      <c r="GA29" s="152"/>
      <c r="GB29" s="152"/>
      <c r="GC29" s="152"/>
      <c r="GD29" s="152"/>
      <c r="GE29" s="153"/>
      <c r="GF29" s="146"/>
      <c r="GG29" s="152"/>
      <c r="GH29" s="152"/>
      <c r="GI29" s="152"/>
      <c r="GJ29" s="152"/>
      <c r="GK29" s="144"/>
      <c r="GL29" s="152"/>
      <c r="GM29" s="152"/>
      <c r="GN29" s="152"/>
      <c r="GO29" s="152"/>
      <c r="GP29" s="152"/>
      <c r="GQ29" s="152"/>
      <c r="GR29" s="152"/>
      <c r="GS29" s="146"/>
      <c r="GT29" s="152"/>
      <c r="GU29" s="152"/>
      <c r="GV29" s="152"/>
      <c r="GW29" s="152"/>
      <c r="GX29" s="152"/>
      <c r="GY29" s="150"/>
      <c r="GZ29" s="152"/>
      <c r="HA29" s="152"/>
      <c r="HB29" s="152"/>
      <c r="HC29" s="152"/>
      <c r="HD29" s="152"/>
      <c r="HE29" s="144"/>
      <c r="HF29" s="150"/>
      <c r="HG29" s="152"/>
      <c r="HH29" s="152"/>
      <c r="HI29" s="152"/>
      <c r="HJ29" s="154"/>
      <c r="HK29" s="144"/>
      <c r="HL29" s="152"/>
      <c r="HM29" s="152"/>
      <c r="HN29" s="152"/>
      <c r="HO29" s="152"/>
      <c r="HP29" s="152"/>
      <c r="HQ29" s="150"/>
      <c r="HR29" s="152"/>
      <c r="HS29" s="152"/>
      <c r="HT29" s="152"/>
      <c r="HU29" s="152"/>
      <c r="HV29" s="152"/>
      <c r="HW29" s="152"/>
      <c r="HX29" s="144" t="s">
        <v>179</v>
      </c>
      <c r="HY29" s="73"/>
      <c r="HZ29" s="152"/>
      <c r="IA29" s="152"/>
      <c r="IB29" s="152"/>
      <c r="IC29" s="152"/>
      <c r="ID29" s="152"/>
      <c r="IE29" s="152"/>
      <c r="IF29" s="152"/>
      <c r="IG29" s="152"/>
      <c r="IH29" s="152"/>
      <c r="II29" s="152"/>
      <c r="IJ29" s="152"/>
      <c r="IK29" s="152"/>
      <c r="IL29" s="152"/>
      <c r="IM29" s="152"/>
      <c r="IN29" s="152"/>
      <c r="IO29" s="154"/>
      <c r="IP29" s="152"/>
      <c r="IQ29" s="152"/>
      <c r="IR29" s="152"/>
      <c r="IS29" s="152"/>
      <c r="IT29" s="152"/>
      <c r="IU29" s="152"/>
      <c r="IV29" s="73"/>
      <c r="IW29" s="152"/>
      <c r="IX29" s="152"/>
      <c r="IY29" s="144"/>
      <c r="IZ29" s="150"/>
      <c r="JA29" s="152"/>
      <c r="JB29" s="155"/>
      <c r="JC29" s="156"/>
      <c r="JD29" s="152"/>
      <c r="JE29" s="152"/>
      <c r="JF29" s="73"/>
      <c r="JG29" s="150"/>
      <c r="JH29" s="152"/>
      <c r="JI29" s="152"/>
      <c r="JJ29" s="152"/>
      <c r="JK29" s="152"/>
      <c r="JL29" s="152"/>
      <c r="JM29" s="144" t="s">
        <v>180</v>
      </c>
      <c r="JN29" s="157"/>
      <c r="JO29" s="152"/>
      <c r="JP29" s="152"/>
      <c r="JQ29" s="152"/>
      <c r="JR29" s="73"/>
      <c r="JS29" s="154"/>
      <c r="JT29" s="144"/>
      <c r="JU29" s="144" t="s">
        <v>181</v>
      </c>
      <c r="JV29" s="73"/>
      <c r="JW29" s="152"/>
      <c r="JX29" s="73"/>
      <c r="JY29" s="155"/>
      <c r="JZ29" s="152"/>
      <c r="KA29" s="144" t="s">
        <v>182</v>
      </c>
      <c r="KB29" s="73"/>
      <c r="KC29" s="152"/>
      <c r="KD29" s="152"/>
      <c r="KE29" s="152"/>
      <c r="KF29" s="155"/>
      <c r="KG29" s="150"/>
      <c r="KH29" s="152"/>
      <c r="KI29" s="152"/>
      <c r="KJ29" s="152"/>
      <c r="KK29" s="152"/>
      <c r="KL29" s="152"/>
      <c r="KM29" s="152"/>
      <c r="KN29" s="152"/>
      <c r="KO29" s="152"/>
      <c r="KP29" s="150"/>
      <c r="KQ29" s="152"/>
      <c r="KR29" s="152"/>
      <c r="KS29" s="152"/>
      <c r="KT29" s="152"/>
      <c r="KU29" s="152"/>
      <c r="KV29" s="152"/>
      <c r="KW29" s="152"/>
      <c r="KX29" s="154"/>
      <c r="KY29" s="152"/>
      <c r="KZ29" s="152"/>
      <c r="LA29" s="152"/>
      <c r="LB29" s="152"/>
      <c r="LC29" s="152"/>
      <c r="LD29" s="152"/>
      <c r="LE29" s="152"/>
      <c r="LF29" s="152"/>
      <c r="LG29" s="152"/>
      <c r="LH29" s="152"/>
      <c r="LI29" s="152"/>
      <c r="LJ29" s="152"/>
      <c r="LK29" s="150"/>
      <c r="LL29" s="152"/>
      <c r="LM29" s="152"/>
      <c r="LN29" s="152"/>
      <c r="LO29" s="152"/>
      <c r="LP29" s="152"/>
      <c r="LQ29" s="152"/>
      <c r="LR29" s="152"/>
      <c r="LS29" s="152"/>
      <c r="LT29" s="152"/>
      <c r="LU29" s="152"/>
      <c r="LV29" s="152"/>
      <c r="LW29" s="152"/>
      <c r="LX29" s="152"/>
      <c r="LY29" s="152"/>
      <c r="LZ29" s="152"/>
      <c r="MA29" s="152"/>
      <c r="MB29" s="154"/>
      <c r="MC29" s="152"/>
      <c r="MD29" s="152"/>
      <c r="ME29" s="152"/>
      <c r="MF29" s="152"/>
      <c r="MG29" s="152"/>
      <c r="MH29" s="152"/>
      <c r="MI29" s="152"/>
      <c r="MJ29" s="152"/>
      <c r="MK29" s="152"/>
      <c r="ML29" s="152"/>
      <c r="MM29" s="152"/>
      <c r="MN29" s="152"/>
      <c r="MO29" s="152"/>
      <c r="MP29" s="152"/>
      <c r="MQ29" s="152"/>
      <c r="MR29" s="152"/>
      <c r="MS29" s="152"/>
      <c r="MT29" s="152"/>
      <c r="MU29" s="152"/>
      <c r="MV29" s="152"/>
      <c r="MW29" s="152"/>
      <c r="MX29" s="152"/>
      <c r="MY29" s="152"/>
      <c r="MZ29" s="144" t="s">
        <v>183</v>
      </c>
      <c r="NA29" s="73"/>
      <c r="NB29" s="152"/>
      <c r="NC29" s="152"/>
      <c r="ND29" s="152"/>
      <c r="NE29" s="152"/>
      <c r="NF29" s="152"/>
    </row>
    <row r="30">
      <c r="A30" s="140"/>
      <c r="B30" s="143"/>
      <c r="C30" s="158" t="s">
        <v>187</v>
      </c>
      <c r="D30" s="159"/>
      <c r="E30" s="140"/>
      <c r="F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46023</v>
      </c>
      <c r="G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46024</v>
      </c>
      <c r="H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46025</v>
      </c>
      <c r="I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46026</v>
      </c>
      <c r="J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46027</v>
      </c>
      <c r="K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46028</v>
      </c>
      <c r="L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46029</v>
      </c>
      <c r="M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46030</v>
      </c>
      <c r="N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46031</v>
      </c>
      <c r="O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46032</v>
      </c>
      <c r="P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46033</v>
      </c>
      <c r="Q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46034</v>
      </c>
      <c r="R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46035</v>
      </c>
      <c r="S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46036</v>
      </c>
      <c r="T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46037</v>
      </c>
      <c r="U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46038</v>
      </c>
      <c r="V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46039</v>
      </c>
      <c r="W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46040</v>
      </c>
      <c r="X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46041</v>
      </c>
      <c r="Y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46042</v>
      </c>
      <c r="Z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46043</v>
      </c>
      <c r="AA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46044</v>
      </c>
      <c r="AB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46045</v>
      </c>
      <c r="AC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46046</v>
      </c>
      <c r="AD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46047</v>
      </c>
      <c r="AE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46048</v>
      </c>
      <c r="AF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46049</v>
      </c>
      <c r="AG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46050</v>
      </c>
      <c r="AH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46051</v>
      </c>
      <c r="AI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46052</v>
      </c>
      <c r="AJ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46053</v>
      </c>
      <c r="AK30" s="149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46054</v>
      </c>
      <c r="AL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46055</v>
      </c>
      <c r="AM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46056</v>
      </c>
      <c r="AN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46057</v>
      </c>
      <c r="AO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46058</v>
      </c>
      <c r="AP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46059</v>
      </c>
      <c r="AQ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46060</v>
      </c>
      <c r="AR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46061</v>
      </c>
      <c r="AS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46062</v>
      </c>
      <c r="AT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46063</v>
      </c>
      <c r="AU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46064</v>
      </c>
      <c r="AV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46065</v>
      </c>
      <c r="AW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46066</v>
      </c>
      <c r="AX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46067</v>
      </c>
      <c r="AY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46068</v>
      </c>
      <c r="AZ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46069</v>
      </c>
      <c r="BA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46070</v>
      </c>
      <c r="BB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46071</v>
      </c>
      <c r="BC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46072</v>
      </c>
      <c r="BD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46073</v>
      </c>
      <c r="BE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46074</v>
      </c>
      <c r="BF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46075</v>
      </c>
      <c r="BG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46076</v>
      </c>
      <c r="BH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46077</v>
      </c>
      <c r="BI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46078</v>
      </c>
      <c r="BJ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46079</v>
      </c>
      <c r="BK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46080</v>
      </c>
      <c r="BL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46081</v>
      </c>
      <c r="BM30" s="149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46082</v>
      </c>
      <c r="BN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46083</v>
      </c>
      <c r="BO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46084</v>
      </c>
      <c r="BP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46085</v>
      </c>
      <c r="BQ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46086</v>
      </c>
      <c r="BR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46087</v>
      </c>
      <c r="BS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46088</v>
      </c>
      <c r="BT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46089</v>
      </c>
      <c r="BU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46090</v>
      </c>
      <c r="BV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46091</v>
      </c>
      <c r="BW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46092</v>
      </c>
      <c r="BX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46093</v>
      </c>
      <c r="BY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46094</v>
      </c>
      <c r="BZ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46095</v>
      </c>
      <c r="CA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46096</v>
      </c>
      <c r="CB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46097</v>
      </c>
      <c r="CC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46098</v>
      </c>
      <c r="CD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46099</v>
      </c>
      <c r="CE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46100</v>
      </c>
      <c r="CF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46101</v>
      </c>
      <c r="CG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46102</v>
      </c>
      <c r="CH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46103</v>
      </c>
      <c r="CI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46104</v>
      </c>
      <c r="CJ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46105</v>
      </c>
      <c r="CK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46106</v>
      </c>
      <c r="CL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46107</v>
      </c>
      <c r="CM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46108</v>
      </c>
      <c r="CN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46109</v>
      </c>
      <c r="CO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46110</v>
      </c>
      <c r="CP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46111</v>
      </c>
      <c r="CQ30" s="161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46112</v>
      </c>
      <c r="CR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46113</v>
      </c>
      <c r="CS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46114</v>
      </c>
      <c r="CT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46115</v>
      </c>
      <c r="CU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46116</v>
      </c>
      <c r="CV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46117</v>
      </c>
      <c r="CW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46118</v>
      </c>
      <c r="CX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46119</v>
      </c>
      <c r="CY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46120</v>
      </c>
      <c r="CZ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46121</v>
      </c>
      <c r="DA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46122</v>
      </c>
      <c r="DB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46123</v>
      </c>
      <c r="DC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46124</v>
      </c>
      <c r="DD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46125</v>
      </c>
      <c r="DE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46126</v>
      </c>
      <c r="DF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46127</v>
      </c>
      <c r="DG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46128</v>
      </c>
      <c r="DH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46129</v>
      </c>
      <c r="DI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46130</v>
      </c>
      <c r="DJ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46131</v>
      </c>
      <c r="DK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46132</v>
      </c>
      <c r="DL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46133</v>
      </c>
      <c r="DM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46134</v>
      </c>
      <c r="DN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46135</v>
      </c>
      <c r="DO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46136</v>
      </c>
      <c r="DP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46137</v>
      </c>
      <c r="DQ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46138</v>
      </c>
      <c r="DR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46139</v>
      </c>
      <c r="DS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46140</v>
      </c>
      <c r="DT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46141</v>
      </c>
      <c r="DU30" s="161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46142</v>
      </c>
      <c r="DV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46143</v>
      </c>
      <c r="DW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46144</v>
      </c>
      <c r="DX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46145</v>
      </c>
      <c r="DY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46146</v>
      </c>
      <c r="DZ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46147</v>
      </c>
      <c r="EA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46148</v>
      </c>
      <c r="EB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46149</v>
      </c>
      <c r="EC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46150</v>
      </c>
      <c r="ED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46151</v>
      </c>
      <c r="EE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46152</v>
      </c>
      <c r="EF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46153</v>
      </c>
      <c r="EG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46154</v>
      </c>
      <c r="EH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46155</v>
      </c>
      <c r="EI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46156</v>
      </c>
      <c r="EJ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46157</v>
      </c>
      <c r="EK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46158</v>
      </c>
      <c r="EL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46159</v>
      </c>
      <c r="EM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46160</v>
      </c>
      <c r="EN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46161</v>
      </c>
      <c r="EO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46162</v>
      </c>
      <c r="EP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46163</v>
      </c>
      <c r="EQ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46164</v>
      </c>
      <c r="ER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46165</v>
      </c>
      <c r="ES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46166</v>
      </c>
      <c r="ET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46167</v>
      </c>
      <c r="EU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46168</v>
      </c>
      <c r="EV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46169</v>
      </c>
      <c r="EW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46170</v>
      </c>
      <c r="EX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46171</v>
      </c>
      <c r="EY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46172</v>
      </c>
      <c r="EZ30" s="161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46173</v>
      </c>
      <c r="FA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46174</v>
      </c>
      <c r="FB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46175</v>
      </c>
      <c r="FC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46176</v>
      </c>
      <c r="FD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46177</v>
      </c>
      <c r="FE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46178</v>
      </c>
      <c r="FF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46179</v>
      </c>
      <c r="FG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46180</v>
      </c>
      <c r="FH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46181</v>
      </c>
      <c r="FI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46182</v>
      </c>
      <c r="FJ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46183</v>
      </c>
      <c r="FK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46184</v>
      </c>
      <c r="FL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46185</v>
      </c>
      <c r="FM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46186</v>
      </c>
      <c r="FN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46187</v>
      </c>
      <c r="FO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46188</v>
      </c>
      <c r="FP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46189</v>
      </c>
      <c r="FQ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46190</v>
      </c>
      <c r="FR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46191</v>
      </c>
      <c r="FS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46192</v>
      </c>
      <c r="FT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46193</v>
      </c>
      <c r="FU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46194</v>
      </c>
      <c r="FV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46195</v>
      </c>
      <c r="FW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46196</v>
      </c>
      <c r="FX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46197</v>
      </c>
      <c r="FY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46198</v>
      </c>
      <c r="FZ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46199</v>
      </c>
      <c r="GA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46200</v>
      </c>
      <c r="GB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46201</v>
      </c>
      <c r="GC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46202</v>
      </c>
      <c r="GD30" s="145">
        <f>IF(DATE('▧ 26년 휴가대장'!휴가_년, '▧ 26년 휴가대장'!휴가_월_1, COLUMN()-5) &gt; EOMONTH(DATE('▧ 26년 휴가대장'!휴가_년, '▧ 26년 휴가대장'!휴가_월_1, 1), 5), "", DATE('▧ 26년 휴가대장'!휴가_년, '▧ 26년 휴가대장'!휴가_월_1, COLUMN()-5))</f>
        <v>46203</v>
      </c>
      <c r="GE30" s="162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46204</v>
      </c>
      <c r="GF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46205</v>
      </c>
      <c r="GG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46206</v>
      </c>
      <c r="GH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46207</v>
      </c>
      <c r="GI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46208</v>
      </c>
      <c r="GJ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46209</v>
      </c>
      <c r="GK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46210</v>
      </c>
      <c r="GL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46211</v>
      </c>
      <c r="GM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46212</v>
      </c>
      <c r="GN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46213</v>
      </c>
      <c r="GO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46214</v>
      </c>
      <c r="GP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46215</v>
      </c>
      <c r="GQ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46216</v>
      </c>
      <c r="GR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46217</v>
      </c>
      <c r="GS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46218</v>
      </c>
      <c r="GT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46219</v>
      </c>
      <c r="GU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46220</v>
      </c>
      <c r="GV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46221</v>
      </c>
      <c r="GW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46222</v>
      </c>
      <c r="GX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46223</v>
      </c>
      <c r="GY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46224</v>
      </c>
      <c r="GZ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46225</v>
      </c>
      <c r="HA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46226</v>
      </c>
      <c r="HB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46227</v>
      </c>
      <c r="HC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46228</v>
      </c>
      <c r="HD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46229</v>
      </c>
      <c r="HE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46230</v>
      </c>
      <c r="HF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46231</v>
      </c>
      <c r="HG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46232</v>
      </c>
      <c r="HH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46233</v>
      </c>
      <c r="HI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46234</v>
      </c>
      <c r="HJ30" s="162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46235</v>
      </c>
      <c r="HK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46236</v>
      </c>
      <c r="HL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46237</v>
      </c>
      <c r="HM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46238</v>
      </c>
      <c r="HN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46239</v>
      </c>
      <c r="HO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46240</v>
      </c>
      <c r="HP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46241</v>
      </c>
      <c r="HQ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46242</v>
      </c>
      <c r="HR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46243</v>
      </c>
      <c r="HS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46244</v>
      </c>
      <c r="HT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46245</v>
      </c>
      <c r="HU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46246</v>
      </c>
      <c r="HV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46247</v>
      </c>
      <c r="HW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46248</v>
      </c>
      <c r="HX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46249</v>
      </c>
      <c r="HY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46250</v>
      </c>
      <c r="HZ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46251</v>
      </c>
      <c r="IA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46252</v>
      </c>
      <c r="IB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46253</v>
      </c>
      <c r="IC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46254</v>
      </c>
      <c r="ID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46255</v>
      </c>
      <c r="IE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46256</v>
      </c>
      <c r="IF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46257</v>
      </c>
      <c r="IG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46258</v>
      </c>
      <c r="IH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46259</v>
      </c>
      <c r="II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46260</v>
      </c>
      <c r="IJ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46261</v>
      </c>
      <c r="IK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46262</v>
      </c>
      <c r="IL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46263</v>
      </c>
      <c r="IM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46264</v>
      </c>
      <c r="IN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46265</v>
      </c>
      <c r="IO30" s="162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46266</v>
      </c>
      <c r="IP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46267</v>
      </c>
      <c r="IQ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46268</v>
      </c>
      <c r="IR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46269</v>
      </c>
      <c r="IS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46270</v>
      </c>
      <c r="IT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46271</v>
      </c>
      <c r="IU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46272</v>
      </c>
      <c r="IV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46273</v>
      </c>
      <c r="IW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46274</v>
      </c>
      <c r="IX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46275</v>
      </c>
      <c r="IY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46276</v>
      </c>
      <c r="IZ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46277</v>
      </c>
      <c r="JA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46278</v>
      </c>
      <c r="JB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46279</v>
      </c>
      <c r="JC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46280</v>
      </c>
      <c r="JD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46281</v>
      </c>
      <c r="JE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46282</v>
      </c>
      <c r="JF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46283</v>
      </c>
      <c r="JG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46284</v>
      </c>
      <c r="JH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46285</v>
      </c>
      <c r="JI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46286</v>
      </c>
      <c r="JJ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46287</v>
      </c>
      <c r="JK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46288</v>
      </c>
      <c r="JL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46289</v>
      </c>
      <c r="JM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46290</v>
      </c>
      <c r="JN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46291</v>
      </c>
      <c r="JO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46292</v>
      </c>
      <c r="JP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46293</v>
      </c>
      <c r="JQ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46294</v>
      </c>
      <c r="JR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46295</v>
      </c>
      <c r="JS30" s="162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46296</v>
      </c>
      <c r="JT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46297</v>
      </c>
      <c r="JU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46298</v>
      </c>
      <c r="JV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46299</v>
      </c>
      <c r="JW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46300</v>
      </c>
      <c r="JX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46301</v>
      </c>
      <c r="JY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46302</v>
      </c>
      <c r="JZ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46303</v>
      </c>
      <c r="KA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46304</v>
      </c>
      <c r="KB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46305</v>
      </c>
      <c r="KC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46306</v>
      </c>
      <c r="KD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46307</v>
      </c>
      <c r="KE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46308</v>
      </c>
      <c r="KF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46309</v>
      </c>
      <c r="KG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46310</v>
      </c>
      <c r="KH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46311</v>
      </c>
      <c r="KI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46312</v>
      </c>
      <c r="KJ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46313</v>
      </c>
      <c r="KK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46314</v>
      </c>
      <c r="KL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46315</v>
      </c>
      <c r="KM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46316</v>
      </c>
      <c r="KN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46317</v>
      </c>
      <c r="KO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46318</v>
      </c>
      <c r="KP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46319</v>
      </c>
      <c r="KQ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46320</v>
      </c>
      <c r="KR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46321</v>
      </c>
      <c r="KS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46322</v>
      </c>
      <c r="KT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46323</v>
      </c>
      <c r="KU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46324</v>
      </c>
      <c r="KV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46325</v>
      </c>
      <c r="KW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46326</v>
      </c>
      <c r="KX30" s="162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46327</v>
      </c>
      <c r="KY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46328</v>
      </c>
      <c r="KZ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46329</v>
      </c>
      <c r="LA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46330</v>
      </c>
      <c r="LB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46331</v>
      </c>
      <c r="LC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46332</v>
      </c>
      <c r="LD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46333</v>
      </c>
      <c r="LE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46334</v>
      </c>
      <c r="LF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46335</v>
      </c>
      <c r="LG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46336</v>
      </c>
      <c r="LH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46337</v>
      </c>
      <c r="LI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46338</v>
      </c>
      <c r="LJ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46339</v>
      </c>
      <c r="LK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46340</v>
      </c>
      <c r="LL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46341</v>
      </c>
      <c r="LM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46342</v>
      </c>
      <c r="LN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46343</v>
      </c>
      <c r="LO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46344</v>
      </c>
      <c r="LP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46345</v>
      </c>
      <c r="LQ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46346</v>
      </c>
      <c r="LR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46347</v>
      </c>
      <c r="LS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46348</v>
      </c>
      <c r="LT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46349</v>
      </c>
      <c r="LU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46350</v>
      </c>
      <c r="LV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46351</v>
      </c>
      <c r="LW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46352</v>
      </c>
      <c r="LX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46353</v>
      </c>
      <c r="LY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46354</v>
      </c>
      <c r="LZ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46355</v>
      </c>
      <c r="MA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46356</v>
      </c>
      <c r="MB30" s="162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46357</v>
      </c>
      <c r="MC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46358</v>
      </c>
      <c r="MD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46359</v>
      </c>
      <c r="ME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46360</v>
      </c>
      <c r="MF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46361</v>
      </c>
      <c r="MG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46362</v>
      </c>
      <c r="MH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46363</v>
      </c>
      <c r="MI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46364</v>
      </c>
      <c r="MJ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46365</v>
      </c>
      <c r="MK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46366</v>
      </c>
      <c r="ML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46367</v>
      </c>
      <c r="MM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46368</v>
      </c>
      <c r="MN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46369</v>
      </c>
      <c r="MO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46370</v>
      </c>
      <c r="MP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46371</v>
      </c>
      <c r="MQ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46372</v>
      </c>
      <c r="MR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46373</v>
      </c>
      <c r="MS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46374</v>
      </c>
      <c r="MT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46375</v>
      </c>
      <c r="MU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46376</v>
      </c>
      <c r="MV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46377</v>
      </c>
      <c r="MW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46378</v>
      </c>
      <c r="MX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46379</v>
      </c>
      <c r="MY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46380</v>
      </c>
      <c r="MZ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46381</v>
      </c>
      <c r="NA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46382</v>
      </c>
      <c r="NB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46383</v>
      </c>
      <c r="NC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46384</v>
      </c>
      <c r="ND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46385</v>
      </c>
      <c r="NE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46386</v>
      </c>
      <c r="NF30" s="163">
        <f>IF(DATE('▧ 26년 휴가대장'!휴가_년,'▧ 26년 휴가대장'!휴가_월_6,COLUMN()-156)&gt;DATE('▧ 26년 휴가대장'!휴가_년,'▧ 26년 휴가대장'!휴가_월_6+156,0),"",DATE('▧ 26년 휴가대장'!휴가_년,'▧ 26년 휴가대장'!휴가_월_6,COLUMN()-156))</f>
        <v>46387</v>
      </c>
    </row>
    <row r="31">
      <c r="A31" s="188"/>
      <c r="B31" s="188" t="s">
        <v>190</v>
      </c>
      <c r="C31" s="188" t="s">
        <v>191</v>
      </c>
      <c r="D31" s="189" t="s">
        <v>192</v>
      </c>
      <c r="E31" s="188" t="s">
        <v>4</v>
      </c>
      <c r="F31" s="192">
        <f t="shared" ref="F31:NF31" si="1">F30</f>
        <v>46023</v>
      </c>
      <c r="G31" s="192">
        <f t="shared" si="1"/>
        <v>46024</v>
      </c>
      <c r="H31" s="192">
        <f t="shared" si="1"/>
        <v>46025</v>
      </c>
      <c r="I31" s="192">
        <f t="shared" si="1"/>
        <v>46026</v>
      </c>
      <c r="J31" s="192">
        <f t="shared" si="1"/>
        <v>46027</v>
      </c>
      <c r="K31" s="192">
        <f t="shared" si="1"/>
        <v>46028</v>
      </c>
      <c r="L31" s="192">
        <f t="shared" si="1"/>
        <v>46029</v>
      </c>
      <c r="M31" s="192">
        <f t="shared" si="1"/>
        <v>46030</v>
      </c>
      <c r="N31" s="192">
        <f t="shared" si="1"/>
        <v>46031</v>
      </c>
      <c r="O31" s="192">
        <f t="shared" si="1"/>
        <v>46032</v>
      </c>
      <c r="P31" s="192">
        <f t="shared" si="1"/>
        <v>46033</v>
      </c>
      <c r="Q31" s="192">
        <f t="shared" si="1"/>
        <v>46034</v>
      </c>
      <c r="R31" s="192">
        <f t="shared" si="1"/>
        <v>46035</v>
      </c>
      <c r="S31" s="192">
        <f t="shared" si="1"/>
        <v>46036</v>
      </c>
      <c r="T31" s="192">
        <f t="shared" si="1"/>
        <v>46037</v>
      </c>
      <c r="U31" s="192">
        <f t="shared" si="1"/>
        <v>46038</v>
      </c>
      <c r="V31" s="192">
        <f t="shared" si="1"/>
        <v>46039</v>
      </c>
      <c r="W31" s="192">
        <f t="shared" si="1"/>
        <v>46040</v>
      </c>
      <c r="X31" s="192">
        <f t="shared" si="1"/>
        <v>46041</v>
      </c>
      <c r="Y31" s="192">
        <f t="shared" si="1"/>
        <v>46042</v>
      </c>
      <c r="Z31" s="192">
        <f t="shared" si="1"/>
        <v>46043</v>
      </c>
      <c r="AA31" s="192">
        <f t="shared" si="1"/>
        <v>46044</v>
      </c>
      <c r="AB31" s="192">
        <f t="shared" si="1"/>
        <v>46045</v>
      </c>
      <c r="AC31" s="192">
        <f t="shared" si="1"/>
        <v>46046</v>
      </c>
      <c r="AD31" s="192">
        <f t="shared" si="1"/>
        <v>46047</v>
      </c>
      <c r="AE31" s="192">
        <f t="shared" si="1"/>
        <v>46048</v>
      </c>
      <c r="AF31" s="192">
        <f t="shared" si="1"/>
        <v>46049</v>
      </c>
      <c r="AG31" s="192">
        <f t="shared" si="1"/>
        <v>46050</v>
      </c>
      <c r="AH31" s="192">
        <f t="shared" si="1"/>
        <v>46051</v>
      </c>
      <c r="AI31" s="192">
        <f t="shared" si="1"/>
        <v>46052</v>
      </c>
      <c r="AJ31" s="192">
        <f t="shared" si="1"/>
        <v>46053</v>
      </c>
      <c r="AK31" s="196">
        <f t="shared" si="1"/>
        <v>46054</v>
      </c>
      <c r="AL31" s="192">
        <f t="shared" si="1"/>
        <v>46055</v>
      </c>
      <c r="AM31" s="192">
        <f t="shared" si="1"/>
        <v>46056</v>
      </c>
      <c r="AN31" s="192">
        <f t="shared" si="1"/>
        <v>46057</v>
      </c>
      <c r="AO31" s="192">
        <f t="shared" si="1"/>
        <v>46058</v>
      </c>
      <c r="AP31" s="192">
        <f t="shared" si="1"/>
        <v>46059</v>
      </c>
      <c r="AQ31" s="192">
        <f t="shared" si="1"/>
        <v>46060</v>
      </c>
      <c r="AR31" s="192">
        <f t="shared" si="1"/>
        <v>46061</v>
      </c>
      <c r="AS31" s="192">
        <f t="shared" si="1"/>
        <v>46062</v>
      </c>
      <c r="AT31" s="192">
        <f t="shared" si="1"/>
        <v>46063</v>
      </c>
      <c r="AU31" s="192">
        <f t="shared" si="1"/>
        <v>46064</v>
      </c>
      <c r="AV31" s="192">
        <f t="shared" si="1"/>
        <v>46065</v>
      </c>
      <c r="AW31" s="192">
        <f t="shared" si="1"/>
        <v>46066</v>
      </c>
      <c r="AX31" s="192">
        <f t="shared" si="1"/>
        <v>46067</v>
      </c>
      <c r="AY31" s="192">
        <f t="shared" si="1"/>
        <v>46068</v>
      </c>
      <c r="AZ31" s="192">
        <f t="shared" si="1"/>
        <v>46069</v>
      </c>
      <c r="BA31" s="192">
        <f t="shared" si="1"/>
        <v>46070</v>
      </c>
      <c r="BB31" s="192">
        <f t="shared" si="1"/>
        <v>46071</v>
      </c>
      <c r="BC31" s="192">
        <f t="shared" si="1"/>
        <v>46072</v>
      </c>
      <c r="BD31" s="192">
        <f t="shared" si="1"/>
        <v>46073</v>
      </c>
      <c r="BE31" s="192">
        <f t="shared" si="1"/>
        <v>46074</v>
      </c>
      <c r="BF31" s="192">
        <f t="shared" si="1"/>
        <v>46075</v>
      </c>
      <c r="BG31" s="192">
        <f t="shared" si="1"/>
        <v>46076</v>
      </c>
      <c r="BH31" s="192">
        <f t="shared" si="1"/>
        <v>46077</v>
      </c>
      <c r="BI31" s="192">
        <f t="shared" si="1"/>
        <v>46078</v>
      </c>
      <c r="BJ31" s="192">
        <f t="shared" si="1"/>
        <v>46079</v>
      </c>
      <c r="BK31" s="192">
        <f t="shared" si="1"/>
        <v>46080</v>
      </c>
      <c r="BL31" s="192">
        <f t="shared" si="1"/>
        <v>46081</v>
      </c>
      <c r="BM31" s="196">
        <f t="shared" si="1"/>
        <v>46082</v>
      </c>
      <c r="BN31" s="198">
        <f t="shared" si="1"/>
        <v>46083</v>
      </c>
      <c r="BO31" s="198">
        <f t="shared" si="1"/>
        <v>46084</v>
      </c>
      <c r="BP31" s="198">
        <f t="shared" si="1"/>
        <v>46085</v>
      </c>
      <c r="BQ31" s="198">
        <f t="shared" si="1"/>
        <v>46086</v>
      </c>
      <c r="BR31" s="198">
        <f t="shared" si="1"/>
        <v>46087</v>
      </c>
      <c r="BS31" s="198">
        <f t="shared" si="1"/>
        <v>46088</v>
      </c>
      <c r="BT31" s="198">
        <f t="shared" si="1"/>
        <v>46089</v>
      </c>
      <c r="BU31" s="198">
        <f t="shared" si="1"/>
        <v>46090</v>
      </c>
      <c r="BV31" s="198">
        <f t="shared" si="1"/>
        <v>46091</v>
      </c>
      <c r="BW31" s="198">
        <f t="shared" si="1"/>
        <v>46092</v>
      </c>
      <c r="BX31" s="198">
        <f t="shared" si="1"/>
        <v>46093</v>
      </c>
      <c r="BY31" s="198">
        <f t="shared" si="1"/>
        <v>46094</v>
      </c>
      <c r="BZ31" s="198">
        <f t="shared" si="1"/>
        <v>46095</v>
      </c>
      <c r="CA31" s="198">
        <f t="shared" si="1"/>
        <v>46096</v>
      </c>
      <c r="CB31" s="198">
        <f t="shared" si="1"/>
        <v>46097</v>
      </c>
      <c r="CC31" s="198">
        <f t="shared" si="1"/>
        <v>46098</v>
      </c>
      <c r="CD31" s="198">
        <f t="shared" si="1"/>
        <v>46099</v>
      </c>
      <c r="CE31" s="198">
        <f t="shared" si="1"/>
        <v>46100</v>
      </c>
      <c r="CF31" s="198">
        <f t="shared" si="1"/>
        <v>46101</v>
      </c>
      <c r="CG31" s="198">
        <f t="shared" si="1"/>
        <v>46102</v>
      </c>
      <c r="CH31" s="198">
        <f t="shared" si="1"/>
        <v>46103</v>
      </c>
      <c r="CI31" s="198">
        <f t="shared" si="1"/>
        <v>46104</v>
      </c>
      <c r="CJ31" s="198">
        <f t="shared" si="1"/>
        <v>46105</v>
      </c>
      <c r="CK31" s="198">
        <f t="shared" si="1"/>
        <v>46106</v>
      </c>
      <c r="CL31" s="198">
        <f t="shared" si="1"/>
        <v>46107</v>
      </c>
      <c r="CM31" s="198">
        <f t="shared" si="1"/>
        <v>46108</v>
      </c>
      <c r="CN31" s="198">
        <f t="shared" si="1"/>
        <v>46109</v>
      </c>
      <c r="CO31" s="198">
        <f t="shared" si="1"/>
        <v>46110</v>
      </c>
      <c r="CP31" s="198">
        <f t="shared" si="1"/>
        <v>46111</v>
      </c>
      <c r="CQ31" s="198">
        <f t="shared" si="1"/>
        <v>46112</v>
      </c>
      <c r="CR31" s="205">
        <f t="shared" si="1"/>
        <v>46113</v>
      </c>
      <c r="CS31" s="198">
        <f t="shared" si="1"/>
        <v>46114</v>
      </c>
      <c r="CT31" s="198">
        <f t="shared" si="1"/>
        <v>46115</v>
      </c>
      <c r="CU31" s="198">
        <f t="shared" si="1"/>
        <v>46116</v>
      </c>
      <c r="CV31" s="198">
        <f t="shared" si="1"/>
        <v>46117</v>
      </c>
      <c r="CW31" s="198">
        <f t="shared" si="1"/>
        <v>46118</v>
      </c>
      <c r="CX31" s="198">
        <f t="shared" si="1"/>
        <v>46119</v>
      </c>
      <c r="CY31" s="198">
        <f t="shared" si="1"/>
        <v>46120</v>
      </c>
      <c r="CZ31" s="198">
        <f t="shared" si="1"/>
        <v>46121</v>
      </c>
      <c r="DA31" s="198">
        <f t="shared" si="1"/>
        <v>46122</v>
      </c>
      <c r="DB31" s="198">
        <f t="shared" si="1"/>
        <v>46123</v>
      </c>
      <c r="DC31" s="198">
        <f t="shared" si="1"/>
        <v>46124</v>
      </c>
      <c r="DD31" s="198">
        <f t="shared" si="1"/>
        <v>46125</v>
      </c>
      <c r="DE31" s="198">
        <f t="shared" si="1"/>
        <v>46126</v>
      </c>
      <c r="DF31" s="198">
        <f t="shared" si="1"/>
        <v>46127</v>
      </c>
      <c r="DG31" s="198">
        <f t="shared" si="1"/>
        <v>46128</v>
      </c>
      <c r="DH31" s="198">
        <f t="shared" si="1"/>
        <v>46129</v>
      </c>
      <c r="DI31" s="198">
        <f t="shared" si="1"/>
        <v>46130</v>
      </c>
      <c r="DJ31" s="198">
        <f t="shared" si="1"/>
        <v>46131</v>
      </c>
      <c r="DK31" s="198">
        <f t="shared" si="1"/>
        <v>46132</v>
      </c>
      <c r="DL31" s="198">
        <f t="shared" si="1"/>
        <v>46133</v>
      </c>
      <c r="DM31" s="198">
        <f t="shared" si="1"/>
        <v>46134</v>
      </c>
      <c r="DN31" s="198">
        <f t="shared" si="1"/>
        <v>46135</v>
      </c>
      <c r="DO31" s="198">
        <f t="shared" si="1"/>
        <v>46136</v>
      </c>
      <c r="DP31" s="198">
        <f t="shared" si="1"/>
        <v>46137</v>
      </c>
      <c r="DQ31" s="198">
        <f t="shared" si="1"/>
        <v>46138</v>
      </c>
      <c r="DR31" s="198">
        <f t="shared" si="1"/>
        <v>46139</v>
      </c>
      <c r="DS31" s="198">
        <f t="shared" si="1"/>
        <v>46140</v>
      </c>
      <c r="DT31" s="198">
        <f t="shared" si="1"/>
        <v>46141</v>
      </c>
      <c r="DU31" s="198">
        <f t="shared" si="1"/>
        <v>46142</v>
      </c>
      <c r="DV31" s="205">
        <f t="shared" si="1"/>
        <v>46143</v>
      </c>
      <c r="DW31" s="198">
        <f t="shared" si="1"/>
        <v>46144</v>
      </c>
      <c r="DX31" s="198">
        <f t="shared" si="1"/>
        <v>46145</v>
      </c>
      <c r="DY31" s="198">
        <f t="shared" si="1"/>
        <v>46146</v>
      </c>
      <c r="DZ31" s="198">
        <f t="shared" si="1"/>
        <v>46147</v>
      </c>
      <c r="EA31" s="198">
        <f t="shared" si="1"/>
        <v>46148</v>
      </c>
      <c r="EB31" s="198">
        <f t="shared" si="1"/>
        <v>46149</v>
      </c>
      <c r="EC31" s="198">
        <f t="shared" si="1"/>
        <v>46150</v>
      </c>
      <c r="ED31" s="198">
        <f t="shared" si="1"/>
        <v>46151</v>
      </c>
      <c r="EE31" s="198">
        <f t="shared" si="1"/>
        <v>46152</v>
      </c>
      <c r="EF31" s="198">
        <f t="shared" si="1"/>
        <v>46153</v>
      </c>
      <c r="EG31" s="198">
        <f t="shared" si="1"/>
        <v>46154</v>
      </c>
      <c r="EH31" s="198">
        <f t="shared" si="1"/>
        <v>46155</v>
      </c>
      <c r="EI31" s="198">
        <f t="shared" si="1"/>
        <v>46156</v>
      </c>
      <c r="EJ31" s="198">
        <f t="shared" si="1"/>
        <v>46157</v>
      </c>
      <c r="EK31" s="198">
        <f t="shared" si="1"/>
        <v>46158</v>
      </c>
      <c r="EL31" s="198">
        <f t="shared" si="1"/>
        <v>46159</v>
      </c>
      <c r="EM31" s="198">
        <f t="shared" si="1"/>
        <v>46160</v>
      </c>
      <c r="EN31" s="198">
        <f t="shared" si="1"/>
        <v>46161</v>
      </c>
      <c r="EO31" s="198">
        <f t="shared" si="1"/>
        <v>46162</v>
      </c>
      <c r="EP31" s="198">
        <f t="shared" si="1"/>
        <v>46163</v>
      </c>
      <c r="EQ31" s="198">
        <f t="shared" si="1"/>
        <v>46164</v>
      </c>
      <c r="ER31" s="198">
        <f t="shared" si="1"/>
        <v>46165</v>
      </c>
      <c r="ES31" s="198">
        <f t="shared" si="1"/>
        <v>46166</v>
      </c>
      <c r="ET31" s="198">
        <f t="shared" si="1"/>
        <v>46167</v>
      </c>
      <c r="EU31" s="198">
        <f t="shared" si="1"/>
        <v>46168</v>
      </c>
      <c r="EV31" s="198">
        <f t="shared" si="1"/>
        <v>46169</v>
      </c>
      <c r="EW31" s="198">
        <f t="shared" si="1"/>
        <v>46170</v>
      </c>
      <c r="EX31" s="217">
        <f t="shared" si="1"/>
        <v>46171</v>
      </c>
      <c r="EY31" s="198">
        <f t="shared" si="1"/>
        <v>46172</v>
      </c>
      <c r="EZ31" s="198">
        <f t="shared" si="1"/>
        <v>46173</v>
      </c>
      <c r="FA31" s="205">
        <f t="shared" si="1"/>
        <v>46174</v>
      </c>
      <c r="FB31" s="198">
        <f t="shared" si="1"/>
        <v>46175</v>
      </c>
      <c r="FC31" s="219">
        <f t="shared" si="1"/>
        <v>46176</v>
      </c>
      <c r="FD31" s="198">
        <f t="shared" si="1"/>
        <v>46177</v>
      </c>
      <c r="FE31" s="198">
        <f t="shared" si="1"/>
        <v>46178</v>
      </c>
      <c r="FF31" s="198">
        <f t="shared" si="1"/>
        <v>46179</v>
      </c>
      <c r="FG31" s="198">
        <f t="shared" si="1"/>
        <v>46180</v>
      </c>
      <c r="FH31" s="198">
        <f t="shared" si="1"/>
        <v>46181</v>
      </c>
      <c r="FI31" s="198">
        <f t="shared" si="1"/>
        <v>46182</v>
      </c>
      <c r="FJ31" s="198">
        <f t="shared" si="1"/>
        <v>46183</v>
      </c>
      <c r="FK31" s="198">
        <f t="shared" si="1"/>
        <v>46184</v>
      </c>
      <c r="FL31" s="198">
        <f t="shared" si="1"/>
        <v>46185</v>
      </c>
      <c r="FM31" s="198">
        <f t="shared" si="1"/>
        <v>46186</v>
      </c>
      <c r="FN31" s="198">
        <f t="shared" si="1"/>
        <v>46187</v>
      </c>
      <c r="FO31" s="198">
        <f t="shared" si="1"/>
        <v>46188</v>
      </c>
      <c r="FP31" s="198">
        <f t="shared" si="1"/>
        <v>46189</v>
      </c>
      <c r="FQ31" s="198">
        <f t="shared" si="1"/>
        <v>46190</v>
      </c>
      <c r="FR31" s="198">
        <f t="shared" si="1"/>
        <v>46191</v>
      </c>
      <c r="FS31" s="198">
        <f t="shared" si="1"/>
        <v>46192</v>
      </c>
      <c r="FT31" s="198">
        <f t="shared" si="1"/>
        <v>46193</v>
      </c>
      <c r="FU31" s="198">
        <f t="shared" si="1"/>
        <v>46194</v>
      </c>
      <c r="FV31" s="198">
        <f t="shared" si="1"/>
        <v>46195</v>
      </c>
      <c r="FW31" s="198">
        <f t="shared" si="1"/>
        <v>46196</v>
      </c>
      <c r="FX31" s="198">
        <f t="shared" si="1"/>
        <v>46197</v>
      </c>
      <c r="FY31" s="198">
        <f t="shared" si="1"/>
        <v>46198</v>
      </c>
      <c r="FZ31" s="198">
        <f t="shared" si="1"/>
        <v>46199</v>
      </c>
      <c r="GA31" s="198">
        <f t="shared" si="1"/>
        <v>46200</v>
      </c>
      <c r="GB31" s="198">
        <f t="shared" si="1"/>
        <v>46201</v>
      </c>
      <c r="GC31" s="198">
        <f t="shared" si="1"/>
        <v>46202</v>
      </c>
      <c r="GD31" s="198">
        <f t="shared" si="1"/>
        <v>46203</v>
      </c>
      <c r="GE31" s="205">
        <f t="shared" si="1"/>
        <v>46204</v>
      </c>
      <c r="GF31" s="198">
        <f t="shared" si="1"/>
        <v>46205</v>
      </c>
      <c r="GG31" s="198">
        <f t="shared" si="1"/>
        <v>46206</v>
      </c>
      <c r="GH31" s="198">
        <f t="shared" si="1"/>
        <v>46207</v>
      </c>
      <c r="GI31" s="198">
        <f t="shared" si="1"/>
        <v>46208</v>
      </c>
      <c r="GJ31" s="198">
        <f t="shared" si="1"/>
        <v>46209</v>
      </c>
      <c r="GK31" s="198">
        <f t="shared" si="1"/>
        <v>46210</v>
      </c>
      <c r="GL31" s="198">
        <f t="shared" si="1"/>
        <v>46211</v>
      </c>
      <c r="GM31" s="198">
        <f t="shared" si="1"/>
        <v>46212</v>
      </c>
      <c r="GN31" s="198">
        <f t="shared" si="1"/>
        <v>46213</v>
      </c>
      <c r="GO31" s="198">
        <f t="shared" si="1"/>
        <v>46214</v>
      </c>
      <c r="GP31" s="198">
        <f t="shared" si="1"/>
        <v>46215</v>
      </c>
      <c r="GQ31" s="198">
        <f t="shared" si="1"/>
        <v>46216</v>
      </c>
      <c r="GR31" s="198">
        <f t="shared" si="1"/>
        <v>46217</v>
      </c>
      <c r="GS31" s="198">
        <f t="shared" si="1"/>
        <v>46218</v>
      </c>
      <c r="GT31" s="198">
        <f t="shared" si="1"/>
        <v>46219</v>
      </c>
      <c r="GU31" s="198">
        <f t="shared" si="1"/>
        <v>46220</v>
      </c>
      <c r="GV31" s="198">
        <f t="shared" si="1"/>
        <v>46221</v>
      </c>
      <c r="GW31" s="198">
        <f t="shared" si="1"/>
        <v>46222</v>
      </c>
      <c r="GX31" s="198">
        <f t="shared" si="1"/>
        <v>46223</v>
      </c>
      <c r="GY31" s="198">
        <f t="shared" si="1"/>
        <v>46224</v>
      </c>
      <c r="GZ31" s="198">
        <f t="shared" si="1"/>
        <v>46225</v>
      </c>
      <c r="HA31" s="198">
        <f t="shared" si="1"/>
        <v>46226</v>
      </c>
      <c r="HB31" s="198">
        <f t="shared" si="1"/>
        <v>46227</v>
      </c>
      <c r="HC31" s="198">
        <f t="shared" si="1"/>
        <v>46228</v>
      </c>
      <c r="HD31" s="198">
        <f t="shared" si="1"/>
        <v>46229</v>
      </c>
      <c r="HE31" s="198">
        <f t="shared" si="1"/>
        <v>46230</v>
      </c>
      <c r="HF31" s="198">
        <f t="shared" si="1"/>
        <v>46231</v>
      </c>
      <c r="HG31" s="198">
        <f t="shared" si="1"/>
        <v>46232</v>
      </c>
      <c r="HH31" s="198">
        <f t="shared" si="1"/>
        <v>46233</v>
      </c>
      <c r="HI31" s="198">
        <f t="shared" si="1"/>
        <v>46234</v>
      </c>
      <c r="HJ31" s="205">
        <f t="shared" si="1"/>
        <v>46235</v>
      </c>
      <c r="HK31" s="198">
        <f t="shared" si="1"/>
        <v>46236</v>
      </c>
      <c r="HL31" s="198">
        <f t="shared" si="1"/>
        <v>46237</v>
      </c>
      <c r="HM31" s="198">
        <f t="shared" si="1"/>
        <v>46238</v>
      </c>
      <c r="HN31" s="198">
        <f t="shared" si="1"/>
        <v>46239</v>
      </c>
      <c r="HO31" s="198">
        <f t="shared" si="1"/>
        <v>46240</v>
      </c>
      <c r="HP31" s="198">
        <f t="shared" si="1"/>
        <v>46241</v>
      </c>
      <c r="HQ31" s="198">
        <f t="shared" si="1"/>
        <v>46242</v>
      </c>
      <c r="HR31" s="198">
        <f t="shared" si="1"/>
        <v>46243</v>
      </c>
      <c r="HS31" s="198">
        <f t="shared" si="1"/>
        <v>46244</v>
      </c>
      <c r="HT31" s="198">
        <f t="shared" si="1"/>
        <v>46245</v>
      </c>
      <c r="HU31" s="198">
        <f t="shared" si="1"/>
        <v>46246</v>
      </c>
      <c r="HV31" s="198">
        <f t="shared" si="1"/>
        <v>46247</v>
      </c>
      <c r="HW31" s="198">
        <f t="shared" si="1"/>
        <v>46248</v>
      </c>
      <c r="HX31" s="198">
        <f t="shared" si="1"/>
        <v>46249</v>
      </c>
      <c r="HY31" s="198">
        <f t="shared" si="1"/>
        <v>46250</v>
      </c>
      <c r="HZ31" s="198">
        <f t="shared" si="1"/>
        <v>46251</v>
      </c>
      <c r="IA31" s="198">
        <f t="shared" si="1"/>
        <v>46252</v>
      </c>
      <c r="IB31" s="198">
        <f t="shared" si="1"/>
        <v>46253</v>
      </c>
      <c r="IC31" s="198">
        <f t="shared" si="1"/>
        <v>46254</v>
      </c>
      <c r="ID31" s="198">
        <f t="shared" si="1"/>
        <v>46255</v>
      </c>
      <c r="IE31" s="198">
        <f t="shared" si="1"/>
        <v>46256</v>
      </c>
      <c r="IF31" s="198">
        <f t="shared" si="1"/>
        <v>46257</v>
      </c>
      <c r="IG31" s="198">
        <f t="shared" si="1"/>
        <v>46258</v>
      </c>
      <c r="IH31" s="198">
        <f t="shared" si="1"/>
        <v>46259</v>
      </c>
      <c r="II31" s="198">
        <f t="shared" si="1"/>
        <v>46260</v>
      </c>
      <c r="IJ31" s="198">
        <f t="shared" si="1"/>
        <v>46261</v>
      </c>
      <c r="IK31" s="198">
        <f t="shared" si="1"/>
        <v>46262</v>
      </c>
      <c r="IL31" s="198">
        <f t="shared" si="1"/>
        <v>46263</v>
      </c>
      <c r="IM31" s="198">
        <f t="shared" si="1"/>
        <v>46264</v>
      </c>
      <c r="IN31" s="198">
        <f t="shared" si="1"/>
        <v>46265</v>
      </c>
      <c r="IO31" s="205">
        <f t="shared" si="1"/>
        <v>46266</v>
      </c>
      <c r="IP31" s="198">
        <f t="shared" si="1"/>
        <v>46267</v>
      </c>
      <c r="IQ31" s="198">
        <f t="shared" si="1"/>
        <v>46268</v>
      </c>
      <c r="IR31" s="198">
        <f t="shared" si="1"/>
        <v>46269</v>
      </c>
      <c r="IS31" s="198">
        <f t="shared" si="1"/>
        <v>46270</v>
      </c>
      <c r="IT31" s="198">
        <f t="shared" si="1"/>
        <v>46271</v>
      </c>
      <c r="IU31" s="198">
        <f t="shared" si="1"/>
        <v>46272</v>
      </c>
      <c r="IV31" s="198">
        <f t="shared" si="1"/>
        <v>46273</v>
      </c>
      <c r="IW31" s="198">
        <f t="shared" si="1"/>
        <v>46274</v>
      </c>
      <c r="IX31" s="198">
        <f t="shared" si="1"/>
        <v>46275</v>
      </c>
      <c r="IY31" s="198">
        <f t="shared" si="1"/>
        <v>46276</v>
      </c>
      <c r="IZ31" s="198">
        <f t="shared" si="1"/>
        <v>46277</v>
      </c>
      <c r="JA31" s="198">
        <f t="shared" si="1"/>
        <v>46278</v>
      </c>
      <c r="JB31" s="198">
        <f t="shared" si="1"/>
        <v>46279</v>
      </c>
      <c r="JC31" s="198">
        <f t="shared" si="1"/>
        <v>46280</v>
      </c>
      <c r="JD31" s="198">
        <f t="shared" si="1"/>
        <v>46281</v>
      </c>
      <c r="JE31" s="198">
        <f t="shared" si="1"/>
        <v>46282</v>
      </c>
      <c r="JF31" s="198">
        <f t="shared" si="1"/>
        <v>46283</v>
      </c>
      <c r="JG31" s="198">
        <f t="shared" si="1"/>
        <v>46284</v>
      </c>
      <c r="JH31" s="198">
        <f t="shared" si="1"/>
        <v>46285</v>
      </c>
      <c r="JI31" s="198">
        <f t="shared" si="1"/>
        <v>46286</v>
      </c>
      <c r="JJ31" s="198">
        <f t="shared" si="1"/>
        <v>46287</v>
      </c>
      <c r="JK31" s="198">
        <f t="shared" si="1"/>
        <v>46288</v>
      </c>
      <c r="JL31" s="198">
        <f t="shared" si="1"/>
        <v>46289</v>
      </c>
      <c r="JM31" s="198">
        <f t="shared" si="1"/>
        <v>46290</v>
      </c>
      <c r="JN31" s="198">
        <f t="shared" si="1"/>
        <v>46291</v>
      </c>
      <c r="JO31" s="198">
        <f t="shared" si="1"/>
        <v>46292</v>
      </c>
      <c r="JP31" s="198">
        <f t="shared" si="1"/>
        <v>46293</v>
      </c>
      <c r="JQ31" s="198">
        <f t="shared" si="1"/>
        <v>46294</v>
      </c>
      <c r="JR31" s="198">
        <f t="shared" si="1"/>
        <v>46295</v>
      </c>
      <c r="JS31" s="205">
        <f t="shared" si="1"/>
        <v>46296</v>
      </c>
      <c r="JT31" s="229">
        <f t="shared" si="1"/>
        <v>46297</v>
      </c>
      <c r="JU31" s="198">
        <f t="shared" si="1"/>
        <v>46298</v>
      </c>
      <c r="JV31" s="198">
        <f t="shared" si="1"/>
        <v>46299</v>
      </c>
      <c r="JW31" s="198">
        <f t="shared" si="1"/>
        <v>46300</v>
      </c>
      <c r="JX31" s="198">
        <f t="shared" si="1"/>
        <v>46301</v>
      </c>
      <c r="JY31" s="198">
        <f t="shared" si="1"/>
        <v>46302</v>
      </c>
      <c r="JZ31" s="198">
        <f t="shared" si="1"/>
        <v>46303</v>
      </c>
      <c r="KA31" s="198">
        <f t="shared" si="1"/>
        <v>46304</v>
      </c>
      <c r="KB31" s="198">
        <f t="shared" si="1"/>
        <v>46305</v>
      </c>
      <c r="KC31" s="198">
        <f t="shared" si="1"/>
        <v>46306</v>
      </c>
      <c r="KD31" s="198">
        <f t="shared" si="1"/>
        <v>46307</v>
      </c>
      <c r="KE31" s="198">
        <f t="shared" si="1"/>
        <v>46308</v>
      </c>
      <c r="KF31" s="198">
        <f t="shared" si="1"/>
        <v>46309</v>
      </c>
      <c r="KG31" s="198">
        <f t="shared" si="1"/>
        <v>46310</v>
      </c>
      <c r="KH31" s="198">
        <f t="shared" si="1"/>
        <v>46311</v>
      </c>
      <c r="KI31" s="198">
        <f t="shared" si="1"/>
        <v>46312</v>
      </c>
      <c r="KJ31" s="198">
        <f t="shared" si="1"/>
        <v>46313</v>
      </c>
      <c r="KK31" s="198">
        <f t="shared" si="1"/>
        <v>46314</v>
      </c>
      <c r="KL31" s="198">
        <f t="shared" si="1"/>
        <v>46315</v>
      </c>
      <c r="KM31" s="198">
        <f t="shared" si="1"/>
        <v>46316</v>
      </c>
      <c r="KN31" s="198">
        <f t="shared" si="1"/>
        <v>46317</v>
      </c>
      <c r="KO31" s="198">
        <f t="shared" si="1"/>
        <v>46318</v>
      </c>
      <c r="KP31" s="198">
        <f t="shared" si="1"/>
        <v>46319</v>
      </c>
      <c r="KQ31" s="198">
        <f t="shared" si="1"/>
        <v>46320</v>
      </c>
      <c r="KR31" s="198">
        <f t="shared" si="1"/>
        <v>46321</v>
      </c>
      <c r="KS31" s="198">
        <f t="shared" si="1"/>
        <v>46322</v>
      </c>
      <c r="KT31" s="198">
        <f t="shared" si="1"/>
        <v>46323</v>
      </c>
      <c r="KU31" s="198">
        <f t="shared" si="1"/>
        <v>46324</v>
      </c>
      <c r="KV31" s="198">
        <f t="shared" si="1"/>
        <v>46325</v>
      </c>
      <c r="KW31" s="198">
        <f t="shared" si="1"/>
        <v>46326</v>
      </c>
      <c r="KX31" s="205">
        <f t="shared" si="1"/>
        <v>46327</v>
      </c>
      <c r="KY31" s="198">
        <f t="shared" si="1"/>
        <v>46328</v>
      </c>
      <c r="KZ31" s="198">
        <f t="shared" si="1"/>
        <v>46329</v>
      </c>
      <c r="LA31" s="198">
        <f t="shared" si="1"/>
        <v>46330</v>
      </c>
      <c r="LB31" s="198">
        <f t="shared" si="1"/>
        <v>46331</v>
      </c>
      <c r="LC31" s="198">
        <f t="shared" si="1"/>
        <v>46332</v>
      </c>
      <c r="LD31" s="198">
        <f t="shared" si="1"/>
        <v>46333</v>
      </c>
      <c r="LE31" s="198">
        <f t="shared" si="1"/>
        <v>46334</v>
      </c>
      <c r="LF31" s="198">
        <f t="shared" si="1"/>
        <v>46335</v>
      </c>
      <c r="LG31" s="198">
        <f t="shared" si="1"/>
        <v>46336</v>
      </c>
      <c r="LH31" s="198">
        <f t="shared" si="1"/>
        <v>46337</v>
      </c>
      <c r="LI31" s="198">
        <f t="shared" si="1"/>
        <v>46338</v>
      </c>
      <c r="LJ31" s="198">
        <f t="shared" si="1"/>
        <v>46339</v>
      </c>
      <c r="LK31" s="198">
        <f t="shared" si="1"/>
        <v>46340</v>
      </c>
      <c r="LL31" s="198">
        <f t="shared" si="1"/>
        <v>46341</v>
      </c>
      <c r="LM31" s="198">
        <f t="shared" si="1"/>
        <v>46342</v>
      </c>
      <c r="LN31" s="198">
        <f t="shared" si="1"/>
        <v>46343</v>
      </c>
      <c r="LO31" s="198">
        <f t="shared" si="1"/>
        <v>46344</v>
      </c>
      <c r="LP31" s="198">
        <f t="shared" si="1"/>
        <v>46345</v>
      </c>
      <c r="LQ31" s="198">
        <f t="shared" si="1"/>
        <v>46346</v>
      </c>
      <c r="LR31" s="198">
        <f t="shared" si="1"/>
        <v>46347</v>
      </c>
      <c r="LS31" s="198">
        <f t="shared" si="1"/>
        <v>46348</v>
      </c>
      <c r="LT31" s="198">
        <f t="shared" si="1"/>
        <v>46349</v>
      </c>
      <c r="LU31" s="198">
        <f t="shared" si="1"/>
        <v>46350</v>
      </c>
      <c r="LV31" s="198">
        <f t="shared" si="1"/>
        <v>46351</v>
      </c>
      <c r="LW31" s="198">
        <f t="shared" si="1"/>
        <v>46352</v>
      </c>
      <c r="LX31" s="198">
        <f t="shared" si="1"/>
        <v>46353</v>
      </c>
      <c r="LY31" s="198">
        <f t="shared" si="1"/>
        <v>46354</v>
      </c>
      <c r="LZ31" s="198">
        <f t="shared" si="1"/>
        <v>46355</v>
      </c>
      <c r="MA31" s="198">
        <f t="shared" si="1"/>
        <v>46356</v>
      </c>
      <c r="MB31" s="205">
        <f t="shared" si="1"/>
        <v>46357</v>
      </c>
      <c r="MC31" s="198">
        <f t="shared" si="1"/>
        <v>46358</v>
      </c>
      <c r="MD31" s="198">
        <f t="shared" si="1"/>
        <v>46359</v>
      </c>
      <c r="ME31" s="198">
        <f t="shared" si="1"/>
        <v>46360</v>
      </c>
      <c r="MF31" s="198">
        <f t="shared" si="1"/>
        <v>46361</v>
      </c>
      <c r="MG31" s="198">
        <f t="shared" si="1"/>
        <v>46362</v>
      </c>
      <c r="MH31" s="198">
        <f t="shared" si="1"/>
        <v>46363</v>
      </c>
      <c r="MI31" s="198">
        <f t="shared" si="1"/>
        <v>46364</v>
      </c>
      <c r="MJ31" s="198">
        <f t="shared" si="1"/>
        <v>46365</v>
      </c>
      <c r="MK31" s="198">
        <f t="shared" si="1"/>
        <v>46366</v>
      </c>
      <c r="ML31" s="198">
        <f t="shared" si="1"/>
        <v>46367</v>
      </c>
      <c r="MM31" s="198">
        <f t="shared" si="1"/>
        <v>46368</v>
      </c>
      <c r="MN31" s="198">
        <f t="shared" si="1"/>
        <v>46369</v>
      </c>
      <c r="MO31" s="198">
        <f t="shared" si="1"/>
        <v>46370</v>
      </c>
      <c r="MP31" s="198">
        <f t="shared" si="1"/>
        <v>46371</v>
      </c>
      <c r="MQ31" s="198">
        <f t="shared" si="1"/>
        <v>46372</v>
      </c>
      <c r="MR31" s="198">
        <f t="shared" si="1"/>
        <v>46373</v>
      </c>
      <c r="MS31" s="198">
        <f t="shared" si="1"/>
        <v>46374</v>
      </c>
      <c r="MT31" s="198">
        <f t="shared" si="1"/>
        <v>46375</v>
      </c>
      <c r="MU31" s="198">
        <f t="shared" si="1"/>
        <v>46376</v>
      </c>
      <c r="MV31" s="198">
        <f t="shared" si="1"/>
        <v>46377</v>
      </c>
      <c r="MW31" s="198">
        <f t="shared" si="1"/>
        <v>46378</v>
      </c>
      <c r="MX31" s="198">
        <f t="shared" si="1"/>
        <v>46379</v>
      </c>
      <c r="MY31" s="198">
        <f t="shared" si="1"/>
        <v>46380</v>
      </c>
      <c r="MZ31" s="198">
        <f t="shared" si="1"/>
        <v>46381</v>
      </c>
      <c r="NA31" s="198">
        <f t="shared" si="1"/>
        <v>46382</v>
      </c>
      <c r="NB31" s="198">
        <f t="shared" si="1"/>
        <v>46383</v>
      </c>
      <c r="NC31" s="198">
        <f t="shared" si="1"/>
        <v>46384</v>
      </c>
      <c r="ND31" s="198">
        <f t="shared" si="1"/>
        <v>46385</v>
      </c>
      <c r="NE31" s="198">
        <f t="shared" si="1"/>
        <v>46386</v>
      </c>
      <c r="NF31" s="198">
        <f t="shared" si="1"/>
        <v>46387</v>
      </c>
    </row>
    <row r="32" ht="15.75" hidden="1" customHeight="1">
      <c r="A32" s="237"/>
      <c r="B32" s="238">
        <v>82804.0</v>
      </c>
      <c r="C32" s="239">
        <v>46030.0</v>
      </c>
      <c r="D32" s="241" t="s">
        <v>197</v>
      </c>
      <c r="E32" s="242" t="s">
        <v>47</v>
      </c>
      <c r="F32" s="22"/>
      <c r="G32" s="20">
        <v>7.0</v>
      </c>
      <c r="H32" s="22"/>
      <c r="I32" s="22"/>
      <c r="J32" s="20">
        <v>2.0</v>
      </c>
      <c r="K32" s="20">
        <v>1.0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0"/>
      <c r="AJ32" s="20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  <c r="IZ32" s="22"/>
      <c r="JA32" s="22"/>
      <c r="JB32" s="22"/>
      <c r="JC32" s="22"/>
      <c r="JD32" s="22"/>
      <c r="JE32" s="22"/>
      <c r="JF32" s="22"/>
      <c r="JG32" s="22"/>
      <c r="JH32" s="22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2"/>
      <c r="LK32" s="22"/>
      <c r="LL32" s="22"/>
      <c r="LM32" s="22"/>
      <c r="LN32" s="22"/>
      <c r="LO32" s="22"/>
      <c r="LP32" s="22"/>
      <c r="LQ32" s="22"/>
      <c r="LR32" s="22"/>
      <c r="LS32" s="22"/>
      <c r="LT32" s="22"/>
      <c r="LU32" s="22"/>
      <c r="LV32" s="22"/>
      <c r="LW32" s="22"/>
      <c r="LX32" s="20"/>
      <c r="LY32" s="20"/>
      <c r="LZ32" s="22"/>
      <c r="MA32" s="22"/>
      <c r="MB32" s="22"/>
      <c r="MC32" s="22"/>
      <c r="MD32" s="22"/>
      <c r="ME32" s="22"/>
      <c r="MF32" s="22"/>
      <c r="MG32" s="22"/>
      <c r="MH32" s="22"/>
      <c r="MI32" s="22"/>
      <c r="MJ32" s="22"/>
      <c r="MK32" s="22"/>
      <c r="ML32" s="22"/>
      <c r="MM32" s="22"/>
      <c r="MN32" s="22"/>
      <c r="MO32" s="22"/>
      <c r="MP32" s="22"/>
      <c r="MQ32" s="22"/>
      <c r="MR32" s="22"/>
      <c r="MS32" s="22"/>
      <c r="MT32" s="22"/>
      <c r="MU32" s="22"/>
      <c r="MV32" s="22"/>
      <c r="MW32" s="22"/>
      <c r="MX32" s="22"/>
      <c r="MY32" s="22"/>
      <c r="MZ32" s="22"/>
      <c r="NA32" s="22"/>
      <c r="NB32" s="22"/>
      <c r="NC32" s="22"/>
      <c r="ND32" s="22"/>
      <c r="NE32" s="22"/>
      <c r="NF32" s="22"/>
    </row>
    <row r="33" ht="15.75" hidden="1" customHeight="1">
      <c r="A33" s="237"/>
      <c r="B33" s="244"/>
      <c r="C33" s="239">
        <v>46027.0</v>
      </c>
      <c r="D33" s="245" t="s">
        <v>200</v>
      </c>
      <c r="E33" s="242" t="s">
        <v>47</v>
      </c>
      <c r="F33" s="22"/>
      <c r="G33" s="20">
        <v>1.0</v>
      </c>
      <c r="H33" s="22"/>
      <c r="I33" s="22"/>
      <c r="J33" s="20"/>
      <c r="K33" s="20"/>
      <c r="L33" s="22"/>
      <c r="M33" s="22"/>
      <c r="N33" s="22"/>
      <c r="O33" s="22"/>
      <c r="P33" s="22"/>
      <c r="Q33" s="22"/>
      <c r="R33" s="22"/>
      <c r="S33" s="22"/>
      <c r="T33" s="22"/>
      <c r="U33" s="20"/>
      <c r="V33" s="22"/>
      <c r="W33" s="22"/>
      <c r="X33" s="20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0"/>
      <c r="AJ33" s="20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2"/>
      <c r="LK33" s="22"/>
      <c r="LL33" s="22"/>
      <c r="LM33" s="22"/>
      <c r="LN33" s="22"/>
      <c r="LO33" s="22"/>
      <c r="LP33" s="22"/>
      <c r="LQ33" s="22"/>
      <c r="LR33" s="22"/>
      <c r="LS33" s="22"/>
      <c r="LT33" s="22"/>
      <c r="LU33" s="22"/>
      <c r="LV33" s="22"/>
      <c r="LW33" s="22"/>
      <c r="LX33" s="20"/>
      <c r="LY33" s="20"/>
      <c r="LZ33" s="22"/>
      <c r="MA33" s="22"/>
      <c r="MB33" s="22"/>
      <c r="MC33" s="22"/>
      <c r="MD33" s="22"/>
      <c r="ME33" s="22"/>
      <c r="MF33" s="22"/>
      <c r="MG33" s="22"/>
      <c r="MH33" s="22"/>
      <c r="MI33" s="22"/>
      <c r="MJ33" s="22"/>
      <c r="MK33" s="22"/>
      <c r="ML33" s="22"/>
      <c r="MM33" s="22"/>
      <c r="MN33" s="22"/>
      <c r="MO33" s="22"/>
      <c r="MP33" s="22"/>
      <c r="MQ33" s="22"/>
      <c r="MR33" s="22"/>
      <c r="MS33" s="22"/>
      <c r="MT33" s="22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</row>
    <row r="34" ht="15.75" hidden="1" customHeight="1">
      <c r="A34" s="237"/>
      <c r="B34" s="248">
        <v>82925.0</v>
      </c>
      <c r="C34" s="249">
        <v>46030.0</v>
      </c>
      <c r="D34" s="250" t="s">
        <v>204</v>
      </c>
      <c r="E34" s="242" t="s">
        <v>47</v>
      </c>
      <c r="F34" s="22"/>
      <c r="G34" s="20"/>
      <c r="H34" s="22"/>
      <c r="I34" s="22"/>
      <c r="J34" s="20">
        <v>5.0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0"/>
      <c r="AJ34" s="20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  <c r="IZ34" s="22"/>
      <c r="JA34" s="22"/>
      <c r="JB34" s="22"/>
      <c r="JC34" s="22"/>
      <c r="JD34" s="22"/>
      <c r="JE34" s="22"/>
      <c r="JF34" s="22"/>
      <c r="JG34" s="22"/>
      <c r="JH34" s="22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2"/>
      <c r="LK34" s="22"/>
      <c r="LL34" s="22"/>
      <c r="LM34" s="22"/>
      <c r="LN34" s="22"/>
      <c r="LO34" s="22"/>
      <c r="LP34" s="22"/>
      <c r="LQ34" s="22"/>
      <c r="LR34" s="22"/>
      <c r="LS34" s="22"/>
      <c r="LT34" s="22"/>
      <c r="LU34" s="22"/>
      <c r="LV34" s="22"/>
      <c r="LW34" s="22"/>
      <c r="LX34" s="20"/>
      <c r="LY34" s="20"/>
      <c r="LZ34" s="22"/>
      <c r="MA34" s="22"/>
      <c r="MB34" s="22"/>
      <c r="MC34" s="22"/>
      <c r="MD34" s="22"/>
      <c r="ME34" s="22"/>
      <c r="MF34" s="22"/>
      <c r="MG34" s="22"/>
      <c r="MH34" s="22"/>
      <c r="MI34" s="22"/>
      <c r="MJ34" s="22"/>
      <c r="MK34" s="22"/>
      <c r="ML34" s="22"/>
      <c r="MM34" s="22"/>
      <c r="MN34" s="22"/>
      <c r="MO34" s="22"/>
      <c r="MP34" s="22"/>
      <c r="MQ34" s="22"/>
      <c r="MR34" s="22"/>
      <c r="MS34" s="22"/>
      <c r="MT34" s="22"/>
      <c r="MU34" s="22"/>
      <c r="MV34" s="22"/>
      <c r="MW34" s="22"/>
      <c r="MX34" s="22"/>
      <c r="MY34" s="22"/>
      <c r="MZ34" s="22"/>
      <c r="NA34" s="22"/>
      <c r="NB34" s="22"/>
      <c r="NC34" s="22"/>
      <c r="ND34" s="22"/>
      <c r="NE34" s="22"/>
      <c r="NF34" s="22"/>
    </row>
    <row r="35" ht="15.75" hidden="1" customHeight="1">
      <c r="A35" s="237"/>
      <c r="B35" s="251">
        <v>82933.0</v>
      </c>
      <c r="C35" s="249">
        <v>46030.0</v>
      </c>
      <c r="D35" s="245" t="s">
        <v>207</v>
      </c>
      <c r="E35" s="242" t="s">
        <v>47</v>
      </c>
      <c r="F35" s="22"/>
      <c r="G35" s="22"/>
      <c r="H35" s="22"/>
      <c r="I35" s="22"/>
      <c r="J35" s="20">
        <v>1.0</v>
      </c>
      <c r="K35" s="20">
        <v>5.0</v>
      </c>
      <c r="L35" s="22"/>
      <c r="M35" s="22"/>
      <c r="N35" s="22"/>
      <c r="O35" s="22"/>
      <c r="P35" s="22"/>
      <c r="Q35" s="20">
        <v>2.0</v>
      </c>
      <c r="R35" s="20">
        <v>1.0</v>
      </c>
      <c r="S35" s="20">
        <v>1.0</v>
      </c>
      <c r="T35" s="20">
        <v>2.0</v>
      </c>
      <c r="U35" s="20"/>
      <c r="V35" s="22"/>
      <c r="W35" s="22"/>
      <c r="X35" s="20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0"/>
      <c r="AJ35" s="20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  <c r="IZ35" s="22"/>
      <c r="JA35" s="22"/>
      <c r="JB35" s="22"/>
      <c r="JC35" s="22"/>
      <c r="JD35" s="22"/>
      <c r="JE35" s="22"/>
      <c r="JF35" s="22"/>
      <c r="JG35" s="22"/>
      <c r="JH35" s="22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2"/>
      <c r="LK35" s="22"/>
      <c r="LL35" s="22"/>
      <c r="LM35" s="22"/>
      <c r="LN35" s="22"/>
      <c r="LO35" s="22"/>
      <c r="LP35" s="22"/>
      <c r="LQ35" s="22"/>
      <c r="LR35" s="22"/>
      <c r="LS35" s="22"/>
      <c r="LT35" s="22"/>
      <c r="LU35" s="22"/>
      <c r="LV35" s="22"/>
      <c r="LW35" s="22"/>
      <c r="LX35" s="20"/>
      <c r="LY35" s="20"/>
      <c r="LZ35" s="22"/>
      <c r="MA35" s="22"/>
      <c r="MB35" s="22"/>
      <c r="MC35" s="22"/>
      <c r="MD35" s="22"/>
      <c r="ME35" s="22"/>
      <c r="MF35" s="22"/>
      <c r="MG35" s="22"/>
      <c r="MH35" s="22"/>
      <c r="MI35" s="22"/>
      <c r="MJ35" s="22"/>
      <c r="MK35" s="22"/>
      <c r="ML35" s="22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2"/>
      <c r="NF35" s="22"/>
    </row>
    <row r="36" ht="15.75" hidden="1" customHeight="1">
      <c r="A36" s="237"/>
      <c r="B36" s="251">
        <v>82769.0</v>
      </c>
      <c r="C36" s="249">
        <v>46030.0</v>
      </c>
      <c r="D36" s="250" t="s">
        <v>209</v>
      </c>
      <c r="E36" s="242" t="s">
        <v>47</v>
      </c>
      <c r="F36" s="22"/>
      <c r="G36" s="22"/>
      <c r="H36" s="22"/>
      <c r="I36" s="22"/>
      <c r="J36" s="22"/>
      <c r="K36" s="20">
        <v>2.0</v>
      </c>
      <c r="L36" s="22"/>
      <c r="M36" s="22"/>
      <c r="N36" s="22"/>
      <c r="O36" s="22"/>
      <c r="P36" s="22"/>
      <c r="Q36" s="20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0"/>
      <c r="AJ36" s="20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  <c r="IZ36" s="22"/>
      <c r="JA36" s="22"/>
      <c r="JB36" s="22"/>
      <c r="JC36" s="22"/>
      <c r="JD36" s="22"/>
      <c r="JE36" s="22"/>
      <c r="JF36" s="22"/>
      <c r="JG36" s="22"/>
      <c r="JH36" s="22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2"/>
      <c r="LK36" s="22"/>
      <c r="LL36" s="22"/>
      <c r="LM36" s="22"/>
      <c r="LN36" s="22"/>
      <c r="LO36" s="22"/>
      <c r="LP36" s="22"/>
      <c r="LQ36" s="22"/>
      <c r="LR36" s="22"/>
      <c r="LS36" s="22"/>
      <c r="LT36" s="22"/>
      <c r="LU36" s="22"/>
      <c r="LV36" s="22"/>
      <c r="LW36" s="22"/>
      <c r="LX36" s="20"/>
      <c r="LY36" s="20"/>
      <c r="LZ36" s="22"/>
      <c r="MA36" s="22"/>
      <c r="MB36" s="22"/>
      <c r="MC36" s="22"/>
      <c r="MD36" s="22"/>
      <c r="ME36" s="22"/>
      <c r="MF36" s="22"/>
      <c r="MG36" s="22"/>
      <c r="MH36" s="22"/>
      <c r="MI36" s="22"/>
      <c r="MJ36" s="22"/>
      <c r="MK36" s="22"/>
      <c r="ML36" s="22"/>
      <c r="MM36" s="22"/>
      <c r="MN36" s="22"/>
      <c r="MO36" s="22"/>
      <c r="MP36" s="22"/>
      <c r="MQ36" s="22"/>
      <c r="MR36" s="22"/>
      <c r="MS36" s="22"/>
      <c r="MT36" s="22"/>
      <c r="MU36" s="22"/>
      <c r="MV36" s="22"/>
      <c r="MW36" s="22"/>
      <c r="MX36" s="22"/>
      <c r="MY36" s="22"/>
      <c r="MZ36" s="22"/>
      <c r="NA36" s="22"/>
      <c r="NB36" s="22"/>
      <c r="NC36" s="22"/>
      <c r="ND36" s="22"/>
      <c r="NE36" s="22"/>
      <c r="NF36" s="22"/>
    </row>
    <row r="37" ht="15.75" hidden="1" customHeight="1">
      <c r="A37" s="237"/>
      <c r="B37" s="251">
        <v>83158.0</v>
      </c>
      <c r="C37" s="249">
        <v>46038.0</v>
      </c>
      <c r="D37" s="245" t="s">
        <v>211</v>
      </c>
      <c r="E37" s="242" t="s">
        <v>47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0">
        <v>5.0</v>
      </c>
      <c r="R37" s="20">
        <v>3.0</v>
      </c>
      <c r="S37" s="20">
        <v>4.0</v>
      </c>
      <c r="T37" s="20">
        <v>3.0</v>
      </c>
      <c r="U37" s="20">
        <v>3.0</v>
      </c>
      <c r="V37" s="22"/>
      <c r="W37" s="22"/>
      <c r="X37" s="20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0"/>
      <c r="AJ37" s="20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0"/>
      <c r="LY37" s="20"/>
      <c r="LZ37" s="22"/>
      <c r="MA37" s="22"/>
      <c r="MB37" s="22"/>
      <c r="MC37" s="22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</row>
    <row r="38" ht="15.75" hidden="1" customHeight="1">
      <c r="A38" s="237"/>
      <c r="B38" s="251">
        <v>83063.0</v>
      </c>
      <c r="C38" s="266">
        <v>46035.0</v>
      </c>
      <c r="D38" s="250" t="s">
        <v>214</v>
      </c>
      <c r="E38" s="242" t="s">
        <v>47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0">
        <v>3.0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0"/>
      <c r="AJ38" s="20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0"/>
      <c r="LY38" s="20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</row>
    <row r="39" ht="15.75" hidden="1" customHeight="1">
      <c r="A39" s="237"/>
      <c r="B39" s="251">
        <v>83112.0</v>
      </c>
      <c r="C39" s="249">
        <v>46038.0</v>
      </c>
      <c r="D39" s="250" t="s">
        <v>216</v>
      </c>
      <c r="E39" s="242" t="s">
        <v>47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0">
        <v>3.0</v>
      </c>
      <c r="T39" s="20">
        <v>3.0</v>
      </c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0"/>
      <c r="AJ39" s="20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2"/>
      <c r="LN39" s="22"/>
      <c r="LO39" s="22"/>
      <c r="LP39" s="22"/>
      <c r="LQ39" s="22"/>
      <c r="LR39" s="22"/>
      <c r="LS39" s="22"/>
      <c r="LT39" s="22"/>
      <c r="LU39" s="22"/>
      <c r="LV39" s="22"/>
      <c r="LW39" s="22"/>
      <c r="LX39" s="20"/>
      <c r="LY39" s="20"/>
      <c r="LZ39" s="22"/>
      <c r="MA39" s="22"/>
      <c r="MB39" s="22"/>
      <c r="MC39" s="22"/>
      <c r="MD39" s="22"/>
      <c r="ME39" s="22"/>
      <c r="MF39" s="22"/>
      <c r="MG39" s="22"/>
      <c r="MH39" s="22"/>
      <c r="MI39" s="22"/>
      <c r="MJ39" s="22"/>
      <c r="MK39" s="22"/>
      <c r="ML39" s="22"/>
      <c r="MM39" s="22"/>
      <c r="MN39" s="22"/>
      <c r="MO39" s="22"/>
      <c r="MP39" s="22"/>
      <c r="MQ39" s="22"/>
      <c r="MR39" s="22"/>
      <c r="MS39" s="22"/>
      <c r="MT39" s="22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</row>
    <row r="40" ht="15.75" hidden="1" customHeight="1">
      <c r="A40" s="237"/>
      <c r="B40" s="267"/>
      <c r="C40" s="239">
        <v>46041.0</v>
      </c>
      <c r="D40" s="245" t="s">
        <v>218</v>
      </c>
      <c r="E40" s="242" t="s">
        <v>47</v>
      </c>
      <c r="F40" s="22"/>
      <c r="G40" s="20"/>
      <c r="H40" s="22"/>
      <c r="I40" s="22"/>
      <c r="J40" s="20"/>
      <c r="K40" s="20"/>
      <c r="L40" s="22"/>
      <c r="M40" s="22"/>
      <c r="N40" s="22"/>
      <c r="O40" s="22"/>
      <c r="P40" s="22"/>
      <c r="Q40" s="20"/>
      <c r="R40" s="20"/>
      <c r="S40" s="20"/>
      <c r="T40" s="20"/>
      <c r="U40" s="20">
        <v>4.0</v>
      </c>
      <c r="V40" s="22"/>
      <c r="W40" s="22"/>
      <c r="X40" s="20"/>
      <c r="Y40" s="20"/>
      <c r="Z40" s="20"/>
      <c r="AA40" s="73"/>
      <c r="AB40" s="73"/>
      <c r="AC40" s="22"/>
      <c r="AD40" s="22"/>
      <c r="AE40" s="22"/>
      <c r="AF40" s="22"/>
      <c r="AG40" s="22"/>
      <c r="AH40" s="22"/>
      <c r="AI40" s="20"/>
      <c r="AJ40" s="20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2"/>
      <c r="LK40" s="22"/>
      <c r="LL40" s="22"/>
      <c r="LM40" s="22"/>
      <c r="LN40" s="22"/>
      <c r="LO40" s="22"/>
      <c r="LP40" s="22"/>
      <c r="LQ40" s="22"/>
      <c r="LR40" s="22"/>
      <c r="LS40" s="22"/>
      <c r="LT40" s="22"/>
      <c r="LU40" s="22"/>
      <c r="LV40" s="22"/>
      <c r="LW40" s="22"/>
      <c r="LX40" s="22"/>
      <c r="LY40" s="22"/>
      <c r="LZ40" s="22"/>
      <c r="MA40" s="22"/>
      <c r="MB40" s="22"/>
      <c r="MC40" s="22"/>
      <c r="MD40" s="22"/>
      <c r="ME40" s="22"/>
      <c r="MF40" s="22"/>
      <c r="MG40" s="22"/>
      <c r="MH40" s="22"/>
      <c r="MI40" s="22"/>
      <c r="MJ40" s="22"/>
      <c r="MK40" s="22"/>
      <c r="ML40" s="22"/>
      <c r="MM40" s="22"/>
      <c r="MN40" s="22"/>
      <c r="MO40" s="22"/>
      <c r="MP40" s="22"/>
      <c r="MQ40" s="22"/>
      <c r="MR40" s="22"/>
      <c r="MS40" s="22"/>
      <c r="MT40" s="22"/>
      <c r="MU40" s="22"/>
      <c r="MV40" s="22"/>
      <c r="MW40" s="22"/>
      <c r="MX40" s="22"/>
      <c r="MY40" s="22"/>
      <c r="MZ40" s="22"/>
      <c r="NA40" s="22"/>
      <c r="NB40" s="22"/>
      <c r="NC40" s="22"/>
      <c r="ND40" s="22"/>
      <c r="NE40" s="22"/>
      <c r="NF40" s="22"/>
    </row>
    <row r="41" ht="15.75" hidden="1" customHeight="1">
      <c r="A41" s="237"/>
      <c r="B41" s="251">
        <v>83172.0</v>
      </c>
      <c r="C41" s="249">
        <v>46052.0</v>
      </c>
      <c r="D41" s="250" t="s">
        <v>220</v>
      </c>
      <c r="E41" s="242" t="s">
        <v>47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0">
        <v>2.0</v>
      </c>
      <c r="Y41" s="20">
        <v>4.0</v>
      </c>
      <c r="Z41" s="22"/>
      <c r="AA41" s="20">
        <v>1.0</v>
      </c>
      <c r="AB41" s="20"/>
      <c r="AC41" s="22"/>
      <c r="AD41" s="22"/>
      <c r="AE41" s="22"/>
      <c r="AF41" s="22"/>
      <c r="AG41" s="20">
        <v>1.0</v>
      </c>
      <c r="AH41" s="22"/>
      <c r="AI41" s="20"/>
      <c r="AJ41" s="20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2"/>
      <c r="LK41" s="22"/>
      <c r="LL41" s="22"/>
      <c r="LM41" s="22"/>
      <c r="LN41" s="22"/>
      <c r="LO41" s="22"/>
      <c r="LP41" s="22"/>
      <c r="LQ41" s="22"/>
      <c r="LR41" s="22"/>
      <c r="LS41" s="22"/>
      <c r="LT41" s="22"/>
      <c r="LU41" s="22"/>
      <c r="LV41" s="22"/>
      <c r="LW41" s="22"/>
      <c r="LX41" s="22"/>
      <c r="LY41" s="22"/>
      <c r="LZ41" s="22"/>
      <c r="MA41" s="22"/>
      <c r="MB41" s="22"/>
      <c r="MC41" s="22"/>
      <c r="MD41" s="22"/>
      <c r="ME41" s="22"/>
      <c r="MF41" s="22"/>
      <c r="MG41" s="22"/>
      <c r="MH41" s="22"/>
      <c r="MI41" s="22"/>
      <c r="MJ41" s="22"/>
      <c r="MK41" s="22"/>
      <c r="ML41" s="22"/>
      <c r="MM41" s="22"/>
      <c r="MN41" s="22"/>
      <c r="MO41" s="22"/>
      <c r="MP41" s="22"/>
      <c r="MQ41" s="22"/>
      <c r="MR41" s="22"/>
      <c r="MS41" s="22"/>
      <c r="MT41" s="22"/>
      <c r="MU41" s="22"/>
      <c r="MV41" s="22"/>
      <c r="MW41" s="22"/>
      <c r="MX41" s="22"/>
      <c r="MY41" s="22"/>
      <c r="MZ41" s="22"/>
      <c r="NA41" s="22"/>
      <c r="NB41" s="22"/>
      <c r="NC41" s="22"/>
      <c r="ND41" s="22"/>
      <c r="NE41" s="22"/>
      <c r="NF41" s="22"/>
    </row>
    <row r="42" ht="15.75" hidden="1" customHeight="1">
      <c r="A42" s="237"/>
      <c r="B42" s="251">
        <v>83226.0</v>
      </c>
      <c r="C42" s="249">
        <v>46051.0</v>
      </c>
      <c r="D42" s="250" t="s">
        <v>221</v>
      </c>
      <c r="E42" s="242" t="s">
        <v>47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0">
        <v>3.0</v>
      </c>
      <c r="Z42" s="22"/>
      <c r="AA42" s="22"/>
      <c r="AB42" s="20">
        <v>2.0</v>
      </c>
      <c r="AC42" s="22"/>
      <c r="AD42" s="22"/>
      <c r="AE42" s="20">
        <v>1.0</v>
      </c>
      <c r="AF42" s="22"/>
      <c r="AG42" s="20"/>
      <c r="AH42" s="20">
        <v>1.0</v>
      </c>
      <c r="AI42" s="20"/>
      <c r="AJ42" s="20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  <c r="IZ42" s="22"/>
      <c r="JA42" s="22"/>
      <c r="JB42" s="22"/>
      <c r="JC42" s="22"/>
      <c r="JD42" s="22"/>
      <c r="JE42" s="22"/>
      <c r="JF42" s="22"/>
      <c r="JG42" s="22"/>
      <c r="JH42" s="22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2"/>
      <c r="LK42" s="22"/>
      <c r="LL42" s="22"/>
      <c r="LM42" s="22"/>
      <c r="LN42" s="22"/>
      <c r="LO42" s="22"/>
      <c r="LP42" s="22"/>
      <c r="LQ42" s="22"/>
      <c r="LR42" s="22"/>
      <c r="LS42" s="22"/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2"/>
      <c r="MF42" s="22"/>
      <c r="MG42" s="22"/>
      <c r="MH42" s="22"/>
      <c r="MI42" s="22"/>
      <c r="MJ42" s="22"/>
      <c r="MK42" s="22"/>
      <c r="ML42" s="22"/>
      <c r="MM42" s="22"/>
      <c r="MN42" s="22"/>
      <c r="MO42" s="22"/>
      <c r="MP42" s="22"/>
      <c r="MQ42" s="22"/>
      <c r="MR42" s="22"/>
      <c r="MS42" s="22"/>
      <c r="MT42" s="22"/>
      <c r="MU42" s="22"/>
      <c r="MV42" s="22"/>
      <c r="MW42" s="22"/>
      <c r="MX42" s="22"/>
      <c r="MY42" s="22"/>
      <c r="MZ42" s="22"/>
      <c r="NA42" s="22"/>
      <c r="NB42" s="22"/>
      <c r="NC42" s="22"/>
      <c r="ND42" s="22"/>
      <c r="NE42" s="22"/>
      <c r="NF42" s="22"/>
    </row>
    <row r="43" ht="15.75" hidden="1" customHeight="1">
      <c r="A43" s="237"/>
      <c r="B43" s="267"/>
      <c r="C43" s="239">
        <v>46042.0</v>
      </c>
      <c r="D43" s="245" t="s">
        <v>222</v>
      </c>
      <c r="E43" s="242" t="s">
        <v>47</v>
      </c>
      <c r="F43" s="22"/>
      <c r="G43" s="20"/>
      <c r="H43" s="22"/>
      <c r="I43" s="22"/>
      <c r="J43" s="20"/>
      <c r="K43" s="20"/>
      <c r="L43" s="22"/>
      <c r="M43" s="22"/>
      <c r="N43" s="22"/>
      <c r="O43" s="22"/>
      <c r="P43" s="22"/>
      <c r="Q43" s="20"/>
      <c r="R43" s="20"/>
      <c r="S43" s="20"/>
      <c r="T43" s="20"/>
      <c r="U43" s="20"/>
      <c r="V43" s="22"/>
      <c r="W43" s="22"/>
      <c r="X43" s="20">
        <v>3.0</v>
      </c>
      <c r="Y43" s="20">
        <v>1.0</v>
      </c>
      <c r="Z43" s="20"/>
      <c r="AA43" s="73"/>
      <c r="AB43" s="73"/>
      <c r="AC43" s="22"/>
      <c r="AD43" s="22"/>
      <c r="AE43" s="22"/>
      <c r="AF43" s="22"/>
      <c r="AG43" s="22"/>
      <c r="AH43" s="22"/>
      <c r="AI43" s="20"/>
      <c r="AJ43" s="20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  <c r="IZ43" s="22"/>
      <c r="JA43" s="22"/>
      <c r="JB43" s="22"/>
      <c r="JC43" s="22"/>
      <c r="JD43" s="22"/>
      <c r="JE43" s="22"/>
      <c r="JF43" s="22"/>
      <c r="JG43" s="22"/>
      <c r="JH43" s="22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2"/>
      <c r="LK43" s="22"/>
      <c r="LL43" s="22"/>
      <c r="LM43" s="22"/>
      <c r="LN43" s="22"/>
      <c r="LO43" s="22"/>
      <c r="LP43" s="22"/>
      <c r="LQ43" s="22"/>
      <c r="LR43" s="22"/>
      <c r="LS43" s="22"/>
      <c r="LT43" s="22"/>
      <c r="LU43" s="22"/>
      <c r="LV43" s="22"/>
      <c r="LW43" s="22"/>
      <c r="LX43" s="22"/>
      <c r="LY43" s="22"/>
      <c r="LZ43" s="22"/>
      <c r="MA43" s="22"/>
      <c r="MB43" s="22"/>
      <c r="MC43" s="22"/>
      <c r="MD43" s="22"/>
      <c r="ME43" s="22"/>
      <c r="MF43" s="22"/>
      <c r="MG43" s="22"/>
      <c r="MH43" s="22"/>
      <c r="MI43" s="22"/>
      <c r="MJ43" s="22"/>
      <c r="MK43" s="22"/>
      <c r="ML43" s="22"/>
      <c r="MM43" s="22"/>
      <c r="MN43" s="22"/>
      <c r="MO43" s="22"/>
      <c r="MP43" s="22"/>
      <c r="MQ43" s="22"/>
      <c r="MR43" s="22"/>
      <c r="MS43" s="22"/>
      <c r="MT43" s="22"/>
      <c r="MU43" s="22"/>
      <c r="MV43" s="22"/>
      <c r="MW43" s="22"/>
      <c r="MX43" s="22"/>
      <c r="MY43" s="22"/>
      <c r="MZ43" s="22"/>
      <c r="NA43" s="22"/>
      <c r="NB43" s="22"/>
      <c r="NC43" s="22"/>
      <c r="ND43" s="22"/>
      <c r="NE43" s="22"/>
      <c r="NF43" s="22"/>
    </row>
    <row r="44" ht="15.75" hidden="1" customHeight="1">
      <c r="A44" s="237"/>
      <c r="B44" s="267"/>
      <c r="C44" s="239">
        <v>46043.0</v>
      </c>
      <c r="D44" s="245" t="s">
        <v>223</v>
      </c>
      <c r="E44" s="242" t="s">
        <v>47</v>
      </c>
      <c r="F44" s="22"/>
      <c r="G44" s="20"/>
      <c r="H44" s="22"/>
      <c r="I44" s="22"/>
      <c r="J44" s="20"/>
      <c r="K44" s="20"/>
      <c r="L44" s="22"/>
      <c r="M44" s="22"/>
      <c r="N44" s="22"/>
      <c r="O44" s="22"/>
      <c r="P44" s="22"/>
      <c r="Q44" s="273"/>
      <c r="R44" s="20"/>
      <c r="S44" s="20"/>
      <c r="T44" s="20"/>
      <c r="U44" s="20"/>
      <c r="V44" s="22"/>
      <c r="W44" s="22"/>
      <c r="X44" s="20">
        <v>3.0</v>
      </c>
      <c r="Y44" s="20"/>
      <c r="Z44" s="20">
        <v>7.0</v>
      </c>
      <c r="AA44" s="73"/>
      <c r="AB44" s="73"/>
      <c r="AC44" s="22"/>
      <c r="AD44" s="22"/>
      <c r="AE44" s="22"/>
      <c r="AF44" s="22"/>
      <c r="AG44" s="22"/>
      <c r="AH44" s="22"/>
      <c r="AI44" s="20"/>
      <c r="AJ44" s="20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  <c r="IZ44" s="22"/>
      <c r="JA44" s="22"/>
      <c r="JB44" s="22"/>
      <c r="JC44" s="22"/>
      <c r="JD44" s="22"/>
      <c r="JE44" s="22"/>
      <c r="JF44" s="22"/>
      <c r="JG44" s="22"/>
      <c r="JH44" s="22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2"/>
      <c r="LK44" s="22"/>
      <c r="LL44" s="22"/>
      <c r="LM44" s="22"/>
      <c r="LN44" s="22"/>
      <c r="LO44" s="22"/>
      <c r="LP44" s="22"/>
      <c r="LQ44" s="22"/>
      <c r="LR44" s="22"/>
      <c r="LS44" s="22"/>
      <c r="LT44" s="22"/>
      <c r="LU44" s="22"/>
      <c r="LV44" s="22"/>
      <c r="LW44" s="22"/>
      <c r="LX44" s="22"/>
      <c r="LY44" s="22"/>
      <c r="LZ44" s="22"/>
      <c r="MA44" s="22"/>
      <c r="MB44" s="22"/>
      <c r="MC44" s="22"/>
      <c r="MD44" s="22"/>
      <c r="ME44" s="22"/>
      <c r="MF44" s="22"/>
      <c r="MG44" s="22"/>
      <c r="MH44" s="22"/>
      <c r="MI44" s="22"/>
      <c r="MJ44" s="22"/>
      <c r="MK44" s="22"/>
      <c r="ML44" s="22"/>
      <c r="MM44" s="22"/>
      <c r="MN44" s="22"/>
      <c r="MO44" s="22"/>
      <c r="MP44" s="22"/>
      <c r="MQ44" s="22"/>
      <c r="MR44" s="22"/>
      <c r="MS44" s="22"/>
      <c r="MT44" s="22"/>
      <c r="MU44" s="22"/>
      <c r="MV44" s="22"/>
      <c r="MW44" s="22"/>
      <c r="MX44" s="22"/>
      <c r="MY44" s="22"/>
      <c r="MZ44" s="22"/>
      <c r="NA44" s="22"/>
      <c r="NB44" s="22"/>
      <c r="NC44" s="22"/>
      <c r="ND44" s="22"/>
      <c r="NE44" s="22"/>
      <c r="NF44" s="22"/>
    </row>
    <row r="45" ht="15.75" hidden="1" customHeight="1">
      <c r="A45" s="237"/>
      <c r="B45" s="267"/>
      <c r="C45" s="239">
        <v>46048.0</v>
      </c>
      <c r="D45" s="245" t="s">
        <v>224</v>
      </c>
      <c r="E45" s="242" t="s">
        <v>47</v>
      </c>
      <c r="F45" s="22"/>
      <c r="G45" s="20"/>
      <c r="H45" s="22"/>
      <c r="I45" s="22"/>
      <c r="J45" s="20"/>
      <c r="K45" s="20"/>
      <c r="L45" s="22"/>
      <c r="M45" s="22"/>
      <c r="N45" s="22"/>
      <c r="O45" s="22"/>
      <c r="P45" s="22"/>
      <c r="Q45" s="73"/>
      <c r="R45" s="20"/>
      <c r="S45" s="20"/>
      <c r="T45" s="20"/>
      <c r="U45" s="20"/>
      <c r="V45" s="22"/>
      <c r="W45" s="22"/>
      <c r="X45" s="20"/>
      <c r="Y45" s="20"/>
      <c r="Z45" s="20"/>
      <c r="AA45" s="20">
        <v>1.0</v>
      </c>
      <c r="AB45" s="20">
        <v>2.0</v>
      </c>
      <c r="AC45" s="22"/>
      <c r="AD45" s="22"/>
      <c r="AE45" s="20">
        <v>7.0</v>
      </c>
      <c r="AF45" s="22"/>
      <c r="AG45" s="22"/>
      <c r="AH45" s="22"/>
      <c r="AI45" s="20"/>
      <c r="AJ45" s="20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  <c r="IZ45" s="22"/>
      <c r="JA45" s="22"/>
      <c r="JB45" s="22"/>
      <c r="JC45" s="22"/>
      <c r="JD45" s="22"/>
      <c r="JE45" s="22"/>
      <c r="JF45" s="22"/>
      <c r="JG45" s="22"/>
      <c r="JH45" s="22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2"/>
      <c r="LK45" s="22"/>
      <c r="LL45" s="22"/>
      <c r="LM45" s="22"/>
      <c r="LN45" s="22"/>
      <c r="LO45" s="22"/>
      <c r="LP45" s="22"/>
      <c r="LQ45" s="22"/>
      <c r="LR45" s="22"/>
      <c r="LS45" s="22"/>
      <c r="LT45" s="22"/>
      <c r="LU45" s="22"/>
      <c r="LV45" s="22"/>
      <c r="LW45" s="22"/>
      <c r="LX45" s="22"/>
      <c r="LY45" s="22"/>
      <c r="LZ45" s="22"/>
      <c r="MA45" s="22"/>
      <c r="MB45" s="22"/>
      <c r="MC45" s="22"/>
      <c r="MD45" s="22"/>
      <c r="ME45" s="22"/>
      <c r="MF45" s="22"/>
      <c r="MG45" s="22"/>
      <c r="MH45" s="22"/>
      <c r="MI45" s="22"/>
      <c r="MJ45" s="22"/>
      <c r="MK45" s="22"/>
      <c r="ML45" s="22"/>
      <c r="MM45" s="22"/>
      <c r="MN45" s="22"/>
      <c r="MO45" s="22"/>
      <c r="MP45" s="22"/>
      <c r="MQ45" s="22"/>
      <c r="MR45" s="22"/>
      <c r="MS45" s="22"/>
      <c r="MT45" s="22"/>
      <c r="MU45" s="22"/>
      <c r="MV45" s="22"/>
      <c r="MW45" s="22"/>
      <c r="MX45" s="22"/>
      <c r="MY45" s="22"/>
      <c r="MZ45" s="22"/>
      <c r="NA45" s="22"/>
      <c r="NB45" s="22"/>
      <c r="NC45" s="22"/>
      <c r="ND45" s="22"/>
      <c r="NE45" s="22"/>
      <c r="NF45" s="22"/>
    </row>
    <row r="46" ht="15.75" hidden="1" customHeight="1">
      <c r="A46" s="237"/>
      <c r="B46" s="267"/>
      <c r="C46" s="239">
        <v>46050.0</v>
      </c>
      <c r="D46" s="245" t="s">
        <v>225</v>
      </c>
      <c r="E46" s="242" t="s">
        <v>47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0">
        <v>6.0</v>
      </c>
      <c r="AB46" s="20"/>
      <c r="AC46" s="22"/>
      <c r="AD46" s="22"/>
      <c r="AE46" s="22"/>
      <c r="AF46" s="20">
        <v>7.0</v>
      </c>
      <c r="AG46" s="20">
        <v>3.0</v>
      </c>
      <c r="AH46" s="22"/>
      <c r="AI46" s="20"/>
      <c r="AJ46" s="20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  <c r="IZ46" s="22"/>
      <c r="JA46" s="22"/>
      <c r="JB46" s="22"/>
      <c r="JC46" s="22"/>
      <c r="JD46" s="22"/>
      <c r="JE46" s="22"/>
      <c r="JF46" s="22"/>
      <c r="JG46" s="22"/>
      <c r="JH46" s="22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2"/>
      <c r="LK46" s="22"/>
      <c r="LL46" s="22"/>
      <c r="LM46" s="22"/>
      <c r="LN46" s="22"/>
      <c r="LO46" s="22"/>
      <c r="LP46" s="22"/>
      <c r="LQ46" s="22"/>
      <c r="LR46" s="22"/>
      <c r="LS46" s="22"/>
      <c r="LT46" s="22"/>
      <c r="LU46" s="22"/>
      <c r="LV46" s="22"/>
      <c r="LW46" s="22"/>
      <c r="LX46" s="22"/>
      <c r="LY46" s="22"/>
      <c r="LZ46" s="22"/>
      <c r="MA46" s="22"/>
      <c r="MB46" s="22"/>
      <c r="MC46" s="22"/>
      <c r="MD46" s="22"/>
      <c r="ME46" s="22"/>
      <c r="MF46" s="22"/>
      <c r="MG46" s="22"/>
      <c r="MH46" s="22"/>
      <c r="MI46" s="22"/>
      <c r="MJ46" s="22"/>
      <c r="MK46" s="22"/>
      <c r="ML46" s="22"/>
      <c r="MM46" s="22"/>
      <c r="MN46" s="22"/>
      <c r="MO46" s="22"/>
      <c r="MP46" s="22"/>
      <c r="MQ46" s="22"/>
      <c r="MR46" s="22"/>
      <c r="MS46" s="22"/>
      <c r="MT46" s="22"/>
      <c r="MU46" s="22"/>
      <c r="MV46" s="22"/>
      <c r="MW46" s="22"/>
      <c r="MX46" s="22"/>
      <c r="MY46" s="22"/>
      <c r="MZ46" s="22"/>
      <c r="NA46" s="22"/>
      <c r="NB46" s="22"/>
      <c r="NC46" s="22"/>
      <c r="ND46" s="22"/>
      <c r="NE46" s="22"/>
      <c r="NF46" s="22"/>
    </row>
    <row r="47" ht="15.75" hidden="1" customHeight="1">
      <c r="A47" s="237"/>
      <c r="B47" s="267"/>
      <c r="C47" s="239">
        <v>46052.0</v>
      </c>
      <c r="D47" s="245" t="s">
        <v>226</v>
      </c>
      <c r="E47" s="242" t="s">
        <v>47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0"/>
      <c r="AB47" s="20">
        <v>2.0</v>
      </c>
      <c r="AC47" s="22"/>
      <c r="AD47" s="22"/>
      <c r="AE47" s="22"/>
      <c r="AF47" s="20"/>
      <c r="AG47" s="20"/>
      <c r="AH47" s="22"/>
      <c r="AI47" s="20">
        <v>2.0</v>
      </c>
      <c r="AJ47" s="20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  <c r="IZ47" s="22"/>
      <c r="JA47" s="22"/>
      <c r="JB47" s="22"/>
      <c r="JC47" s="22"/>
      <c r="JD47" s="22"/>
      <c r="JE47" s="22"/>
      <c r="JF47" s="22"/>
      <c r="JG47" s="22"/>
      <c r="JH47" s="22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2"/>
      <c r="LK47" s="22"/>
      <c r="LL47" s="22"/>
      <c r="LM47" s="22"/>
      <c r="LN47" s="22"/>
      <c r="LO47" s="22"/>
      <c r="LP47" s="22"/>
      <c r="LQ47" s="22"/>
      <c r="LR47" s="22"/>
      <c r="LS47" s="22"/>
      <c r="LT47" s="22"/>
      <c r="LU47" s="22"/>
      <c r="LV47" s="22"/>
      <c r="LW47" s="22"/>
      <c r="LX47" s="22"/>
      <c r="LY47" s="22"/>
      <c r="LZ47" s="22"/>
      <c r="MA47" s="22"/>
      <c r="MB47" s="22"/>
      <c r="MC47" s="22"/>
      <c r="MD47" s="22"/>
      <c r="ME47" s="22"/>
      <c r="MF47" s="22"/>
      <c r="MG47" s="22"/>
      <c r="MH47" s="22"/>
      <c r="MI47" s="22"/>
      <c r="MJ47" s="22"/>
      <c r="MK47" s="22"/>
      <c r="ML47" s="22"/>
      <c r="MM47" s="22"/>
      <c r="MN47" s="22"/>
      <c r="MO47" s="22"/>
      <c r="MP47" s="22"/>
      <c r="MQ47" s="22"/>
      <c r="MR47" s="22"/>
      <c r="MS47" s="22"/>
      <c r="MT47" s="22"/>
      <c r="MU47" s="22"/>
      <c r="MV47" s="22"/>
      <c r="MW47" s="22"/>
      <c r="MX47" s="22"/>
      <c r="MY47" s="22"/>
      <c r="MZ47" s="22"/>
      <c r="NA47" s="22"/>
      <c r="NB47" s="22"/>
      <c r="NC47" s="22"/>
      <c r="ND47" s="22"/>
      <c r="NE47" s="22"/>
      <c r="NF47" s="22"/>
    </row>
    <row r="48" ht="15.75" hidden="1" customHeight="1">
      <c r="A48" s="237"/>
      <c r="B48" s="267"/>
      <c r="C48" s="239">
        <v>46052.0</v>
      </c>
      <c r="D48" s="245" t="s">
        <v>227</v>
      </c>
      <c r="E48" s="242" t="s">
        <v>47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0">
        <v>2.0</v>
      </c>
      <c r="AC48" s="22"/>
      <c r="AD48" s="22"/>
      <c r="AE48" s="22"/>
      <c r="AF48" s="22"/>
      <c r="AG48" s="20">
        <v>3.0</v>
      </c>
      <c r="AH48" s="20">
        <v>11.0</v>
      </c>
      <c r="AI48" s="20">
        <v>3.0</v>
      </c>
      <c r="AJ48" s="20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  <c r="IZ48" s="22"/>
      <c r="JA48" s="22"/>
      <c r="JB48" s="22"/>
      <c r="JC48" s="22"/>
      <c r="JD48" s="22"/>
      <c r="JE48" s="22"/>
      <c r="JF48" s="22"/>
      <c r="JG48" s="22"/>
      <c r="JH48" s="22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2"/>
      <c r="LK48" s="22"/>
      <c r="LL48" s="22"/>
      <c r="LM48" s="22"/>
      <c r="LN48" s="22"/>
      <c r="LO48" s="22"/>
      <c r="LP48" s="22"/>
      <c r="LQ48" s="22"/>
      <c r="LR48" s="22"/>
      <c r="LS48" s="22"/>
      <c r="LT48" s="22"/>
      <c r="LU48" s="22"/>
      <c r="LV48" s="22"/>
      <c r="LW48" s="22"/>
      <c r="LX48" s="22"/>
      <c r="LY48" s="22"/>
      <c r="LZ48" s="22"/>
      <c r="MA48" s="22"/>
      <c r="MB48" s="22"/>
      <c r="MC48" s="22"/>
      <c r="MD48" s="22"/>
      <c r="ME48" s="22"/>
      <c r="MF48" s="22"/>
      <c r="MG48" s="22"/>
      <c r="MH48" s="22"/>
      <c r="MI48" s="22"/>
      <c r="MJ48" s="22"/>
      <c r="MK48" s="22"/>
      <c r="ML48" s="22"/>
      <c r="MM48" s="22"/>
      <c r="MN48" s="22"/>
      <c r="MO48" s="22"/>
      <c r="MP48" s="22"/>
      <c r="MQ48" s="22"/>
      <c r="MR48" s="22"/>
      <c r="MS48" s="22"/>
      <c r="MT48" s="22"/>
      <c r="MU48" s="22"/>
      <c r="MV48" s="22"/>
      <c r="MW48" s="22"/>
      <c r="MX48" s="22"/>
      <c r="MY48" s="22"/>
      <c r="MZ48" s="22"/>
      <c r="NA48" s="22"/>
      <c r="NB48" s="22"/>
      <c r="NC48" s="22"/>
      <c r="ND48" s="22"/>
      <c r="NE48" s="22"/>
      <c r="NF48" s="22"/>
    </row>
    <row r="49" ht="15.75" hidden="1" customHeight="1">
      <c r="A49" s="237"/>
      <c r="B49" s="267"/>
      <c r="C49" s="239">
        <v>46055.0</v>
      </c>
      <c r="D49" s="245" t="s">
        <v>228</v>
      </c>
      <c r="E49" s="242" t="s">
        <v>47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0">
        <v>4.0</v>
      </c>
      <c r="AJ49" s="20"/>
      <c r="AK49" s="20"/>
      <c r="AL49" s="20">
        <v>3.0</v>
      </c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  <c r="IZ49" s="22"/>
      <c r="JA49" s="22"/>
      <c r="JB49" s="22"/>
      <c r="JC49" s="22"/>
      <c r="JD49" s="22"/>
      <c r="JE49" s="22"/>
      <c r="JF49" s="22"/>
      <c r="JG49" s="22"/>
      <c r="JH49" s="22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2"/>
      <c r="LK49" s="22"/>
      <c r="LL49" s="22"/>
      <c r="LM49" s="22"/>
      <c r="LN49" s="22"/>
      <c r="LO49" s="22"/>
      <c r="LP49" s="22"/>
      <c r="LQ49" s="22"/>
      <c r="LR49" s="22"/>
      <c r="LS49" s="22"/>
      <c r="LT49" s="22"/>
      <c r="LU49" s="22"/>
      <c r="LV49" s="22"/>
      <c r="LW49" s="22"/>
      <c r="LX49" s="22"/>
      <c r="LY49" s="22"/>
      <c r="LZ49" s="22"/>
      <c r="MA49" s="22"/>
      <c r="MB49" s="22"/>
      <c r="MC49" s="22"/>
      <c r="MD49" s="22"/>
      <c r="ME49" s="22"/>
      <c r="MF49" s="22"/>
      <c r="MG49" s="22"/>
      <c r="MH49" s="22"/>
      <c r="MI49" s="22"/>
      <c r="MJ49" s="22"/>
      <c r="MK49" s="22"/>
      <c r="ML49" s="22"/>
      <c r="MM49" s="22"/>
      <c r="MN49" s="22"/>
      <c r="MO49" s="22"/>
      <c r="MP49" s="22"/>
      <c r="MQ49" s="22"/>
      <c r="MR49" s="22"/>
      <c r="MS49" s="22"/>
      <c r="MT49" s="22"/>
      <c r="MU49" s="22"/>
      <c r="MV49" s="22"/>
      <c r="MW49" s="22"/>
      <c r="MX49" s="22"/>
      <c r="MY49" s="22"/>
      <c r="MZ49" s="22"/>
      <c r="NA49" s="22"/>
      <c r="NB49" s="22"/>
      <c r="NC49" s="22"/>
      <c r="ND49" s="22"/>
      <c r="NE49" s="22"/>
      <c r="NF49" s="22"/>
    </row>
    <row r="50" ht="15.75" hidden="1" customHeight="1">
      <c r="A50" s="237"/>
      <c r="B50" s="267"/>
      <c r="C50" s="239">
        <v>46055.0</v>
      </c>
      <c r="D50" s="245" t="s">
        <v>229</v>
      </c>
      <c r="E50" s="242" t="s">
        <v>47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0">
        <v>1.0</v>
      </c>
      <c r="AJ50" s="20"/>
      <c r="AK50" s="20"/>
      <c r="AL50" s="20">
        <v>3.0</v>
      </c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  <c r="IZ50" s="22"/>
      <c r="JA50" s="22"/>
      <c r="JB50" s="22"/>
      <c r="JC50" s="22"/>
      <c r="JD50" s="22"/>
      <c r="JE50" s="22"/>
      <c r="JF50" s="22"/>
      <c r="JG50" s="22"/>
      <c r="JH50" s="22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2"/>
      <c r="LK50" s="22"/>
      <c r="LL50" s="22"/>
      <c r="LM50" s="22"/>
      <c r="LN50" s="22"/>
      <c r="LO50" s="22"/>
      <c r="LP50" s="22"/>
      <c r="LQ50" s="22"/>
      <c r="LR50" s="22"/>
      <c r="LS50" s="22"/>
      <c r="LT50" s="22"/>
      <c r="LU50" s="22"/>
      <c r="LV50" s="22"/>
      <c r="LW50" s="22"/>
      <c r="LX50" s="22"/>
      <c r="LY50" s="22"/>
      <c r="LZ50" s="22"/>
      <c r="MA50" s="22"/>
      <c r="MB50" s="22"/>
      <c r="MC50" s="22"/>
      <c r="MD50" s="22"/>
      <c r="ME50" s="22"/>
      <c r="MF50" s="22"/>
      <c r="MG50" s="22"/>
      <c r="MH50" s="22"/>
      <c r="MI50" s="22"/>
      <c r="MJ50" s="22"/>
      <c r="MK50" s="22"/>
      <c r="ML50" s="22"/>
      <c r="MM50" s="22"/>
      <c r="MN50" s="22"/>
      <c r="MO50" s="22"/>
      <c r="MP50" s="22"/>
      <c r="MQ50" s="22"/>
      <c r="MR50" s="22"/>
      <c r="MS50" s="22"/>
      <c r="MT50" s="22"/>
      <c r="MU50" s="22"/>
      <c r="MV50" s="22"/>
      <c r="MW50" s="22"/>
      <c r="MX50" s="22"/>
      <c r="MY50" s="22"/>
      <c r="MZ50" s="22"/>
      <c r="NA50" s="22"/>
      <c r="NB50" s="22"/>
      <c r="NC50" s="22"/>
      <c r="ND50" s="22"/>
      <c r="NE50" s="22"/>
      <c r="NF50" s="22"/>
    </row>
    <row r="51" ht="15.75" hidden="1" customHeight="1">
      <c r="A51" s="237"/>
      <c r="B51" s="267"/>
      <c r="C51" s="239">
        <v>46056.0</v>
      </c>
      <c r="D51" s="245" t="s">
        <v>230</v>
      </c>
      <c r="E51" s="242" t="s">
        <v>47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0"/>
      <c r="AJ51" s="20"/>
      <c r="AK51" s="20"/>
      <c r="AL51" s="20">
        <v>2.0</v>
      </c>
      <c r="AM51" s="20">
        <v>4.0</v>
      </c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  <c r="IZ51" s="22"/>
      <c r="JA51" s="22"/>
      <c r="JB51" s="22"/>
      <c r="JC51" s="22"/>
      <c r="JD51" s="22"/>
      <c r="JE51" s="22"/>
      <c r="JF51" s="22"/>
      <c r="JG51" s="22"/>
      <c r="JH51" s="22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2"/>
      <c r="LK51" s="22"/>
      <c r="LL51" s="22"/>
      <c r="LM51" s="22"/>
      <c r="LN51" s="22"/>
      <c r="LO51" s="22"/>
      <c r="LP51" s="22"/>
      <c r="LQ51" s="22"/>
      <c r="LR51" s="22"/>
      <c r="LS51" s="22"/>
      <c r="LT51" s="22"/>
      <c r="LU51" s="22"/>
      <c r="LV51" s="22"/>
      <c r="LW51" s="22"/>
      <c r="LX51" s="22"/>
      <c r="LY51" s="22"/>
      <c r="LZ51" s="22"/>
      <c r="MA51" s="22"/>
      <c r="MB51" s="22"/>
      <c r="MC51" s="22"/>
      <c r="MD51" s="22"/>
      <c r="ME51" s="22"/>
      <c r="MF51" s="22"/>
      <c r="MG51" s="22"/>
      <c r="MH51" s="22"/>
      <c r="MI51" s="22"/>
      <c r="MJ51" s="22"/>
      <c r="MK51" s="22"/>
      <c r="ML51" s="22"/>
      <c r="MM51" s="22"/>
      <c r="MN51" s="22"/>
      <c r="MO51" s="22"/>
      <c r="MP51" s="22"/>
      <c r="MQ51" s="22"/>
      <c r="MR51" s="22"/>
      <c r="MS51" s="22"/>
      <c r="MT51" s="22"/>
      <c r="MU51" s="22"/>
      <c r="MV51" s="22"/>
      <c r="MW51" s="22"/>
      <c r="MX51" s="22"/>
      <c r="MY51" s="22"/>
      <c r="MZ51" s="22"/>
      <c r="NA51" s="22"/>
      <c r="NB51" s="22"/>
      <c r="NC51" s="22"/>
      <c r="ND51" s="22"/>
      <c r="NE51" s="22"/>
      <c r="NF51" s="22"/>
    </row>
    <row r="52" ht="15.75" hidden="1" customHeight="1">
      <c r="A52" s="237"/>
      <c r="B52" s="267"/>
      <c r="C52" s="249"/>
      <c r="D52" s="245" t="s">
        <v>231</v>
      </c>
      <c r="E52" s="242" t="s">
        <v>47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0"/>
      <c r="AJ52" s="20"/>
      <c r="AK52" s="20"/>
      <c r="AL52" s="20"/>
      <c r="AM52" s="20">
        <v>3.0</v>
      </c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  <c r="IZ52" s="22"/>
      <c r="JA52" s="22"/>
      <c r="JB52" s="22"/>
      <c r="JC52" s="22"/>
      <c r="JD52" s="22"/>
      <c r="JE52" s="22"/>
      <c r="JF52" s="22"/>
      <c r="JG52" s="22"/>
      <c r="JH52" s="22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2"/>
      <c r="LK52" s="22"/>
      <c r="LL52" s="22"/>
      <c r="LM52" s="22"/>
      <c r="LN52" s="22"/>
      <c r="LO52" s="22"/>
      <c r="LP52" s="22"/>
      <c r="LQ52" s="22"/>
      <c r="LR52" s="22"/>
      <c r="LS52" s="22"/>
      <c r="LT52" s="22"/>
      <c r="LU52" s="22"/>
      <c r="LV52" s="22"/>
      <c r="LW52" s="22"/>
      <c r="LX52" s="22"/>
      <c r="LY52" s="22"/>
      <c r="LZ52" s="22"/>
      <c r="MA52" s="22"/>
      <c r="MB52" s="22"/>
      <c r="MC52" s="22"/>
      <c r="MD52" s="22"/>
      <c r="ME52" s="22"/>
      <c r="MF52" s="22"/>
      <c r="MG52" s="22"/>
      <c r="MH52" s="22"/>
      <c r="MI52" s="22"/>
      <c r="MJ52" s="22"/>
      <c r="MK52" s="22"/>
      <c r="ML52" s="22"/>
      <c r="MM52" s="22"/>
      <c r="MN52" s="22"/>
      <c r="MO52" s="22"/>
      <c r="MP52" s="22"/>
      <c r="MQ52" s="22"/>
      <c r="MR52" s="22"/>
      <c r="MS52" s="22"/>
      <c r="MT52" s="22"/>
      <c r="MU52" s="22"/>
      <c r="MV52" s="22"/>
      <c r="MW52" s="22"/>
      <c r="MX52" s="22"/>
      <c r="MY52" s="22"/>
      <c r="MZ52" s="22"/>
      <c r="NA52" s="22"/>
      <c r="NB52" s="22"/>
      <c r="NC52" s="22"/>
      <c r="ND52" s="22"/>
      <c r="NE52" s="22"/>
      <c r="NF52" s="22"/>
    </row>
    <row r="53" ht="15.75" hidden="1" customHeight="1">
      <c r="A53" s="237"/>
      <c r="B53" s="267"/>
      <c r="C53" s="239">
        <v>46057.0</v>
      </c>
      <c r="D53" s="245" t="s">
        <v>232</v>
      </c>
      <c r="E53" s="242" t="s">
        <v>47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0"/>
      <c r="AJ53" s="20"/>
      <c r="AK53" s="20"/>
      <c r="AL53" s="20"/>
      <c r="AM53" s="20">
        <v>1.0</v>
      </c>
      <c r="AN53" s="20">
        <v>5.0</v>
      </c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  <c r="IZ53" s="22"/>
      <c r="JA53" s="22"/>
      <c r="JB53" s="22"/>
      <c r="JC53" s="22"/>
      <c r="JD53" s="22"/>
      <c r="JE53" s="22"/>
      <c r="JF53" s="22"/>
      <c r="JG53" s="22"/>
      <c r="JH53" s="22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2"/>
      <c r="LK53" s="22"/>
      <c r="LL53" s="22"/>
      <c r="LM53" s="22"/>
      <c r="LN53" s="22"/>
      <c r="LO53" s="22"/>
      <c r="LP53" s="22"/>
      <c r="LQ53" s="22"/>
      <c r="LR53" s="22"/>
      <c r="LS53" s="22"/>
      <c r="LT53" s="22"/>
      <c r="LU53" s="22"/>
      <c r="LV53" s="22"/>
      <c r="LW53" s="22"/>
      <c r="LX53" s="22"/>
      <c r="LY53" s="22"/>
      <c r="LZ53" s="22"/>
      <c r="MA53" s="22"/>
      <c r="MB53" s="22"/>
      <c r="MC53" s="22"/>
      <c r="MD53" s="22"/>
      <c r="ME53" s="22"/>
      <c r="MF53" s="22"/>
      <c r="MG53" s="22"/>
      <c r="MH53" s="22"/>
      <c r="MI53" s="22"/>
      <c r="MJ53" s="22"/>
      <c r="MK53" s="22"/>
      <c r="ML53" s="22"/>
      <c r="MM53" s="22"/>
      <c r="MN53" s="22"/>
      <c r="MO53" s="22"/>
      <c r="MP53" s="22"/>
      <c r="MQ53" s="22"/>
      <c r="MR53" s="22"/>
      <c r="MS53" s="22"/>
      <c r="MT53" s="22"/>
      <c r="MU53" s="22"/>
      <c r="MV53" s="22"/>
      <c r="MW53" s="22"/>
      <c r="MX53" s="22"/>
      <c r="MY53" s="22"/>
      <c r="MZ53" s="22"/>
      <c r="NA53" s="22"/>
      <c r="NB53" s="22"/>
      <c r="NC53" s="22"/>
      <c r="ND53" s="22"/>
      <c r="NE53" s="22"/>
      <c r="NF53" s="22"/>
    </row>
    <row r="54" ht="15.75" hidden="1" customHeight="1">
      <c r="A54" s="237"/>
      <c r="B54" s="267"/>
      <c r="C54" s="239">
        <v>46059.0</v>
      </c>
      <c r="D54" s="245" t="s">
        <v>233</v>
      </c>
      <c r="E54" s="242" t="s">
        <v>47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0"/>
      <c r="AJ54" s="20"/>
      <c r="AK54" s="20"/>
      <c r="AL54" s="20"/>
      <c r="AM54" s="20"/>
      <c r="AN54" s="20">
        <v>2.0</v>
      </c>
      <c r="AO54" s="20">
        <v>4.0</v>
      </c>
      <c r="AP54" s="20" t="s">
        <v>234</v>
      </c>
      <c r="AQ54" s="20"/>
      <c r="AR54" s="20"/>
      <c r="AS54" s="20"/>
      <c r="AT54" s="20"/>
      <c r="AU54" s="20"/>
      <c r="AV54" s="20"/>
      <c r="AW54" s="20"/>
      <c r="AX54" s="20"/>
      <c r="AY54" s="20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  <c r="IZ54" s="22"/>
      <c r="JA54" s="22"/>
      <c r="JB54" s="22"/>
      <c r="JC54" s="22"/>
      <c r="JD54" s="22"/>
      <c r="JE54" s="22"/>
      <c r="JF54" s="22"/>
      <c r="JG54" s="22"/>
      <c r="JH54" s="22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2"/>
      <c r="LK54" s="22"/>
      <c r="LL54" s="22"/>
      <c r="LM54" s="22"/>
      <c r="LN54" s="22"/>
      <c r="LO54" s="22"/>
      <c r="LP54" s="22"/>
      <c r="LQ54" s="22"/>
      <c r="LR54" s="22"/>
      <c r="LS54" s="22"/>
      <c r="LT54" s="22"/>
      <c r="LU54" s="22"/>
      <c r="LV54" s="22"/>
      <c r="LW54" s="22"/>
      <c r="LX54" s="22"/>
      <c r="LY54" s="22"/>
      <c r="LZ54" s="22"/>
      <c r="MA54" s="22"/>
      <c r="MB54" s="22"/>
      <c r="MC54" s="22"/>
      <c r="MD54" s="22"/>
      <c r="ME54" s="22"/>
      <c r="MF54" s="22"/>
      <c r="MG54" s="22"/>
      <c r="MH54" s="22"/>
      <c r="MI54" s="22"/>
      <c r="MJ54" s="22"/>
      <c r="MK54" s="22"/>
      <c r="ML54" s="22"/>
      <c r="MM54" s="22"/>
      <c r="MN54" s="22"/>
      <c r="MO54" s="22"/>
      <c r="MP54" s="22"/>
      <c r="MQ54" s="22"/>
      <c r="MR54" s="22"/>
      <c r="MS54" s="22"/>
      <c r="MT54" s="22"/>
      <c r="MU54" s="22"/>
      <c r="MV54" s="22"/>
      <c r="MW54" s="22"/>
      <c r="MX54" s="22"/>
      <c r="MY54" s="22"/>
      <c r="MZ54" s="22"/>
      <c r="NA54" s="22"/>
      <c r="NB54" s="22"/>
      <c r="NC54" s="22"/>
      <c r="ND54" s="22"/>
      <c r="NE54" s="22"/>
      <c r="NF54" s="22"/>
    </row>
    <row r="55" ht="15.75" hidden="1" customHeight="1">
      <c r="A55" s="237"/>
      <c r="B55" s="267"/>
      <c r="C55" s="239">
        <v>46059.0</v>
      </c>
      <c r="D55" s="245" t="s">
        <v>235</v>
      </c>
      <c r="E55" s="242" t="s">
        <v>34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0"/>
      <c r="AJ55" s="20"/>
      <c r="AK55" s="20"/>
      <c r="AL55" s="20"/>
      <c r="AM55" s="20"/>
      <c r="AN55" s="20"/>
      <c r="AO55" s="20">
        <v>2.0</v>
      </c>
      <c r="AP55" s="20">
        <v>2.0</v>
      </c>
      <c r="AQ55" s="20"/>
      <c r="AR55" s="20"/>
      <c r="AS55" s="20"/>
      <c r="AT55" s="20"/>
      <c r="AU55" s="20"/>
      <c r="AV55" s="20"/>
      <c r="AW55" s="20"/>
      <c r="AX55" s="20"/>
      <c r="AY55" s="20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  <c r="IZ55" s="22"/>
      <c r="JA55" s="22"/>
      <c r="JB55" s="22"/>
      <c r="JC55" s="22"/>
      <c r="JD55" s="22"/>
      <c r="JE55" s="22"/>
      <c r="JF55" s="22"/>
      <c r="JG55" s="22"/>
      <c r="JH55" s="22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2"/>
      <c r="LK55" s="22"/>
      <c r="LL55" s="22"/>
      <c r="LM55" s="22"/>
      <c r="LN55" s="22"/>
      <c r="LO55" s="22"/>
      <c r="LP55" s="22"/>
      <c r="LQ55" s="22"/>
      <c r="LR55" s="22"/>
      <c r="LS55" s="22"/>
      <c r="LT55" s="22"/>
      <c r="LU55" s="22"/>
      <c r="LV55" s="22"/>
      <c r="LW55" s="22"/>
      <c r="LX55" s="22"/>
      <c r="LY55" s="22"/>
      <c r="LZ55" s="22"/>
      <c r="MA55" s="22"/>
      <c r="MB55" s="22"/>
      <c r="MC55" s="22"/>
      <c r="MD55" s="22"/>
      <c r="ME55" s="22"/>
      <c r="MF55" s="22"/>
      <c r="MG55" s="22"/>
      <c r="MH55" s="22"/>
      <c r="MI55" s="22"/>
      <c r="MJ55" s="22"/>
      <c r="MK55" s="22"/>
      <c r="ML55" s="22"/>
      <c r="MM55" s="22"/>
      <c r="MN55" s="22"/>
      <c r="MO55" s="22"/>
      <c r="MP55" s="22"/>
      <c r="MQ55" s="22"/>
      <c r="MR55" s="22"/>
      <c r="MS55" s="22"/>
      <c r="MT55" s="22"/>
      <c r="MU55" s="22"/>
      <c r="MV55" s="22"/>
      <c r="MW55" s="22"/>
      <c r="MX55" s="22"/>
      <c r="MY55" s="22"/>
      <c r="MZ55" s="22"/>
      <c r="NA55" s="22"/>
      <c r="NB55" s="22"/>
      <c r="NC55" s="22"/>
      <c r="ND55" s="22"/>
      <c r="NE55" s="22"/>
      <c r="NF55" s="22"/>
    </row>
    <row r="56" ht="15.75" hidden="1" customHeight="1">
      <c r="A56" s="237"/>
      <c r="B56" s="267"/>
      <c r="C56" s="239">
        <v>46064.0</v>
      </c>
      <c r="D56" s="245" t="s">
        <v>236</v>
      </c>
      <c r="E56" s="242" t="s">
        <v>47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0"/>
      <c r="AJ56" s="20"/>
      <c r="AK56" s="20"/>
      <c r="AL56" s="20"/>
      <c r="AM56" s="20"/>
      <c r="AN56" s="20"/>
      <c r="AO56" s="20"/>
      <c r="AP56" s="20">
        <v>2.0</v>
      </c>
      <c r="AQ56" s="20"/>
      <c r="AR56" s="20"/>
      <c r="AS56" s="20">
        <v>2.0</v>
      </c>
      <c r="AT56" s="20"/>
      <c r="AU56" s="20">
        <v>2.0</v>
      </c>
      <c r="AV56" s="20">
        <v>1.0</v>
      </c>
      <c r="AW56" s="20"/>
      <c r="AX56" s="20"/>
      <c r="AY56" s="20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  <c r="IZ56" s="22"/>
      <c r="JA56" s="22"/>
      <c r="JB56" s="22"/>
      <c r="JC56" s="22"/>
      <c r="JD56" s="22"/>
      <c r="JE56" s="22"/>
      <c r="JF56" s="22"/>
      <c r="JG56" s="22"/>
      <c r="JH56" s="22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2"/>
      <c r="LK56" s="22"/>
      <c r="LL56" s="22"/>
      <c r="LM56" s="22"/>
      <c r="LN56" s="22"/>
      <c r="LO56" s="22"/>
      <c r="LP56" s="22"/>
      <c r="LQ56" s="22"/>
      <c r="LR56" s="22"/>
      <c r="LS56" s="22"/>
      <c r="LT56" s="22"/>
      <c r="LU56" s="22"/>
      <c r="LV56" s="22"/>
      <c r="LW56" s="22"/>
      <c r="LX56" s="22"/>
      <c r="LY56" s="22"/>
      <c r="LZ56" s="22"/>
      <c r="MA56" s="22"/>
      <c r="MB56" s="22"/>
      <c r="MC56" s="22"/>
      <c r="MD56" s="22"/>
      <c r="ME56" s="22"/>
      <c r="MF56" s="22"/>
      <c r="MG56" s="22"/>
      <c r="MH56" s="22"/>
      <c r="MI56" s="22"/>
      <c r="MJ56" s="22"/>
      <c r="MK56" s="22"/>
      <c r="ML56" s="22"/>
      <c r="MM56" s="22"/>
      <c r="MN56" s="22"/>
      <c r="MO56" s="22"/>
      <c r="MP56" s="22"/>
      <c r="MQ56" s="22"/>
      <c r="MR56" s="22"/>
      <c r="MS56" s="22"/>
      <c r="MT56" s="22"/>
      <c r="MU56" s="22"/>
      <c r="MV56" s="22"/>
      <c r="MW56" s="22"/>
      <c r="MX56" s="22"/>
      <c r="MY56" s="22"/>
      <c r="MZ56" s="22"/>
      <c r="NA56" s="22"/>
      <c r="NB56" s="22"/>
      <c r="NC56" s="22"/>
      <c r="ND56" s="22"/>
      <c r="NE56" s="22"/>
      <c r="NF56" s="22"/>
    </row>
    <row r="57" ht="15.75" hidden="1" customHeight="1">
      <c r="A57" s="237"/>
      <c r="B57" s="267"/>
      <c r="C57" s="239">
        <v>46062.0</v>
      </c>
      <c r="D57" s="245" t="s">
        <v>237</v>
      </c>
      <c r="E57" s="242" t="s">
        <v>47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>
        <v>3.0</v>
      </c>
      <c r="AT57" s="20">
        <v>4.0</v>
      </c>
      <c r="AU57" s="20"/>
      <c r="AV57" s="20"/>
      <c r="AW57" s="20"/>
      <c r="AX57" s="20"/>
      <c r="AY57" s="20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  <c r="IZ57" s="22"/>
      <c r="JA57" s="22"/>
      <c r="JB57" s="22"/>
      <c r="JC57" s="22"/>
      <c r="JD57" s="22"/>
      <c r="JE57" s="22"/>
      <c r="JF57" s="22"/>
      <c r="JG57" s="22"/>
      <c r="JH57" s="22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2"/>
      <c r="LK57" s="22"/>
      <c r="LL57" s="22"/>
      <c r="LM57" s="22"/>
      <c r="LN57" s="22"/>
      <c r="LO57" s="22"/>
      <c r="LP57" s="22"/>
      <c r="LQ57" s="22"/>
      <c r="LR57" s="22"/>
      <c r="LS57" s="22"/>
      <c r="LT57" s="22"/>
      <c r="LU57" s="22"/>
      <c r="LV57" s="22"/>
      <c r="LW57" s="22"/>
      <c r="LX57" s="22"/>
      <c r="LY57" s="22"/>
      <c r="LZ57" s="22"/>
      <c r="MA57" s="22"/>
      <c r="MB57" s="22"/>
      <c r="MC57" s="22"/>
      <c r="MD57" s="22"/>
      <c r="ME57" s="22"/>
      <c r="MF57" s="22"/>
      <c r="MG57" s="22"/>
      <c r="MH57" s="22"/>
      <c r="MI57" s="22"/>
      <c r="MJ57" s="22"/>
      <c r="MK57" s="22"/>
      <c r="ML57" s="22"/>
      <c r="MM57" s="22"/>
      <c r="MN57" s="22"/>
      <c r="MO57" s="22"/>
      <c r="MP57" s="22"/>
      <c r="MQ57" s="22"/>
      <c r="MR57" s="22"/>
      <c r="MS57" s="22"/>
      <c r="MT57" s="22"/>
      <c r="MU57" s="22"/>
      <c r="MV57" s="22"/>
      <c r="MW57" s="22"/>
      <c r="MX57" s="22"/>
      <c r="MY57" s="22"/>
      <c r="MZ57" s="22"/>
      <c r="NA57" s="22"/>
      <c r="NB57" s="22"/>
      <c r="NC57" s="22"/>
      <c r="ND57" s="22"/>
      <c r="NE57" s="22"/>
      <c r="NF57" s="22"/>
    </row>
    <row r="58" ht="15.75" hidden="1" customHeight="1">
      <c r="A58" s="237"/>
      <c r="B58" s="267"/>
      <c r="C58" s="239">
        <v>46062.0</v>
      </c>
      <c r="D58" s="245" t="s">
        <v>238</v>
      </c>
      <c r="E58" s="242" t="s">
        <v>47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>
        <v>4.0</v>
      </c>
      <c r="AT58" s="20"/>
      <c r="AU58" s="20"/>
      <c r="AV58" s="20"/>
      <c r="AW58" s="20"/>
      <c r="AX58" s="20"/>
      <c r="AY58" s="20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  <c r="IZ58" s="22"/>
      <c r="JA58" s="22"/>
      <c r="JB58" s="22"/>
      <c r="JC58" s="22"/>
      <c r="JD58" s="22"/>
      <c r="JE58" s="22"/>
      <c r="JF58" s="22"/>
      <c r="JG58" s="22"/>
      <c r="JH58" s="22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2"/>
      <c r="LK58" s="22"/>
      <c r="LL58" s="22"/>
      <c r="LM58" s="22"/>
      <c r="LN58" s="22"/>
      <c r="LO58" s="22"/>
      <c r="LP58" s="22"/>
      <c r="LQ58" s="22"/>
      <c r="LR58" s="22"/>
      <c r="LS58" s="22"/>
      <c r="LT58" s="22"/>
      <c r="LU58" s="22"/>
      <c r="LV58" s="22"/>
      <c r="LW58" s="22"/>
      <c r="LX58" s="22"/>
      <c r="LY58" s="22"/>
      <c r="LZ58" s="22"/>
      <c r="MA58" s="22"/>
      <c r="MB58" s="22"/>
      <c r="MC58" s="22"/>
      <c r="MD58" s="22"/>
      <c r="ME58" s="22"/>
      <c r="MF58" s="22"/>
      <c r="MG58" s="22"/>
      <c r="MH58" s="22"/>
      <c r="MI58" s="22"/>
      <c r="MJ58" s="22"/>
      <c r="MK58" s="22"/>
      <c r="ML58" s="22"/>
      <c r="MM58" s="22"/>
      <c r="MN58" s="22"/>
      <c r="MO58" s="22"/>
      <c r="MP58" s="22"/>
      <c r="MQ58" s="22"/>
      <c r="MR58" s="22"/>
      <c r="MS58" s="22"/>
      <c r="MT58" s="22"/>
      <c r="MU58" s="22"/>
      <c r="MV58" s="22"/>
      <c r="MW58" s="22"/>
      <c r="MX58" s="22"/>
      <c r="MY58" s="22"/>
      <c r="MZ58" s="22"/>
      <c r="NA58" s="22"/>
      <c r="NB58" s="22"/>
      <c r="NC58" s="22"/>
      <c r="ND58" s="22"/>
      <c r="NE58" s="22"/>
      <c r="NF58" s="22"/>
    </row>
    <row r="59" ht="15.75" hidden="1" customHeight="1">
      <c r="A59" s="237"/>
      <c r="B59" s="267"/>
      <c r="C59" s="239">
        <v>46063.0</v>
      </c>
      <c r="D59" s="245" t="s">
        <v>239</v>
      </c>
      <c r="E59" s="242" t="s">
        <v>47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>
        <v>3.0</v>
      </c>
      <c r="AT59" s="20"/>
      <c r="AU59" s="20"/>
      <c r="AV59" s="20">
        <v>1.0</v>
      </c>
      <c r="AW59" s="20"/>
      <c r="AX59" s="20"/>
      <c r="AY59" s="20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  <c r="IZ59" s="22"/>
      <c r="JA59" s="22"/>
      <c r="JB59" s="22"/>
      <c r="JC59" s="22"/>
      <c r="JD59" s="22"/>
      <c r="JE59" s="22"/>
      <c r="JF59" s="22"/>
      <c r="JG59" s="22"/>
      <c r="JH59" s="22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2"/>
      <c r="LK59" s="22"/>
      <c r="LL59" s="22"/>
      <c r="LM59" s="22"/>
      <c r="LN59" s="22"/>
      <c r="LO59" s="22"/>
      <c r="LP59" s="22"/>
      <c r="LQ59" s="22"/>
      <c r="LR59" s="22"/>
      <c r="LS59" s="22"/>
      <c r="LT59" s="22"/>
      <c r="LU59" s="22"/>
      <c r="LV59" s="22"/>
      <c r="LW59" s="22"/>
      <c r="LX59" s="22"/>
      <c r="LY59" s="22"/>
      <c r="LZ59" s="22"/>
      <c r="MA59" s="22"/>
      <c r="MB59" s="22"/>
      <c r="MC59" s="22"/>
      <c r="MD59" s="22"/>
      <c r="ME59" s="22"/>
      <c r="MF59" s="22"/>
      <c r="MG59" s="22"/>
      <c r="MH59" s="22"/>
      <c r="MI59" s="22"/>
      <c r="MJ59" s="22"/>
      <c r="MK59" s="22"/>
      <c r="ML59" s="22"/>
      <c r="MM59" s="22"/>
      <c r="MN59" s="22"/>
      <c r="MO59" s="22"/>
      <c r="MP59" s="22"/>
      <c r="MQ59" s="22"/>
      <c r="MR59" s="22"/>
      <c r="MS59" s="22"/>
      <c r="MT59" s="22"/>
      <c r="MU59" s="22"/>
      <c r="MV59" s="22"/>
      <c r="MW59" s="22"/>
      <c r="MX59" s="22"/>
      <c r="MY59" s="22"/>
      <c r="MZ59" s="22"/>
      <c r="NA59" s="22"/>
      <c r="NB59" s="22"/>
      <c r="NC59" s="22"/>
      <c r="ND59" s="22"/>
      <c r="NE59" s="22"/>
      <c r="NF59" s="22"/>
    </row>
    <row r="60" ht="15.75" hidden="1" customHeight="1">
      <c r="A60" s="237"/>
      <c r="B60" s="267"/>
      <c r="C60" s="239">
        <v>46063.0</v>
      </c>
      <c r="D60" s="245" t="s">
        <v>240</v>
      </c>
      <c r="E60" s="242" t="s">
        <v>47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>
        <v>1.0</v>
      </c>
      <c r="AU60" s="20"/>
      <c r="AV60" s="20"/>
      <c r="AW60" s="20"/>
      <c r="AX60" s="20"/>
      <c r="AY60" s="20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  <c r="IZ60" s="22"/>
      <c r="JA60" s="22"/>
      <c r="JB60" s="22"/>
      <c r="JC60" s="22"/>
      <c r="JD60" s="22"/>
      <c r="JE60" s="22"/>
      <c r="JF60" s="22"/>
      <c r="JG60" s="22"/>
      <c r="JH60" s="22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2"/>
      <c r="LK60" s="22"/>
      <c r="LL60" s="22"/>
      <c r="LM60" s="22"/>
      <c r="LN60" s="22"/>
      <c r="LO60" s="22"/>
      <c r="LP60" s="22"/>
      <c r="LQ60" s="22"/>
      <c r="LR60" s="22"/>
      <c r="LS60" s="22"/>
      <c r="LT60" s="22"/>
      <c r="LU60" s="22"/>
      <c r="LV60" s="22"/>
      <c r="LW60" s="22"/>
      <c r="LX60" s="22"/>
      <c r="LY60" s="22"/>
      <c r="LZ60" s="22"/>
      <c r="MA60" s="22"/>
      <c r="MB60" s="22"/>
      <c r="MC60" s="22"/>
      <c r="MD60" s="22"/>
      <c r="ME60" s="22"/>
      <c r="MF60" s="22"/>
      <c r="MG60" s="22"/>
      <c r="MH60" s="22"/>
      <c r="MI60" s="22"/>
      <c r="MJ60" s="22"/>
      <c r="MK60" s="22"/>
      <c r="ML60" s="22"/>
      <c r="MM60" s="22"/>
      <c r="MN60" s="22"/>
      <c r="MO60" s="22"/>
      <c r="MP60" s="22"/>
      <c r="MQ60" s="22"/>
      <c r="MR60" s="22"/>
      <c r="MS60" s="22"/>
      <c r="MT60" s="22"/>
      <c r="MU60" s="22"/>
      <c r="MV60" s="22"/>
      <c r="MW60" s="22"/>
      <c r="MX60" s="22"/>
      <c r="MY60" s="22"/>
      <c r="MZ60" s="22"/>
      <c r="NA60" s="22"/>
      <c r="NB60" s="22"/>
      <c r="NC60" s="22"/>
      <c r="ND60" s="22"/>
      <c r="NE60" s="22"/>
      <c r="NF60" s="22"/>
    </row>
    <row r="61" ht="15.75" hidden="1" customHeight="1">
      <c r="A61" s="237"/>
      <c r="B61" s="267"/>
      <c r="C61" s="239">
        <v>46063.0</v>
      </c>
      <c r="D61" s="245" t="s">
        <v>241</v>
      </c>
      <c r="E61" s="242" t="s">
        <v>47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>
        <v>1.0</v>
      </c>
      <c r="AT61" s="20">
        <v>3.0</v>
      </c>
      <c r="AU61" s="20"/>
      <c r="AV61" s="20"/>
      <c r="AW61" s="20"/>
      <c r="AX61" s="20"/>
      <c r="AY61" s="20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  <c r="IZ61" s="22"/>
      <c r="JA61" s="22"/>
      <c r="JB61" s="22"/>
      <c r="JC61" s="22"/>
      <c r="JD61" s="22"/>
      <c r="JE61" s="22"/>
      <c r="JF61" s="22"/>
      <c r="JG61" s="22"/>
      <c r="JH61" s="22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2"/>
      <c r="LK61" s="22"/>
      <c r="LL61" s="22"/>
      <c r="LM61" s="22"/>
      <c r="LN61" s="22"/>
      <c r="LO61" s="22"/>
      <c r="LP61" s="22"/>
      <c r="LQ61" s="22"/>
      <c r="LR61" s="22"/>
      <c r="LS61" s="22"/>
      <c r="LT61" s="22"/>
      <c r="LU61" s="22"/>
      <c r="LV61" s="22"/>
      <c r="LW61" s="22"/>
      <c r="LX61" s="22"/>
      <c r="LY61" s="22"/>
      <c r="LZ61" s="22"/>
      <c r="MA61" s="22"/>
      <c r="MB61" s="22"/>
      <c r="MC61" s="22"/>
      <c r="MD61" s="22"/>
      <c r="ME61" s="22"/>
      <c r="MF61" s="22"/>
      <c r="MG61" s="22"/>
      <c r="MH61" s="22"/>
      <c r="MI61" s="22"/>
      <c r="MJ61" s="22"/>
      <c r="MK61" s="22"/>
      <c r="ML61" s="22"/>
      <c r="MM61" s="22"/>
      <c r="MN61" s="22"/>
      <c r="MO61" s="22"/>
      <c r="MP61" s="22"/>
      <c r="MQ61" s="22"/>
      <c r="MR61" s="22"/>
      <c r="MS61" s="22"/>
      <c r="MT61" s="22"/>
      <c r="MU61" s="22"/>
      <c r="MV61" s="22"/>
      <c r="MW61" s="22"/>
      <c r="MX61" s="22"/>
      <c r="MY61" s="22"/>
      <c r="MZ61" s="22"/>
      <c r="NA61" s="22"/>
      <c r="NB61" s="22"/>
      <c r="NC61" s="22"/>
      <c r="ND61" s="22"/>
      <c r="NE61" s="22"/>
      <c r="NF61" s="22"/>
    </row>
    <row r="62" ht="15.75" hidden="1" customHeight="1">
      <c r="A62" s="237"/>
      <c r="B62" s="267"/>
      <c r="C62" s="239">
        <v>46064.0</v>
      </c>
      <c r="D62" s="245" t="s">
        <v>242</v>
      </c>
      <c r="E62" s="242" t="s">
        <v>47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>
        <v>4.0</v>
      </c>
      <c r="AU62" s="20"/>
      <c r="AV62" s="20">
        <v>1.0</v>
      </c>
      <c r="AW62" s="20"/>
      <c r="AX62" s="20"/>
      <c r="AY62" s="20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  <c r="IZ62" s="22"/>
      <c r="JA62" s="22"/>
      <c r="JB62" s="22"/>
      <c r="JC62" s="22"/>
      <c r="JD62" s="22"/>
      <c r="JE62" s="22"/>
      <c r="JF62" s="22"/>
      <c r="JG62" s="22"/>
      <c r="JH62" s="22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2"/>
      <c r="LK62" s="22"/>
      <c r="LL62" s="22"/>
      <c r="LM62" s="22"/>
      <c r="LN62" s="22"/>
      <c r="LO62" s="22"/>
      <c r="LP62" s="22"/>
      <c r="LQ62" s="22"/>
      <c r="LR62" s="22"/>
      <c r="LS62" s="22"/>
      <c r="LT62" s="22"/>
      <c r="LU62" s="22"/>
      <c r="LV62" s="22"/>
      <c r="LW62" s="22"/>
      <c r="LX62" s="22"/>
      <c r="LY62" s="22"/>
      <c r="LZ62" s="22"/>
      <c r="MA62" s="22"/>
      <c r="MB62" s="22"/>
      <c r="MC62" s="22"/>
      <c r="MD62" s="22"/>
      <c r="ME62" s="22"/>
      <c r="MF62" s="22"/>
      <c r="MG62" s="22"/>
      <c r="MH62" s="22"/>
      <c r="MI62" s="22"/>
      <c r="MJ62" s="22"/>
      <c r="MK62" s="22"/>
      <c r="ML62" s="22"/>
      <c r="MM62" s="22"/>
      <c r="MN62" s="22"/>
      <c r="MO62" s="22"/>
      <c r="MP62" s="22"/>
      <c r="MQ62" s="22"/>
      <c r="MR62" s="22"/>
      <c r="MS62" s="22"/>
      <c r="MT62" s="22"/>
      <c r="MU62" s="22"/>
      <c r="MV62" s="22"/>
      <c r="MW62" s="22"/>
      <c r="MX62" s="22"/>
      <c r="MY62" s="22"/>
      <c r="MZ62" s="22"/>
      <c r="NA62" s="22"/>
      <c r="NB62" s="22"/>
      <c r="NC62" s="22"/>
      <c r="ND62" s="22"/>
      <c r="NE62" s="22"/>
      <c r="NF62" s="22"/>
    </row>
    <row r="63" ht="15.75" hidden="1" customHeight="1">
      <c r="A63" s="237"/>
      <c r="B63" s="267"/>
      <c r="C63" s="239">
        <v>46065.0</v>
      </c>
      <c r="D63" s="245" t="s">
        <v>243</v>
      </c>
      <c r="E63" s="242" t="s">
        <v>47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>
        <v>6.0</v>
      </c>
      <c r="AV63" s="20">
        <v>1.0</v>
      </c>
      <c r="AW63" s="20"/>
      <c r="AX63" s="20"/>
      <c r="AY63" s="20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  <c r="IZ63" s="22"/>
      <c r="JA63" s="22"/>
      <c r="JB63" s="22"/>
      <c r="JC63" s="22"/>
      <c r="JD63" s="22"/>
      <c r="JE63" s="22"/>
      <c r="JF63" s="22"/>
      <c r="JG63" s="22"/>
      <c r="JH63" s="22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2"/>
      <c r="LK63" s="22"/>
      <c r="LL63" s="22"/>
      <c r="LM63" s="22"/>
      <c r="LN63" s="22"/>
      <c r="LO63" s="22"/>
      <c r="LP63" s="22"/>
      <c r="LQ63" s="22"/>
      <c r="LR63" s="22"/>
      <c r="LS63" s="22"/>
      <c r="LT63" s="22"/>
      <c r="LU63" s="22"/>
      <c r="LV63" s="22"/>
      <c r="LW63" s="22"/>
      <c r="LX63" s="22"/>
      <c r="LY63" s="22"/>
      <c r="LZ63" s="22"/>
      <c r="MA63" s="22"/>
      <c r="MB63" s="22"/>
      <c r="MC63" s="22"/>
      <c r="MD63" s="22"/>
      <c r="ME63" s="22"/>
      <c r="MF63" s="22"/>
      <c r="MG63" s="22"/>
      <c r="MH63" s="22"/>
      <c r="MI63" s="22"/>
      <c r="MJ63" s="22"/>
      <c r="MK63" s="22"/>
      <c r="ML63" s="22"/>
      <c r="MM63" s="22"/>
      <c r="MN63" s="22"/>
      <c r="MO63" s="22"/>
      <c r="MP63" s="22"/>
      <c r="MQ63" s="22"/>
      <c r="MR63" s="22"/>
      <c r="MS63" s="22"/>
      <c r="MT63" s="22"/>
      <c r="MU63" s="22"/>
      <c r="MV63" s="22"/>
      <c r="MW63" s="22"/>
      <c r="MX63" s="22"/>
      <c r="MY63" s="22"/>
      <c r="MZ63" s="22"/>
      <c r="NA63" s="22"/>
      <c r="NB63" s="22"/>
      <c r="NC63" s="22"/>
      <c r="ND63" s="22"/>
      <c r="NE63" s="22"/>
      <c r="NF63" s="22"/>
    </row>
    <row r="64" ht="15.75" hidden="1" customHeight="1">
      <c r="A64" s="237"/>
      <c r="B64" s="267"/>
      <c r="C64" s="239">
        <v>46066.0</v>
      </c>
      <c r="D64" s="245" t="s">
        <v>244</v>
      </c>
      <c r="E64" s="242" t="s">
        <v>47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>
        <v>1.0</v>
      </c>
      <c r="AV64" s="20"/>
      <c r="AW64" s="20"/>
      <c r="AX64" s="20"/>
      <c r="AY64" s="20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  <c r="IZ64" s="22"/>
      <c r="JA64" s="22"/>
      <c r="JB64" s="22"/>
      <c r="JC64" s="22"/>
      <c r="JD64" s="22"/>
      <c r="JE64" s="22"/>
      <c r="JF64" s="22"/>
      <c r="JG64" s="22"/>
      <c r="JH64" s="22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2"/>
      <c r="LK64" s="22"/>
      <c r="LL64" s="22"/>
      <c r="LM64" s="22"/>
      <c r="LN64" s="22"/>
      <c r="LO64" s="22"/>
      <c r="LP64" s="22"/>
      <c r="LQ64" s="22"/>
      <c r="LR64" s="22"/>
      <c r="LS64" s="22"/>
      <c r="LT64" s="22"/>
      <c r="LU64" s="22"/>
      <c r="LV64" s="22"/>
      <c r="LW64" s="22"/>
      <c r="LX64" s="22"/>
      <c r="LY64" s="22"/>
      <c r="LZ64" s="22"/>
      <c r="MA64" s="22"/>
      <c r="MB64" s="22"/>
      <c r="MC64" s="22"/>
      <c r="MD64" s="22"/>
      <c r="ME64" s="22"/>
      <c r="MF64" s="22"/>
      <c r="MG64" s="22"/>
      <c r="MH64" s="22"/>
      <c r="MI64" s="22"/>
      <c r="MJ64" s="22"/>
      <c r="MK64" s="22"/>
      <c r="ML64" s="22"/>
      <c r="MM64" s="22"/>
      <c r="MN64" s="22"/>
      <c r="MO64" s="22"/>
      <c r="MP64" s="22"/>
      <c r="MQ64" s="22"/>
      <c r="MR64" s="22"/>
      <c r="MS64" s="22"/>
      <c r="MT64" s="22"/>
      <c r="MU64" s="22"/>
      <c r="MV64" s="22"/>
      <c r="MW64" s="22"/>
      <c r="MX64" s="22"/>
      <c r="MY64" s="22"/>
      <c r="MZ64" s="22"/>
      <c r="NA64" s="22"/>
      <c r="NB64" s="22"/>
      <c r="NC64" s="22"/>
      <c r="ND64" s="22"/>
      <c r="NE64" s="22"/>
      <c r="NF64" s="22"/>
    </row>
    <row r="65" ht="15.75" hidden="1" customHeight="1">
      <c r="A65" s="237"/>
      <c r="B65" s="267"/>
      <c r="C65" s="239">
        <v>46072.0</v>
      </c>
      <c r="D65" s="245" t="s">
        <v>245</v>
      </c>
      <c r="E65" s="242" t="s">
        <v>47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>
        <v>3.0</v>
      </c>
      <c r="AW65" s="20">
        <v>8.0</v>
      </c>
      <c r="AX65" s="20"/>
      <c r="AY65" s="20"/>
      <c r="AZ65" s="22"/>
      <c r="BA65" s="22"/>
      <c r="BB65" s="22"/>
      <c r="BC65" s="22"/>
      <c r="BD65" s="73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  <c r="IZ65" s="22"/>
      <c r="JA65" s="22"/>
      <c r="JB65" s="22"/>
      <c r="JC65" s="22"/>
      <c r="JD65" s="22"/>
      <c r="JE65" s="22"/>
      <c r="JF65" s="22"/>
      <c r="JG65" s="22"/>
      <c r="JH65" s="22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2"/>
      <c r="LK65" s="22"/>
      <c r="LL65" s="22"/>
      <c r="LM65" s="22"/>
      <c r="LN65" s="22"/>
      <c r="LO65" s="22"/>
      <c r="LP65" s="22"/>
      <c r="LQ65" s="22"/>
      <c r="LR65" s="22"/>
      <c r="LS65" s="22"/>
      <c r="LT65" s="22"/>
      <c r="LU65" s="22"/>
      <c r="LV65" s="22"/>
      <c r="LW65" s="22"/>
      <c r="LX65" s="22"/>
      <c r="LY65" s="22"/>
      <c r="LZ65" s="22"/>
      <c r="MA65" s="22"/>
      <c r="MB65" s="22"/>
      <c r="MC65" s="22"/>
      <c r="MD65" s="22"/>
      <c r="ME65" s="22"/>
      <c r="MF65" s="22"/>
      <c r="MG65" s="22"/>
      <c r="MH65" s="22"/>
      <c r="MI65" s="22"/>
      <c r="MJ65" s="22"/>
      <c r="MK65" s="22"/>
      <c r="ML65" s="22"/>
      <c r="MM65" s="22"/>
      <c r="MN65" s="22"/>
      <c r="MO65" s="22"/>
      <c r="MP65" s="22"/>
      <c r="MQ65" s="22"/>
      <c r="MR65" s="22"/>
      <c r="MS65" s="22"/>
      <c r="MT65" s="22"/>
      <c r="MU65" s="22"/>
      <c r="MV65" s="22"/>
      <c r="MW65" s="22"/>
      <c r="MX65" s="22"/>
      <c r="MY65" s="22"/>
      <c r="MZ65" s="22"/>
      <c r="NA65" s="22"/>
      <c r="NB65" s="22"/>
      <c r="NC65" s="22"/>
      <c r="ND65" s="22"/>
      <c r="NE65" s="22"/>
      <c r="NF65" s="22"/>
    </row>
    <row r="66" ht="15.75" hidden="1" customHeight="1">
      <c r="A66" s="237"/>
      <c r="B66" s="267"/>
      <c r="C66" s="239">
        <v>46072.0</v>
      </c>
      <c r="D66" s="245" t="s">
        <v>246</v>
      </c>
      <c r="E66" s="242" t="s">
        <v>47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0"/>
      <c r="AJ66" s="20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0">
        <v>1.0</v>
      </c>
      <c r="AW66" s="20">
        <v>1.0</v>
      </c>
      <c r="AX66" s="22"/>
      <c r="AY66" s="22"/>
      <c r="AZ66" s="22"/>
      <c r="BA66" s="22"/>
      <c r="BB66" s="22"/>
      <c r="BC66" s="22"/>
      <c r="BD66" s="73"/>
      <c r="BE66" s="22"/>
      <c r="BF66" s="22"/>
      <c r="BG66" s="20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  <c r="IZ66" s="22"/>
      <c r="JA66" s="22"/>
      <c r="JB66" s="22"/>
      <c r="JC66" s="22"/>
      <c r="JD66" s="22"/>
      <c r="JE66" s="22"/>
      <c r="JF66" s="22"/>
      <c r="JG66" s="22"/>
      <c r="JH66" s="22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2"/>
      <c r="LK66" s="22"/>
      <c r="LL66" s="22"/>
      <c r="LM66" s="22"/>
      <c r="LN66" s="22"/>
      <c r="LO66" s="22"/>
      <c r="LP66" s="22"/>
      <c r="LQ66" s="22"/>
      <c r="LR66" s="22"/>
      <c r="LS66" s="22"/>
      <c r="LT66" s="22"/>
      <c r="LU66" s="22"/>
      <c r="LV66" s="22"/>
      <c r="LW66" s="22"/>
      <c r="LX66" s="22"/>
      <c r="LY66" s="22"/>
      <c r="LZ66" s="22"/>
      <c r="MA66" s="22"/>
      <c r="MB66" s="22"/>
      <c r="MC66" s="22"/>
      <c r="MD66" s="22"/>
      <c r="ME66" s="22"/>
      <c r="MF66" s="22"/>
      <c r="MG66" s="22"/>
      <c r="MH66" s="22"/>
      <c r="MI66" s="22"/>
      <c r="MJ66" s="22"/>
      <c r="MK66" s="22"/>
      <c r="ML66" s="22"/>
      <c r="MM66" s="22"/>
      <c r="MN66" s="22"/>
      <c r="MO66" s="22"/>
      <c r="MP66" s="22"/>
      <c r="MQ66" s="22"/>
      <c r="MR66" s="22"/>
      <c r="MS66" s="22"/>
      <c r="MT66" s="22"/>
      <c r="MU66" s="22"/>
      <c r="MV66" s="22"/>
      <c r="MW66" s="22"/>
      <c r="MX66" s="22"/>
      <c r="MY66" s="22"/>
      <c r="MZ66" s="22"/>
      <c r="NA66" s="22"/>
      <c r="NB66" s="22"/>
      <c r="NC66" s="22"/>
      <c r="ND66" s="22"/>
      <c r="NE66" s="22"/>
      <c r="NF66" s="22"/>
    </row>
    <row r="67" ht="15.75" hidden="1" customHeight="1">
      <c r="A67" s="237"/>
      <c r="B67" s="267"/>
      <c r="C67" s="239">
        <v>46073.0</v>
      </c>
      <c r="D67" s="245" t="s">
        <v>247</v>
      </c>
      <c r="E67" s="242" t="s">
        <v>47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0"/>
      <c r="AJ67" s="20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0"/>
      <c r="AW67" s="20"/>
      <c r="AX67" s="22"/>
      <c r="AY67" s="22"/>
      <c r="AZ67" s="22"/>
      <c r="BA67" s="22"/>
      <c r="BB67" s="22"/>
      <c r="BC67" s="22"/>
      <c r="BD67" s="273">
        <v>1.0</v>
      </c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  <c r="IZ67" s="22"/>
      <c r="JA67" s="22"/>
      <c r="JB67" s="22"/>
      <c r="JC67" s="22"/>
      <c r="JD67" s="22"/>
      <c r="JE67" s="22"/>
      <c r="JF67" s="22"/>
      <c r="JG67" s="22"/>
      <c r="JH67" s="22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2"/>
      <c r="LK67" s="22"/>
      <c r="LL67" s="22"/>
      <c r="LM67" s="22"/>
      <c r="LN67" s="22"/>
      <c r="LO67" s="22"/>
      <c r="LP67" s="22"/>
      <c r="LQ67" s="22"/>
      <c r="LR67" s="22"/>
      <c r="LS67" s="22"/>
      <c r="LT67" s="22"/>
      <c r="LU67" s="22"/>
      <c r="LV67" s="22"/>
      <c r="LW67" s="22"/>
      <c r="LX67" s="22"/>
      <c r="LY67" s="22"/>
      <c r="LZ67" s="22"/>
      <c r="MA67" s="22"/>
      <c r="MB67" s="22"/>
      <c r="MC67" s="22"/>
      <c r="MD67" s="22"/>
      <c r="ME67" s="22"/>
      <c r="MF67" s="22"/>
      <c r="MG67" s="22"/>
      <c r="MH67" s="22"/>
      <c r="MI67" s="22"/>
      <c r="MJ67" s="22"/>
      <c r="MK67" s="22"/>
      <c r="ML67" s="22"/>
      <c r="MM67" s="22"/>
      <c r="MN67" s="22"/>
      <c r="MO67" s="22"/>
      <c r="MP67" s="22"/>
      <c r="MQ67" s="22"/>
      <c r="MR67" s="22"/>
      <c r="MS67" s="22"/>
      <c r="MT67" s="22"/>
      <c r="MU67" s="22"/>
      <c r="MV67" s="22"/>
      <c r="MW67" s="22"/>
      <c r="MX67" s="22"/>
      <c r="MY67" s="22"/>
      <c r="MZ67" s="22"/>
      <c r="NA67" s="22"/>
      <c r="NB67" s="22"/>
      <c r="NC67" s="22"/>
      <c r="ND67" s="22"/>
      <c r="NE67" s="22"/>
      <c r="NF67" s="22"/>
    </row>
    <row r="68" ht="15.75" hidden="1" customHeight="1">
      <c r="A68" s="237"/>
      <c r="B68" s="267" t="str">
        <f>HYPERLINK("http://210.108.138.187/redmine/issues/83615", "83615")</f>
        <v>83615</v>
      </c>
      <c r="C68" s="239">
        <v>46066.0</v>
      </c>
      <c r="D68" s="245" t="s">
        <v>248</v>
      </c>
      <c r="E68" s="242" t="s">
        <v>47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0"/>
      <c r="AJ68" s="20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0"/>
      <c r="AW68" s="20"/>
      <c r="AX68" s="22"/>
      <c r="AY68" s="22"/>
      <c r="AZ68" s="22"/>
      <c r="BA68" s="22"/>
      <c r="BB68" s="22"/>
      <c r="BC68" s="22"/>
      <c r="BD68" s="20">
        <v>1.0</v>
      </c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  <c r="IZ68" s="22"/>
      <c r="JA68" s="22"/>
      <c r="JB68" s="22"/>
      <c r="JC68" s="22"/>
      <c r="JD68" s="22"/>
      <c r="JE68" s="22"/>
      <c r="JF68" s="22"/>
      <c r="JG68" s="22"/>
      <c r="JH68" s="22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2"/>
      <c r="LK68" s="22"/>
      <c r="LL68" s="22"/>
      <c r="LM68" s="22"/>
      <c r="LN68" s="22"/>
      <c r="LO68" s="22"/>
      <c r="LP68" s="22"/>
      <c r="LQ68" s="22"/>
      <c r="LR68" s="22"/>
      <c r="LS68" s="22"/>
      <c r="LT68" s="22"/>
      <c r="LU68" s="22"/>
      <c r="LV68" s="22"/>
      <c r="LW68" s="22"/>
      <c r="LX68" s="22"/>
      <c r="LY68" s="22"/>
      <c r="LZ68" s="22"/>
      <c r="MA68" s="22"/>
      <c r="MB68" s="22"/>
      <c r="MC68" s="22"/>
      <c r="MD68" s="22"/>
      <c r="ME68" s="22"/>
      <c r="MF68" s="22"/>
      <c r="MG68" s="22"/>
      <c r="MH68" s="22"/>
      <c r="MI68" s="22"/>
      <c r="MJ68" s="22"/>
      <c r="MK68" s="22"/>
      <c r="ML68" s="22"/>
      <c r="MM68" s="22"/>
      <c r="MN68" s="22"/>
      <c r="MO68" s="22"/>
      <c r="MP68" s="22"/>
      <c r="MQ68" s="22"/>
      <c r="MR68" s="22"/>
      <c r="MS68" s="22"/>
      <c r="MT68" s="22"/>
      <c r="MU68" s="22"/>
      <c r="MV68" s="22"/>
      <c r="MW68" s="22"/>
      <c r="MX68" s="22"/>
      <c r="MY68" s="22"/>
      <c r="MZ68" s="22"/>
      <c r="NA68" s="22"/>
      <c r="NB68" s="22"/>
      <c r="NC68" s="22"/>
      <c r="ND68" s="22"/>
      <c r="NE68" s="22"/>
      <c r="NF68" s="22"/>
    </row>
    <row r="69" ht="15.75" hidden="1" customHeight="1">
      <c r="A69" s="237"/>
      <c r="B69" s="267" t="str">
        <f>HYPERLINK("http://210.108.138.187/redmine/issues/83619", "83619")</f>
        <v>83619</v>
      </c>
      <c r="C69" s="239">
        <v>46076.0</v>
      </c>
      <c r="D69" s="245" t="s">
        <v>249</v>
      </c>
      <c r="E69" s="242" t="s">
        <v>47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0"/>
      <c r="AJ69" s="20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0"/>
      <c r="AW69" s="20"/>
      <c r="AX69" s="22"/>
      <c r="AY69" s="22"/>
      <c r="AZ69" s="22"/>
      <c r="BA69" s="22"/>
      <c r="BB69" s="22"/>
      <c r="BC69" s="22"/>
      <c r="BD69" s="20">
        <v>1.0</v>
      </c>
      <c r="BE69" s="22"/>
      <c r="BF69" s="22"/>
      <c r="BG69" s="20">
        <v>1.0</v>
      </c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  <c r="IZ69" s="22"/>
      <c r="JA69" s="22"/>
      <c r="JB69" s="22"/>
      <c r="JC69" s="22"/>
      <c r="JD69" s="22"/>
      <c r="JE69" s="22"/>
      <c r="JF69" s="22"/>
      <c r="JG69" s="22"/>
      <c r="JH69" s="22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2"/>
      <c r="LK69" s="22"/>
      <c r="LL69" s="22"/>
      <c r="LM69" s="22"/>
      <c r="LN69" s="22"/>
      <c r="LO69" s="22"/>
      <c r="LP69" s="22"/>
      <c r="LQ69" s="22"/>
      <c r="LR69" s="22"/>
      <c r="LS69" s="22"/>
      <c r="LT69" s="22"/>
      <c r="LU69" s="22"/>
      <c r="LV69" s="22"/>
      <c r="LW69" s="22"/>
      <c r="LX69" s="22"/>
      <c r="LY69" s="22"/>
      <c r="LZ69" s="22"/>
      <c r="MA69" s="22"/>
      <c r="MB69" s="22"/>
      <c r="MC69" s="22"/>
      <c r="MD69" s="22"/>
      <c r="ME69" s="22"/>
      <c r="MF69" s="22"/>
      <c r="MG69" s="22"/>
      <c r="MH69" s="22"/>
      <c r="MI69" s="22"/>
      <c r="MJ69" s="22"/>
      <c r="MK69" s="22"/>
      <c r="ML69" s="22"/>
      <c r="MM69" s="22"/>
      <c r="MN69" s="22"/>
      <c r="MO69" s="22"/>
      <c r="MP69" s="22"/>
      <c r="MQ69" s="22"/>
      <c r="MR69" s="22"/>
      <c r="MS69" s="22"/>
      <c r="MT69" s="22"/>
      <c r="MU69" s="22"/>
      <c r="MV69" s="22"/>
      <c r="MW69" s="22"/>
      <c r="MX69" s="22"/>
      <c r="MY69" s="22"/>
      <c r="MZ69" s="22"/>
      <c r="NA69" s="22"/>
      <c r="NB69" s="22"/>
      <c r="NC69" s="22"/>
      <c r="ND69" s="22"/>
      <c r="NE69" s="22"/>
      <c r="NF69" s="22"/>
    </row>
    <row r="70" ht="15.75" hidden="1" customHeight="1">
      <c r="A70" s="237"/>
      <c r="B70" s="267"/>
      <c r="C70" s="239">
        <v>46076.0</v>
      </c>
      <c r="D70" s="245" t="s">
        <v>250</v>
      </c>
      <c r="E70" s="242" t="s">
        <v>47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0"/>
      <c r="AJ70" s="20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0"/>
      <c r="AW70" s="20"/>
      <c r="AX70" s="22"/>
      <c r="AY70" s="22"/>
      <c r="AZ70" s="22"/>
      <c r="BA70" s="22"/>
      <c r="BB70" s="22"/>
      <c r="BC70" s="22"/>
      <c r="BD70" s="20">
        <v>2.0</v>
      </c>
      <c r="BE70" s="22"/>
      <c r="BF70" s="22"/>
      <c r="BG70" s="20">
        <v>3.0</v>
      </c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  <c r="IZ70" s="22"/>
      <c r="JA70" s="22"/>
      <c r="JB70" s="22"/>
      <c r="JC70" s="22"/>
      <c r="JD70" s="22"/>
      <c r="JE70" s="22"/>
      <c r="JF70" s="22"/>
      <c r="JG70" s="22"/>
      <c r="JH70" s="22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2"/>
      <c r="LK70" s="22"/>
      <c r="LL70" s="22"/>
      <c r="LM70" s="22"/>
      <c r="LN70" s="22"/>
      <c r="LO70" s="22"/>
      <c r="LP70" s="22"/>
      <c r="LQ70" s="22"/>
      <c r="LR70" s="22"/>
      <c r="LS70" s="22"/>
      <c r="LT70" s="22"/>
      <c r="LU70" s="22"/>
      <c r="LV70" s="22"/>
      <c r="LW70" s="22"/>
      <c r="LX70" s="22"/>
      <c r="LY70" s="22"/>
      <c r="LZ70" s="22"/>
      <c r="MA70" s="22"/>
      <c r="MB70" s="22"/>
      <c r="MC70" s="22"/>
      <c r="MD70" s="22"/>
      <c r="ME70" s="22"/>
      <c r="MF70" s="22"/>
      <c r="MG70" s="22"/>
      <c r="MH70" s="22"/>
      <c r="MI70" s="22"/>
      <c r="MJ70" s="22"/>
      <c r="MK70" s="22"/>
      <c r="ML70" s="22"/>
      <c r="MM70" s="22"/>
      <c r="MN70" s="22"/>
      <c r="MO70" s="22"/>
      <c r="MP70" s="22"/>
      <c r="MQ70" s="22"/>
      <c r="MR70" s="22"/>
      <c r="MS70" s="22"/>
      <c r="MT70" s="22"/>
      <c r="MU70" s="22"/>
      <c r="MV70" s="22"/>
      <c r="MW70" s="22"/>
      <c r="MX70" s="22"/>
      <c r="MY70" s="22"/>
      <c r="MZ70" s="22"/>
      <c r="NA70" s="22"/>
      <c r="NB70" s="22"/>
      <c r="NC70" s="22"/>
      <c r="ND70" s="22"/>
      <c r="NE70" s="22"/>
      <c r="NF70" s="22"/>
    </row>
    <row r="71" ht="15.75" hidden="1" customHeight="1">
      <c r="A71" s="237"/>
      <c r="B71" s="267"/>
      <c r="C71" s="239">
        <v>46077.0</v>
      </c>
      <c r="D71" s="245" t="s">
        <v>251</v>
      </c>
      <c r="E71" s="242" t="s">
        <v>47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0"/>
      <c r="AJ71" s="20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0"/>
      <c r="AW71" s="20"/>
      <c r="AX71" s="22"/>
      <c r="AY71" s="22"/>
      <c r="AZ71" s="22"/>
      <c r="BA71" s="22"/>
      <c r="BB71" s="22"/>
      <c r="BC71" s="22"/>
      <c r="BD71" s="20">
        <v>5.0</v>
      </c>
      <c r="BE71" s="22"/>
      <c r="BF71" s="22"/>
      <c r="BG71" s="20">
        <v>2.0</v>
      </c>
      <c r="BH71" s="20">
        <v>2.0</v>
      </c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  <c r="IZ71" s="22"/>
      <c r="JA71" s="22"/>
      <c r="JB71" s="22"/>
      <c r="JC71" s="22"/>
      <c r="JD71" s="22"/>
      <c r="JE71" s="22"/>
      <c r="JF71" s="22"/>
      <c r="JG71" s="22"/>
      <c r="JH71" s="22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2"/>
      <c r="LK71" s="22"/>
      <c r="LL71" s="22"/>
      <c r="LM71" s="22"/>
      <c r="LN71" s="22"/>
      <c r="LO71" s="22"/>
      <c r="LP71" s="22"/>
      <c r="LQ71" s="22"/>
      <c r="LR71" s="22"/>
      <c r="LS71" s="22"/>
      <c r="LT71" s="22"/>
      <c r="LU71" s="22"/>
      <c r="LV71" s="22"/>
      <c r="LW71" s="22"/>
      <c r="LX71" s="22"/>
      <c r="LY71" s="22"/>
      <c r="LZ71" s="22"/>
      <c r="MA71" s="22"/>
      <c r="MB71" s="22"/>
      <c r="MC71" s="22"/>
      <c r="MD71" s="22"/>
      <c r="ME71" s="22"/>
      <c r="MF71" s="22"/>
      <c r="MG71" s="22"/>
      <c r="MH71" s="22"/>
      <c r="MI71" s="22"/>
      <c r="MJ71" s="22"/>
      <c r="MK71" s="22"/>
      <c r="ML71" s="22"/>
      <c r="MM71" s="22"/>
      <c r="MN71" s="22"/>
      <c r="MO71" s="22"/>
      <c r="MP71" s="22"/>
      <c r="MQ71" s="22"/>
      <c r="MR71" s="22"/>
      <c r="MS71" s="22"/>
      <c r="MT71" s="22"/>
      <c r="MU71" s="22"/>
      <c r="MV71" s="22"/>
      <c r="MW71" s="22"/>
      <c r="MX71" s="22"/>
      <c r="MY71" s="22"/>
      <c r="MZ71" s="22"/>
      <c r="NA71" s="22"/>
      <c r="NB71" s="22"/>
      <c r="NC71" s="22"/>
      <c r="ND71" s="22"/>
      <c r="NE71" s="22"/>
      <c r="NF71" s="22"/>
    </row>
    <row r="72" ht="15.75" hidden="1" customHeight="1">
      <c r="A72" s="237"/>
      <c r="B72" s="267"/>
      <c r="C72" s="239">
        <v>46078.0</v>
      </c>
      <c r="D72" s="245" t="s">
        <v>252</v>
      </c>
      <c r="E72" s="242" t="s">
        <v>47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0"/>
      <c r="AJ72" s="20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0"/>
      <c r="AW72" s="20"/>
      <c r="AX72" s="22"/>
      <c r="AY72" s="22"/>
      <c r="AZ72" s="22"/>
      <c r="BA72" s="22"/>
      <c r="BB72" s="22"/>
      <c r="BC72" s="22"/>
      <c r="BD72" s="22"/>
      <c r="BE72" s="22"/>
      <c r="BF72" s="22"/>
      <c r="BG72" s="20">
        <v>1.0</v>
      </c>
      <c r="BH72" s="20">
        <v>6.0</v>
      </c>
      <c r="BI72" s="20">
        <v>2.0</v>
      </c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  <c r="IZ72" s="22"/>
      <c r="JA72" s="22"/>
      <c r="JB72" s="22"/>
      <c r="JC72" s="22"/>
      <c r="JD72" s="22"/>
      <c r="JE72" s="22"/>
      <c r="JF72" s="22"/>
      <c r="JG72" s="22"/>
      <c r="JH72" s="22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2"/>
      <c r="LK72" s="22"/>
      <c r="LL72" s="22"/>
      <c r="LM72" s="22"/>
      <c r="LN72" s="22"/>
      <c r="LO72" s="22"/>
      <c r="LP72" s="22"/>
      <c r="LQ72" s="22"/>
      <c r="LR72" s="22"/>
      <c r="LS72" s="22"/>
      <c r="LT72" s="22"/>
      <c r="LU72" s="22"/>
      <c r="LV72" s="22"/>
      <c r="LW72" s="22"/>
      <c r="LX72" s="22"/>
      <c r="LY72" s="22"/>
      <c r="LZ72" s="22"/>
      <c r="MA72" s="22"/>
      <c r="MB72" s="22"/>
      <c r="MC72" s="22"/>
      <c r="MD72" s="22"/>
      <c r="ME72" s="22"/>
      <c r="MF72" s="22"/>
      <c r="MG72" s="22"/>
      <c r="MH72" s="22"/>
      <c r="MI72" s="22"/>
      <c r="MJ72" s="22"/>
      <c r="MK72" s="22"/>
      <c r="ML72" s="22"/>
      <c r="MM72" s="22"/>
      <c r="MN72" s="22"/>
      <c r="MO72" s="22"/>
      <c r="MP72" s="22"/>
      <c r="MQ72" s="22"/>
      <c r="MR72" s="22"/>
      <c r="MS72" s="22"/>
      <c r="MT72" s="22"/>
      <c r="MU72" s="22"/>
      <c r="MV72" s="22"/>
      <c r="MW72" s="22"/>
      <c r="MX72" s="22"/>
      <c r="MY72" s="22"/>
      <c r="MZ72" s="22"/>
      <c r="NA72" s="22"/>
      <c r="NB72" s="22"/>
      <c r="NC72" s="22"/>
      <c r="ND72" s="22"/>
      <c r="NE72" s="22"/>
      <c r="NF72" s="22"/>
    </row>
    <row r="73" ht="15.75" hidden="1" customHeight="1">
      <c r="A73" s="237"/>
      <c r="B73" s="267"/>
      <c r="C73" s="239">
        <v>46079.0</v>
      </c>
      <c r="D73" s="245" t="s">
        <v>253</v>
      </c>
      <c r="E73" s="242" t="s">
        <v>47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0"/>
      <c r="AJ73" s="20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0"/>
      <c r="AW73" s="20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0">
        <v>8.0</v>
      </c>
      <c r="BJ73" s="20">
        <v>3.0</v>
      </c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  <c r="IZ73" s="22"/>
      <c r="JA73" s="22"/>
      <c r="JB73" s="22"/>
      <c r="JC73" s="22"/>
      <c r="JD73" s="22"/>
      <c r="JE73" s="22"/>
      <c r="JF73" s="22"/>
      <c r="JG73" s="22"/>
      <c r="JH73" s="22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2"/>
      <c r="LK73" s="22"/>
      <c r="LL73" s="22"/>
      <c r="LM73" s="22"/>
      <c r="LN73" s="22"/>
      <c r="LO73" s="22"/>
      <c r="LP73" s="22"/>
      <c r="LQ73" s="22"/>
      <c r="LR73" s="22"/>
      <c r="LS73" s="22"/>
      <c r="LT73" s="22"/>
      <c r="LU73" s="22"/>
      <c r="LV73" s="22"/>
      <c r="LW73" s="22"/>
      <c r="LX73" s="22"/>
      <c r="LY73" s="22"/>
      <c r="LZ73" s="22"/>
      <c r="MA73" s="22"/>
      <c r="MB73" s="22"/>
      <c r="MC73" s="22"/>
      <c r="MD73" s="22"/>
      <c r="ME73" s="22"/>
      <c r="MF73" s="22"/>
      <c r="MG73" s="22"/>
      <c r="MH73" s="22"/>
      <c r="MI73" s="22"/>
      <c r="MJ73" s="22"/>
      <c r="MK73" s="22"/>
      <c r="ML73" s="22"/>
      <c r="MM73" s="22"/>
      <c r="MN73" s="22"/>
      <c r="MO73" s="22"/>
      <c r="MP73" s="22"/>
      <c r="MQ73" s="22"/>
      <c r="MR73" s="22"/>
      <c r="MS73" s="22"/>
      <c r="MT73" s="22"/>
      <c r="MU73" s="22"/>
      <c r="MV73" s="22"/>
      <c r="MW73" s="22"/>
      <c r="MX73" s="22"/>
      <c r="MY73" s="22"/>
      <c r="MZ73" s="22"/>
      <c r="NA73" s="22"/>
      <c r="NB73" s="22"/>
      <c r="NC73" s="22"/>
      <c r="ND73" s="22"/>
      <c r="NE73" s="22"/>
      <c r="NF73" s="22"/>
    </row>
    <row r="74" ht="15.75" hidden="1" customHeight="1">
      <c r="A74" s="237"/>
      <c r="B74" s="267"/>
      <c r="C74" s="239">
        <v>46080.0</v>
      </c>
      <c r="D74" s="245" t="s">
        <v>254</v>
      </c>
      <c r="E74" s="242" t="s">
        <v>47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0"/>
      <c r="AJ74" s="20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0"/>
      <c r="AW74" s="20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0">
        <v>1.0</v>
      </c>
      <c r="BK74" s="20">
        <v>2.0</v>
      </c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  <c r="IZ74" s="22"/>
      <c r="JA74" s="22"/>
      <c r="JB74" s="22"/>
      <c r="JC74" s="22"/>
      <c r="JD74" s="22"/>
      <c r="JE74" s="22"/>
      <c r="JF74" s="22"/>
      <c r="JG74" s="22"/>
      <c r="JH74" s="22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2"/>
      <c r="LK74" s="22"/>
      <c r="LL74" s="22"/>
      <c r="LM74" s="22"/>
      <c r="LN74" s="22"/>
      <c r="LO74" s="22"/>
      <c r="LP74" s="22"/>
      <c r="LQ74" s="22"/>
      <c r="LR74" s="22"/>
      <c r="LS74" s="22"/>
      <c r="LT74" s="22"/>
      <c r="LU74" s="22"/>
      <c r="LV74" s="22"/>
      <c r="LW74" s="22"/>
      <c r="LX74" s="22"/>
      <c r="LY74" s="22"/>
      <c r="LZ74" s="22"/>
      <c r="MA74" s="22"/>
      <c r="MB74" s="22"/>
      <c r="MC74" s="22"/>
      <c r="MD74" s="22"/>
      <c r="ME74" s="22"/>
      <c r="MF74" s="22"/>
      <c r="MG74" s="22"/>
      <c r="MH74" s="22"/>
      <c r="MI74" s="22"/>
      <c r="MJ74" s="22"/>
      <c r="MK74" s="22"/>
      <c r="ML74" s="22"/>
      <c r="MM74" s="22"/>
      <c r="MN74" s="22"/>
      <c r="MO74" s="22"/>
      <c r="MP74" s="22"/>
      <c r="MQ74" s="22"/>
      <c r="MR74" s="22"/>
      <c r="MS74" s="22"/>
      <c r="MT74" s="22"/>
      <c r="MU74" s="22"/>
      <c r="MV74" s="22"/>
      <c r="MW74" s="22"/>
      <c r="MX74" s="22"/>
      <c r="MY74" s="22"/>
      <c r="MZ74" s="22"/>
      <c r="NA74" s="22"/>
      <c r="NB74" s="22"/>
      <c r="NC74" s="22"/>
      <c r="ND74" s="22"/>
      <c r="NE74" s="22"/>
      <c r="NF74" s="22"/>
    </row>
    <row r="75" ht="15.75" hidden="1" customHeight="1">
      <c r="A75" s="237"/>
      <c r="B75" s="267"/>
      <c r="C75" s="239">
        <v>46101.0</v>
      </c>
      <c r="D75" s="245" t="s">
        <v>255</v>
      </c>
      <c r="E75" s="242" t="s">
        <v>47</v>
      </c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0"/>
      <c r="AJ75" s="20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0"/>
      <c r="AW75" s="20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0">
        <v>3.0</v>
      </c>
      <c r="BL75" s="22"/>
      <c r="BM75" s="22"/>
      <c r="BN75" s="22"/>
      <c r="BO75" s="22"/>
      <c r="BP75" s="20">
        <v>1.0</v>
      </c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0">
        <v>5.0</v>
      </c>
      <c r="CE75" s="20">
        <v>3.0</v>
      </c>
      <c r="CF75" s="20">
        <v>6.0</v>
      </c>
      <c r="CG75" s="22"/>
      <c r="CH75" s="22"/>
      <c r="CI75" s="20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  <c r="IZ75" s="22"/>
      <c r="JA75" s="22"/>
      <c r="JB75" s="22"/>
      <c r="JC75" s="22"/>
      <c r="JD75" s="22"/>
      <c r="JE75" s="22"/>
      <c r="JF75" s="22"/>
      <c r="JG75" s="22"/>
      <c r="JH75" s="22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2"/>
      <c r="LK75" s="22"/>
      <c r="LL75" s="22"/>
      <c r="LM75" s="22"/>
      <c r="LN75" s="22"/>
      <c r="LO75" s="22"/>
      <c r="LP75" s="22"/>
      <c r="LQ75" s="22"/>
      <c r="LR75" s="22"/>
      <c r="LS75" s="22"/>
      <c r="LT75" s="22"/>
      <c r="LU75" s="22"/>
      <c r="LV75" s="22"/>
      <c r="LW75" s="22"/>
      <c r="LX75" s="22"/>
      <c r="LY75" s="22"/>
      <c r="LZ75" s="22"/>
      <c r="MA75" s="22"/>
      <c r="MB75" s="22"/>
      <c r="MC75" s="22"/>
      <c r="MD75" s="22"/>
      <c r="ME75" s="22"/>
      <c r="MF75" s="22"/>
      <c r="MG75" s="22"/>
      <c r="MH75" s="22"/>
      <c r="MI75" s="22"/>
      <c r="MJ75" s="22"/>
      <c r="MK75" s="22"/>
      <c r="ML75" s="22"/>
      <c r="MM75" s="22"/>
      <c r="MN75" s="22"/>
      <c r="MO75" s="22"/>
      <c r="MP75" s="22"/>
      <c r="MQ75" s="22"/>
      <c r="MR75" s="22"/>
      <c r="MS75" s="22"/>
      <c r="MT75" s="22"/>
      <c r="MU75" s="22"/>
      <c r="MV75" s="22"/>
      <c r="MW75" s="22"/>
      <c r="MX75" s="22"/>
      <c r="MY75" s="22"/>
      <c r="MZ75" s="22"/>
      <c r="NA75" s="22"/>
      <c r="NB75" s="22"/>
      <c r="NC75" s="22"/>
      <c r="ND75" s="22"/>
      <c r="NE75" s="22"/>
      <c r="NF75" s="22"/>
    </row>
    <row r="76" ht="15.75" hidden="1" customHeight="1">
      <c r="A76" s="237"/>
      <c r="B76" s="267"/>
      <c r="C76" s="239">
        <v>46084.0</v>
      </c>
      <c r="D76" s="245" t="s">
        <v>256</v>
      </c>
      <c r="E76" s="242" t="s">
        <v>47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0"/>
      <c r="AJ76" s="20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0"/>
      <c r="AW76" s="20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0">
        <v>2.0</v>
      </c>
      <c r="BL76" s="22"/>
      <c r="BM76" s="22"/>
      <c r="BN76" s="22"/>
      <c r="BO76" s="20">
        <v>3.0</v>
      </c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73"/>
      <c r="CE76" s="73"/>
      <c r="CF76" s="73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  <c r="IZ76" s="22"/>
      <c r="JA76" s="22"/>
      <c r="JB76" s="22"/>
      <c r="JC76" s="22"/>
      <c r="JD76" s="22"/>
      <c r="JE76" s="22"/>
      <c r="JF76" s="22"/>
      <c r="JG76" s="22"/>
      <c r="JH76" s="22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2"/>
      <c r="LK76" s="22"/>
      <c r="LL76" s="22"/>
      <c r="LM76" s="22"/>
      <c r="LN76" s="22"/>
      <c r="LO76" s="22"/>
      <c r="LP76" s="22"/>
      <c r="LQ76" s="22"/>
      <c r="LR76" s="22"/>
      <c r="LS76" s="22"/>
      <c r="LT76" s="22"/>
      <c r="LU76" s="22"/>
      <c r="LV76" s="22"/>
      <c r="LW76" s="22"/>
      <c r="LX76" s="22"/>
      <c r="LY76" s="22"/>
      <c r="LZ76" s="22"/>
      <c r="MA76" s="22"/>
      <c r="MB76" s="22"/>
      <c r="MC76" s="22"/>
      <c r="MD76" s="22"/>
      <c r="ME76" s="22"/>
      <c r="MF76" s="22"/>
      <c r="MG76" s="22"/>
      <c r="MH76" s="22"/>
      <c r="MI76" s="22"/>
      <c r="MJ76" s="22"/>
      <c r="MK76" s="22"/>
      <c r="ML76" s="22"/>
      <c r="MM76" s="22"/>
      <c r="MN76" s="22"/>
      <c r="MO76" s="22"/>
      <c r="MP76" s="22"/>
      <c r="MQ76" s="22"/>
      <c r="MR76" s="22"/>
      <c r="MS76" s="22"/>
      <c r="MT76" s="22"/>
      <c r="MU76" s="22"/>
      <c r="MV76" s="22"/>
      <c r="MW76" s="22"/>
      <c r="MX76" s="22"/>
      <c r="MY76" s="22"/>
      <c r="MZ76" s="22"/>
      <c r="NA76" s="22"/>
      <c r="NB76" s="22"/>
      <c r="NC76" s="22"/>
      <c r="ND76" s="22"/>
      <c r="NE76" s="22"/>
      <c r="NF76" s="22"/>
    </row>
    <row r="77" ht="15.75" hidden="1" customHeight="1">
      <c r="A77" s="237"/>
      <c r="B77" s="267"/>
      <c r="C77" s="239">
        <v>46084.0</v>
      </c>
      <c r="D77" s="245" t="s">
        <v>257</v>
      </c>
      <c r="E77" s="242" t="s">
        <v>47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0"/>
      <c r="AJ77" s="20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0"/>
      <c r="AW77" s="20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0"/>
      <c r="BJ77" s="20">
        <v>4.0</v>
      </c>
      <c r="BK77" s="20">
        <v>1.0</v>
      </c>
      <c r="BL77" s="22"/>
      <c r="BM77" s="22"/>
      <c r="BN77" s="22"/>
      <c r="BO77" s="20" t="s">
        <v>234</v>
      </c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  <c r="IZ77" s="22"/>
      <c r="JA77" s="22"/>
      <c r="JB77" s="22"/>
      <c r="JC77" s="22"/>
      <c r="JD77" s="22"/>
      <c r="JE77" s="22"/>
      <c r="JF77" s="22"/>
      <c r="JG77" s="22"/>
      <c r="JH77" s="22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2"/>
      <c r="LK77" s="22"/>
      <c r="LL77" s="22"/>
      <c r="LM77" s="22"/>
      <c r="LN77" s="22"/>
      <c r="LO77" s="22"/>
      <c r="LP77" s="22"/>
      <c r="LQ77" s="22"/>
      <c r="LR77" s="22"/>
      <c r="LS77" s="22"/>
      <c r="LT77" s="22"/>
      <c r="LU77" s="22"/>
      <c r="LV77" s="22"/>
      <c r="LW77" s="22"/>
      <c r="LX77" s="22"/>
      <c r="LY77" s="22"/>
      <c r="LZ77" s="22"/>
      <c r="MA77" s="22"/>
      <c r="MB77" s="22"/>
      <c r="MC77" s="22"/>
      <c r="MD77" s="22"/>
      <c r="ME77" s="22"/>
      <c r="MF77" s="22"/>
      <c r="MG77" s="22"/>
      <c r="MH77" s="22"/>
      <c r="MI77" s="22"/>
      <c r="MJ77" s="22"/>
      <c r="MK77" s="22"/>
      <c r="ML77" s="22"/>
      <c r="MM77" s="22"/>
      <c r="MN77" s="22"/>
      <c r="MO77" s="22"/>
      <c r="MP77" s="22"/>
      <c r="MQ77" s="22"/>
      <c r="MR77" s="22"/>
      <c r="MS77" s="22"/>
      <c r="MT77" s="22"/>
      <c r="MU77" s="22"/>
      <c r="MV77" s="22"/>
      <c r="MW77" s="22"/>
      <c r="MX77" s="22"/>
      <c r="MY77" s="22"/>
      <c r="MZ77" s="22"/>
      <c r="NA77" s="22"/>
      <c r="NB77" s="22"/>
      <c r="NC77" s="22"/>
      <c r="ND77" s="22"/>
      <c r="NE77" s="22"/>
      <c r="NF77" s="22"/>
    </row>
    <row r="78" ht="15.75" hidden="1" customHeight="1">
      <c r="A78" s="237"/>
      <c r="B78" s="267"/>
      <c r="C78" s="239">
        <v>46084.0</v>
      </c>
      <c r="D78" s="274" t="s">
        <v>258</v>
      </c>
      <c r="E78" s="242" t="s">
        <v>47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0"/>
      <c r="AJ78" s="20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0"/>
      <c r="BJ78" s="20"/>
      <c r="BK78" s="20"/>
      <c r="BL78" s="22"/>
      <c r="BM78" s="22"/>
      <c r="BN78" s="22"/>
      <c r="BO78" s="20">
        <v>6.0</v>
      </c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  <c r="IZ78" s="22"/>
      <c r="JA78" s="22"/>
      <c r="JB78" s="22"/>
      <c r="JC78" s="22"/>
      <c r="JD78" s="22"/>
      <c r="JE78" s="22"/>
      <c r="JF78" s="22"/>
      <c r="JG78" s="22"/>
      <c r="JH78" s="22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2"/>
      <c r="LK78" s="22"/>
      <c r="LL78" s="22"/>
      <c r="LM78" s="22"/>
      <c r="LN78" s="22"/>
      <c r="LO78" s="22"/>
      <c r="LP78" s="22"/>
      <c r="LQ78" s="20"/>
      <c r="LR78" s="22"/>
      <c r="LS78" s="22"/>
      <c r="LT78" s="22"/>
      <c r="LU78" s="22"/>
      <c r="LV78" s="22"/>
      <c r="LW78" s="22"/>
      <c r="LX78" s="22"/>
      <c r="LY78" s="22"/>
      <c r="LZ78" s="22"/>
      <c r="MA78" s="22"/>
      <c r="MB78" s="22"/>
      <c r="MC78" s="22"/>
      <c r="MD78" s="22"/>
      <c r="ME78" s="22"/>
      <c r="MF78" s="22"/>
      <c r="MG78" s="22"/>
      <c r="MH78" s="22"/>
      <c r="MI78" s="22"/>
      <c r="MJ78" s="22"/>
      <c r="MK78" s="22"/>
      <c r="ML78" s="22"/>
      <c r="MM78" s="22"/>
      <c r="MN78" s="22"/>
      <c r="MO78" s="22"/>
      <c r="MP78" s="22"/>
      <c r="MQ78" s="22"/>
      <c r="MR78" s="22"/>
      <c r="MS78" s="22"/>
      <c r="MT78" s="22"/>
      <c r="MU78" s="22"/>
      <c r="MV78" s="22"/>
      <c r="MW78" s="22"/>
      <c r="MX78" s="22"/>
      <c r="MY78" s="22"/>
      <c r="MZ78" s="22"/>
      <c r="NA78" s="22"/>
      <c r="NB78" s="22"/>
      <c r="NC78" s="22"/>
      <c r="ND78" s="22"/>
      <c r="NE78" s="22"/>
      <c r="NF78" s="22"/>
    </row>
    <row r="79" ht="15.75" hidden="1" customHeight="1">
      <c r="A79" s="237"/>
      <c r="B79" s="267"/>
      <c r="C79" s="239">
        <v>46086.0</v>
      </c>
      <c r="D79" s="245" t="s">
        <v>259</v>
      </c>
      <c r="E79" s="242" t="s">
        <v>47</v>
      </c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0"/>
      <c r="AJ79" s="20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0"/>
      <c r="AW79" s="20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0"/>
      <c r="BJ79" s="20"/>
      <c r="BK79" s="20"/>
      <c r="BL79" s="22"/>
      <c r="BM79" s="22"/>
      <c r="BN79" s="22"/>
      <c r="BO79" s="22"/>
      <c r="BP79" s="20">
        <v>5.0</v>
      </c>
      <c r="BQ79" s="20" t="s">
        <v>234</v>
      </c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  <c r="IZ79" s="22"/>
      <c r="JA79" s="22"/>
      <c r="JB79" s="22"/>
      <c r="JC79" s="22"/>
      <c r="JD79" s="22"/>
      <c r="JE79" s="22"/>
      <c r="JF79" s="22"/>
      <c r="JG79" s="22"/>
      <c r="JH79" s="22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2"/>
      <c r="LK79" s="22"/>
      <c r="LL79" s="22"/>
      <c r="LM79" s="22"/>
      <c r="LN79" s="22"/>
      <c r="LO79" s="22"/>
      <c r="LP79" s="22"/>
      <c r="LQ79" s="22"/>
      <c r="LR79" s="22"/>
      <c r="LS79" s="22"/>
      <c r="LT79" s="22"/>
      <c r="LU79" s="22"/>
      <c r="LV79" s="22"/>
      <c r="LW79" s="22"/>
      <c r="LX79" s="22"/>
      <c r="LY79" s="22"/>
      <c r="LZ79" s="22"/>
      <c r="MA79" s="22"/>
      <c r="MB79" s="22"/>
      <c r="MC79" s="22"/>
      <c r="MD79" s="22"/>
      <c r="ME79" s="22"/>
      <c r="MF79" s="22"/>
      <c r="MG79" s="22"/>
      <c r="MH79" s="22"/>
      <c r="MI79" s="22"/>
      <c r="MJ79" s="22"/>
      <c r="MK79" s="22"/>
      <c r="ML79" s="22"/>
      <c r="MM79" s="22"/>
      <c r="MN79" s="22"/>
      <c r="MO79" s="22"/>
      <c r="MP79" s="22"/>
      <c r="MQ79" s="22"/>
      <c r="MR79" s="22"/>
      <c r="MS79" s="22"/>
      <c r="MT79" s="22"/>
      <c r="MU79" s="22"/>
      <c r="MV79" s="22"/>
      <c r="MW79" s="22"/>
      <c r="MX79" s="22"/>
      <c r="MY79" s="22"/>
      <c r="MZ79" s="22"/>
      <c r="NA79" s="22"/>
      <c r="NB79" s="22"/>
      <c r="NC79" s="22"/>
      <c r="ND79" s="22"/>
      <c r="NE79" s="22"/>
      <c r="NF79" s="22"/>
    </row>
    <row r="80" ht="15.75" hidden="1" customHeight="1">
      <c r="A80" s="237"/>
      <c r="B80" s="267"/>
      <c r="C80" s="239">
        <v>46087.0</v>
      </c>
      <c r="D80" s="245" t="s">
        <v>260</v>
      </c>
      <c r="E80" s="242" t="s">
        <v>47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0"/>
      <c r="AJ80" s="20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0"/>
      <c r="AW80" s="20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0"/>
      <c r="BJ80" s="20"/>
      <c r="BK80" s="20"/>
      <c r="BL80" s="22"/>
      <c r="BM80" s="22"/>
      <c r="BN80" s="22"/>
      <c r="BO80" s="22"/>
      <c r="BP80" s="20">
        <v>1.0</v>
      </c>
      <c r="BQ80" s="20">
        <v>4.0</v>
      </c>
      <c r="BR80" s="20">
        <v>1.0</v>
      </c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  <c r="IZ80" s="22"/>
      <c r="JA80" s="22"/>
      <c r="JB80" s="22"/>
      <c r="JC80" s="22"/>
      <c r="JD80" s="22"/>
      <c r="JE80" s="22"/>
      <c r="JF80" s="22"/>
      <c r="JG80" s="22"/>
      <c r="JH80" s="22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2"/>
      <c r="LK80" s="22"/>
      <c r="LL80" s="22"/>
      <c r="LM80" s="22"/>
      <c r="LN80" s="22"/>
      <c r="LO80" s="22"/>
      <c r="LP80" s="22"/>
      <c r="LQ80" s="22"/>
      <c r="LR80" s="22"/>
      <c r="LS80" s="22"/>
      <c r="LT80" s="22"/>
      <c r="LU80" s="22"/>
      <c r="LV80" s="22"/>
      <c r="LW80" s="22"/>
      <c r="LX80" s="22"/>
      <c r="LY80" s="22"/>
      <c r="LZ80" s="22"/>
      <c r="MA80" s="22"/>
      <c r="MB80" s="22"/>
      <c r="MC80" s="22"/>
      <c r="MD80" s="22"/>
      <c r="ME80" s="22"/>
      <c r="MF80" s="22"/>
      <c r="MG80" s="22"/>
      <c r="MH80" s="22"/>
      <c r="MI80" s="22"/>
      <c r="MJ80" s="22"/>
      <c r="MK80" s="22"/>
      <c r="ML80" s="22"/>
      <c r="MM80" s="22"/>
      <c r="MN80" s="22"/>
      <c r="MO80" s="22"/>
      <c r="MP80" s="22"/>
      <c r="MQ80" s="22"/>
      <c r="MR80" s="22"/>
      <c r="MS80" s="22"/>
      <c r="MT80" s="22"/>
      <c r="MU80" s="22"/>
      <c r="MV80" s="22"/>
      <c r="MW80" s="22"/>
      <c r="MX80" s="22"/>
      <c r="MY80" s="22"/>
      <c r="MZ80" s="22"/>
      <c r="NA80" s="22"/>
      <c r="NB80" s="22"/>
      <c r="NC80" s="22"/>
      <c r="ND80" s="22"/>
      <c r="NE80" s="22"/>
      <c r="NF80" s="22"/>
    </row>
    <row r="81" ht="15.75" hidden="1" customHeight="1">
      <c r="A81" s="237"/>
      <c r="B81" s="267"/>
      <c r="C81" s="239">
        <v>46091.0</v>
      </c>
      <c r="D81" s="245" t="s">
        <v>261</v>
      </c>
      <c r="E81" s="242" t="s">
        <v>47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0"/>
      <c r="AJ81" s="20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0"/>
      <c r="AW81" s="20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0"/>
      <c r="BJ81" s="20"/>
      <c r="BK81" s="20"/>
      <c r="BL81" s="22"/>
      <c r="BM81" s="22"/>
      <c r="BN81" s="22"/>
      <c r="BO81" s="22"/>
      <c r="BP81" s="22"/>
      <c r="BQ81" s="20">
        <v>2.0</v>
      </c>
      <c r="BR81" s="22"/>
      <c r="BS81" s="22"/>
      <c r="BT81" s="22"/>
      <c r="BU81" s="20">
        <v>2.0</v>
      </c>
      <c r="BV81" s="20">
        <v>1.0</v>
      </c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  <c r="IZ81" s="22"/>
      <c r="JA81" s="22"/>
      <c r="JB81" s="22"/>
      <c r="JC81" s="22"/>
      <c r="JD81" s="22"/>
      <c r="JE81" s="22"/>
      <c r="JF81" s="22"/>
      <c r="JG81" s="22"/>
      <c r="JH81" s="22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2"/>
      <c r="LK81" s="22"/>
      <c r="LL81" s="22"/>
      <c r="LM81" s="22"/>
      <c r="LN81" s="22"/>
      <c r="LO81" s="22"/>
      <c r="LP81" s="22"/>
      <c r="LQ81" s="22"/>
      <c r="LR81" s="22"/>
      <c r="LS81" s="22"/>
      <c r="LT81" s="22"/>
      <c r="LU81" s="22"/>
      <c r="LV81" s="22"/>
      <c r="LW81" s="22"/>
      <c r="LX81" s="22"/>
      <c r="LY81" s="22"/>
      <c r="LZ81" s="22"/>
      <c r="MA81" s="22"/>
      <c r="MB81" s="22"/>
      <c r="MC81" s="22"/>
      <c r="MD81" s="22"/>
      <c r="ME81" s="22"/>
      <c r="MF81" s="22"/>
      <c r="MG81" s="22"/>
      <c r="MH81" s="22"/>
      <c r="MI81" s="22"/>
      <c r="MJ81" s="22"/>
      <c r="MK81" s="22"/>
      <c r="ML81" s="22"/>
      <c r="MM81" s="22"/>
      <c r="MN81" s="22"/>
      <c r="MO81" s="22"/>
      <c r="MP81" s="22"/>
      <c r="MQ81" s="22"/>
      <c r="MR81" s="22"/>
      <c r="MS81" s="22"/>
      <c r="MT81" s="22"/>
      <c r="MU81" s="22"/>
      <c r="MV81" s="22"/>
      <c r="MW81" s="22"/>
      <c r="MX81" s="22"/>
      <c r="MY81" s="22"/>
      <c r="MZ81" s="22"/>
      <c r="NA81" s="22"/>
      <c r="NB81" s="22"/>
      <c r="NC81" s="22"/>
      <c r="ND81" s="22"/>
      <c r="NE81" s="22"/>
      <c r="NF81" s="22"/>
    </row>
    <row r="82" ht="15.75" hidden="1" customHeight="1">
      <c r="A82" s="237"/>
      <c r="B82" s="267"/>
      <c r="C82" s="239">
        <v>46087.0</v>
      </c>
      <c r="D82" s="245" t="s">
        <v>262</v>
      </c>
      <c r="E82" s="242" t="s">
        <v>47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0"/>
      <c r="AJ82" s="20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0"/>
      <c r="AW82" s="20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0"/>
      <c r="BJ82" s="20"/>
      <c r="BK82" s="20"/>
      <c r="BL82" s="22"/>
      <c r="BM82" s="22"/>
      <c r="BN82" s="22"/>
      <c r="BO82" s="22"/>
      <c r="BP82" s="22"/>
      <c r="BQ82" s="20">
        <v>1.0</v>
      </c>
      <c r="BR82" s="20">
        <v>5.0</v>
      </c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  <c r="IZ82" s="22"/>
      <c r="JA82" s="22"/>
      <c r="JB82" s="22"/>
      <c r="JC82" s="22"/>
      <c r="JD82" s="22"/>
      <c r="JE82" s="22"/>
      <c r="JF82" s="22"/>
      <c r="JG82" s="22"/>
      <c r="JH82" s="22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2"/>
      <c r="LK82" s="22"/>
      <c r="LL82" s="22"/>
      <c r="LM82" s="22"/>
      <c r="LN82" s="22"/>
      <c r="LO82" s="22"/>
      <c r="LP82" s="22"/>
      <c r="LQ82" s="22"/>
      <c r="LR82" s="22"/>
      <c r="LS82" s="22"/>
      <c r="LT82" s="22"/>
      <c r="LU82" s="22"/>
      <c r="LV82" s="22"/>
      <c r="LW82" s="22"/>
      <c r="LX82" s="22"/>
      <c r="LY82" s="22"/>
      <c r="LZ82" s="22"/>
      <c r="MA82" s="22"/>
      <c r="MB82" s="22"/>
      <c r="MC82" s="22"/>
      <c r="MD82" s="22"/>
      <c r="ME82" s="22"/>
      <c r="MF82" s="22"/>
      <c r="MG82" s="22"/>
      <c r="MH82" s="22"/>
      <c r="MI82" s="22"/>
      <c r="MJ82" s="22"/>
      <c r="MK82" s="22"/>
      <c r="ML82" s="22"/>
      <c r="MM82" s="22"/>
      <c r="MN82" s="22"/>
      <c r="MO82" s="22"/>
      <c r="MP82" s="22"/>
      <c r="MQ82" s="22"/>
      <c r="MR82" s="22"/>
      <c r="MS82" s="22"/>
      <c r="MT82" s="22"/>
      <c r="MU82" s="22"/>
      <c r="MV82" s="22"/>
      <c r="MW82" s="22"/>
      <c r="MX82" s="22"/>
      <c r="MY82" s="22"/>
      <c r="MZ82" s="22"/>
      <c r="NA82" s="22"/>
      <c r="NB82" s="22"/>
      <c r="NC82" s="22"/>
      <c r="ND82" s="22"/>
      <c r="NE82" s="22"/>
      <c r="NF82" s="22"/>
    </row>
    <row r="83" ht="15.75" hidden="1" customHeight="1">
      <c r="A83" s="237"/>
      <c r="B83" s="267"/>
      <c r="C83" s="239">
        <v>46090.0</v>
      </c>
      <c r="D83" s="245" t="s">
        <v>263</v>
      </c>
      <c r="E83" s="242" t="s">
        <v>47</v>
      </c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0"/>
      <c r="AJ83" s="20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0"/>
      <c r="AW83" s="20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0"/>
      <c r="BJ83" s="20"/>
      <c r="BK83" s="20"/>
      <c r="BL83" s="22"/>
      <c r="BM83" s="22"/>
      <c r="BN83" s="22"/>
      <c r="BO83" s="22"/>
      <c r="BP83" s="22"/>
      <c r="BQ83" s="22"/>
      <c r="BR83" s="20">
        <v>1.0</v>
      </c>
      <c r="BS83" s="22"/>
      <c r="BT83" s="22"/>
      <c r="BU83" s="20">
        <v>4.0</v>
      </c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  <c r="IZ83" s="22"/>
      <c r="JA83" s="22"/>
      <c r="JB83" s="22"/>
      <c r="JC83" s="22"/>
      <c r="JD83" s="22"/>
      <c r="JE83" s="22"/>
      <c r="JF83" s="22"/>
      <c r="JG83" s="22"/>
      <c r="JH83" s="22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2"/>
      <c r="LK83" s="22"/>
      <c r="LL83" s="22"/>
      <c r="LM83" s="22"/>
      <c r="LN83" s="22"/>
      <c r="LO83" s="22"/>
      <c r="LP83" s="22"/>
      <c r="LQ83" s="22"/>
      <c r="LR83" s="22"/>
      <c r="LS83" s="22"/>
      <c r="LT83" s="22"/>
      <c r="LU83" s="22"/>
      <c r="LV83" s="22"/>
      <c r="LW83" s="22"/>
      <c r="LX83" s="22"/>
      <c r="LY83" s="22"/>
      <c r="LZ83" s="22"/>
      <c r="MA83" s="22"/>
      <c r="MB83" s="22"/>
      <c r="MC83" s="22"/>
      <c r="MD83" s="22"/>
      <c r="ME83" s="22"/>
      <c r="MF83" s="22"/>
      <c r="MG83" s="22"/>
      <c r="MH83" s="22"/>
      <c r="MI83" s="22"/>
      <c r="MJ83" s="22"/>
      <c r="MK83" s="22"/>
      <c r="ML83" s="22"/>
      <c r="MM83" s="22"/>
      <c r="MN83" s="22"/>
      <c r="MO83" s="22"/>
      <c r="MP83" s="22"/>
      <c r="MQ83" s="22"/>
      <c r="MR83" s="22"/>
      <c r="MS83" s="22"/>
      <c r="MT83" s="22"/>
      <c r="MU83" s="22"/>
      <c r="MV83" s="22"/>
      <c r="MW83" s="22"/>
      <c r="MX83" s="22"/>
      <c r="MY83" s="22"/>
      <c r="MZ83" s="22"/>
      <c r="NA83" s="22"/>
      <c r="NB83" s="22"/>
      <c r="NC83" s="22"/>
      <c r="ND83" s="22"/>
      <c r="NE83" s="22"/>
      <c r="NF83" s="22"/>
    </row>
    <row r="84" ht="15.75" hidden="1" customHeight="1">
      <c r="A84" s="237"/>
      <c r="B84" s="267"/>
      <c r="C84" s="239">
        <v>46092.0</v>
      </c>
      <c r="D84" s="245" t="s">
        <v>264</v>
      </c>
      <c r="E84" s="242" t="s">
        <v>47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0"/>
      <c r="AJ84" s="20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0"/>
      <c r="AW84" s="20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0"/>
      <c r="BJ84" s="20"/>
      <c r="BK84" s="20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0"/>
      <c r="BW84" s="20">
        <v>3.0</v>
      </c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  <c r="IZ84" s="22"/>
      <c r="JA84" s="22"/>
      <c r="JB84" s="22"/>
      <c r="JC84" s="22"/>
      <c r="JD84" s="22"/>
      <c r="JE84" s="22"/>
      <c r="JF84" s="22"/>
      <c r="JG84" s="22"/>
      <c r="JH84" s="22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2"/>
      <c r="LK84" s="22"/>
      <c r="LL84" s="22"/>
      <c r="LM84" s="22"/>
      <c r="LN84" s="22"/>
      <c r="LO84" s="22"/>
      <c r="LP84" s="22"/>
      <c r="LQ84" s="22"/>
      <c r="LR84" s="22"/>
      <c r="LS84" s="22"/>
      <c r="LT84" s="22"/>
      <c r="LU84" s="22"/>
      <c r="LV84" s="22"/>
      <c r="LW84" s="22"/>
      <c r="LX84" s="22"/>
      <c r="LY84" s="22"/>
      <c r="LZ84" s="22"/>
      <c r="MA84" s="22"/>
      <c r="MB84" s="22"/>
      <c r="MC84" s="22"/>
      <c r="MD84" s="22"/>
      <c r="ME84" s="22"/>
      <c r="MF84" s="22"/>
      <c r="MG84" s="22"/>
      <c r="MH84" s="22"/>
      <c r="MI84" s="22"/>
      <c r="MJ84" s="22"/>
      <c r="MK84" s="22"/>
      <c r="ML84" s="22"/>
      <c r="MM84" s="22"/>
      <c r="MN84" s="22"/>
      <c r="MO84" s="22"/>
      <c r="MP84" s="22"/>
      <c r="MQ84" s="22"/>
      <c r="MR84" s="22"/>
      <c r="MS84" s="22"/>
      <c r="MT84" s="22"/>
      <c r="MU84" s="22"/>
      <c r="MV84" s="22"/>
      <c r="MW84" s="22"/>
      <c r="MX84" s="22"/>
      <c r="MY84" s="22"/>
      <c r="MZ84" s="22"/>
      <c r="NA84" s="22"/>
      <c r="NB84" s="22"/>
      <c r="NC84" s="22"/>
      <c r="ND84" s="22"/>
      <c r="NE84" s="22"/>
      <c r="NF84" s="22"/>
    </row>
    <row r="85" ht="15.75" hidden="1" customHeight="1">
      <c r="A85" s="237"/>
      <c r="B85" s="267"/>
      <c r="C85" s="239">
        <v>46093.0</v>
      </c>
      <c r="D85" s="245" t="s">
        <v>265</v>
      </c>
      <c r="E85" s="242" t="s">
        <v>47</v>
      </c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0"/>
      <c r="AJ85" s="20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0"/>
      <c r="AW85" s="20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0"/>
      <c r="BJ85" s="20"/>
      <c r="BK85" s="20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0">
        <v>5.0</v>
      </c>
      <c r="BY85" s="20">
        <v>5.0</v>
      </c>
      <c r="BZ85" s="22"/>
      <c r="CA85" s="22"/>
      <c r="CB85" s="22"/>
      <c r="CC85" s="22"/>
      <c r="CD85" s="20">
        <v>1.0</v>
      </c>
      <c r="CE85" s="20">
        <v>1.0</v>
      </c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  <c r="IZ85" s="22"/>
      <c r="JA85" s="22"/>
      <c r="JB85" s="22"/>
      <c r="JC85" s="22"/>
      <c r="JD85" s="22"/>
      <c r="JE85" s="22"/>
      <c r="JF85" s="22"/>
      <c r="JG85" s="22"/>
      <c r="JH85" s="22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2"/>
      <c r="LK85" s="22"/>
      <c r="LL85" s="22"/>
      <c r="LM85" s="22"/>
      <c r="LN85" s="22"/>
      <c r="LO85" s="22"/>
      <c r="LP85" s="22"/>
      <c r="LQ85" s="22"/>
      <c r="LR85" s="22"/>
      <c r="LS85" s="22"/>
      <c r="LT85" s="22"/>
      <c r="LU85" s="22"/>
      <c r="LV85" s="22"/>
      <c r="LW85" s="22"/>
      <c r="LX85" s="22"/>
      <c r="LY85" s="22"/>
      <c r="LZ85" s="22"/>
      <c r="MA85" s="22"/>
      <c r="MB85" s="22"/>
      <c r="MC85" s="22"/>
      <c r="MD85" s="22"/>
      <c r="ME85" s="22"/>
      <c r="MF85" s="22"/>
      <c r="MG85" s="22"/>
      <c r="MH85" s="22"/>
      <c r="MI85" s="22"/>
      <c r="MJ85" s="22"/>
      <c r="MK85" s="22"/>
      <c r="ML85" s="22"/>
      <c r="MM85" s="22"/>
      <c r="MN85" s="22"/>
      <c r="MO85" s="22"/>
      <c r="MP85" s="22"/>
      <c r="MQ85" s="22"/>
      <c r="MR85" s="22"/>
      <c r="MS85" s="22"/>
      <c r="MT85" s="22"/>
      <c r="MU85" s="22"/>
      <c r="MV85" s="22"/>
      <c r="MW85" s="22"/>
      <c r="MX85" s="22"/>
      <c r="MY85" s="22"/>
      <c r="MZ85" s="22"/>
      <c r="NA85" s="22"/>
      <c r="NB85" s="22"/>
      <c r="NC85" s="22"/>
      <c r="ND85" s="22"/>
      <c r="NE85" s="22"/>
      <c r="NF85" s="22"/>
    </row>
    <row r="86" ht="15.75" hidden="1" customHeight="1">
      <c r="A86" s="237"/>
      <c r="B86" s="267"/>
      <c r="C86" s="239">
        <v>46093.0</v>
      </c>
      <c r="D86" s="245" t="s">
        <v>266</v>
      </c>
      <c r="E86" s="242" t="s">
        <v>47</v>
      </c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0"/>
      <c r="AJ86" s="20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0"/>
      <c r="AW86" s="20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0"/>
      <c r="BJ86" s="20"/>
      <c r="BK86" s="20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0">
        <v>3.0</v>
      </c>
      <c r="BW86" s="20">
        <v>2.0</v>
      </c>
      <c r="BX86" s="20" t="s">
        <v>234</v>
      </c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  <c r="IZ86" s="22"/>
      <c r="JA86" s="22"/>
      <c r="JB86" s="22"/>
      <c r="JC86" s="22"/>
      <c r="JD86" s="22"/>
      <c r="JE86" s="22"/>
      <c r="JF86" s="22"/>
      <c r="JG86" s="22"/>
      <c r="JH86" s="22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2"/>
      <c r="LK86" s="22"/>
      <c r="LL86" s="22"/>
      <c r="LM86" s="22"/>
      <c r="LN86" s="22"/>
      <c r="LO86" s="22"/>
      <c r="LP86" s="22"/>
      <c r="LQ86" s="22"/>
      <c r="LR86" s="22"/>
      <c r="LS86" s="22"/>
      <c r="LT86" s="22"/>
      <c r="LU86" s="22"/>
      <c r="LV86" s="22"/>
      <c r="LW86" s="22"/>
      <c r="LX86" s="22"/>
      <c r="LY86" s="22"/>
      <c r="LZ86" s="22"/>
      <c r="MA86" s="22"/>
      <c r="MB86" s="22"/>
      <c r="MC86" s="22"/>
      <c r="MD86" s="22"/>
      <c r="ME86" s="22"/>
      <c r="MF86" s="22"/>
      <c r="MG86" s="22"/>
      <c r="MH86" s="22"/>
      <c r="MI86" s="22"/>
      <c r="MJ86" s="22"/>
      <c r="MK86" s="22"/>
      <c r="ML86" s="22"/>
      <c r="MM86" s="22"/>
      <c r="MN86" s="22"/>
      <c r="MO86" s="22"/>
      <c r="MP86" s="22"/>
      <c r="MQ86" s="22"/>
      <c r="MR86" s="22"/>
      <c r="MS86" s="22"/>
      <c r="MT86" s="22"/>
      <c r="MU86" s="22"/>
      <c r="MV86" s="22"/>
      <c r="MW86" s="22"/>
      <c r="MX86" s="22"/>
      <c r="MY86" s="22"/>
      <c r="MZ86" s="22"/>
      <c r="NA86" s="22"/>
      <c r="NB86" s="22"/>
      <c r="NC86" s="22"/>
      <c r="ND86" s="22"/>
      <c r="NE86" s="22"/>
      <c r="NF86" s="22"/>
    </row>
    <row r="87" ht="15.75" hidden="1" customHeight="1">
      <c r="A87" s="237"/>
      <c r="B87" s="267"/>
      <c r="C87" s="239">
        <v>46094.0</v>
      </c>
      <c r="D87" s="245" t="s">
        <v>267</v>
      </c>
      <c r="E87" s="242" t="s">
        <v>47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0"/>
      <c r="AJ87" s="20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0"/>
      <c r="AW87" s="20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0"/>
      <c r="BJ87" s="20"/>
      <c r="BK87" s="20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0">
        <v>2.0</v>
      </c>
      <c r="BX87" s="20">
        <v>2.0</v>
      </c>
      <c r="BY87" s="20">
        <v>1.0</v>
      </c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  <c r="IZ87" s="22"/>
      <c r="JA87" s="22"/>
      <c r="JB87" s="22"/>
      <c r="JC87" s="22"/>
      <c r="JD87" s="22"/>
      <c r="JE87" s="22"/>
      <c r="JF87" s="22"/>
      <c r="JG87" s="22"/>
      <c r="JH87" s="22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2"/>
      <c r="LK87" s="22"/>
      <c r="LL87" s="22"/>
      <c r="LM87" s="22"/>
      <c r="LN87" s="22"/>
      <c r="LO87" s="22"/>
      <c r="LP87" s="22"/>
      <c r="LQ87" s="22"/>
      <c r="LR87" s="22"/>
      <c r="LS87" s="22"/>
      <c r="LT87" s="22"/>
      <c r="LU87" s="22"/>
      <c r="LV87" s="22"/>
      <c r="LW87" s="22"/>
      <c r="LX87" s="22"/>
      <c r="LY87" s="22"/>
      <c r="LZ87" s="22"/>
      <c r="MA87" s="22"/>
      <c r="MB87" s="22"/>
      <c r="MC87" s="22"/>
      <c r="MD87" s="22"/>
      <c r="ME87" s="22"/>
      <c r="MF87" s="22"/>
      <c r="MG87" s="22"/>
      <c r="MH87" s="22"/>
      <c r="MI87" s="22"/>
      <c r="MJ87" s="22"/>
      <c r="MK87" s="22"/>
      <c r="ML87" s="22"/>
      <c r="MM87" s="22"/>
      <c r="MN87" s="22"/>
      <c r="MO87" s="22"/>
      <c r="MP87" s="22"/>
      <c r="MQ87" s="22"/>
      <c r="MR87" s="22"/>
      <c r="MS87" s="22"/>
      <c r="MT87" s="22"/>
      <c r="MU87" s="22"/>
      <c r="MV87" s="22"/>
      <c r="MW87" s="22"/>
      <c r="MX87" s="22"/>
      <c r="MY87" s="22"/>
      <c r="MZ87" s="22"/>
      <c r="NA87" s="22"/>
      <c r="NB87" s="22"/>
      <c r="NC87" s="22"/>
      <c r="ND87" s="22"/>
      <c r="NE87" s="22"/>
      <c r="NF87" s="22"/>
    </row>
    <row r="88" ht="15.75" hidden="1" customHeight="1">
      <c r="A88" s="237"/>
      <c r="B88" s="267"/>
      <c r="C88" s="239">
        <v>46094.0</v>
      </c>
      <c r="D88" s="245" t="s">
        <v>268</v>
      </c>
      <c r="E88" s="242" t="s">
        <v>47</v>
      </c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0"/>
      <c r="AJ88" s="20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0"/>
      <c r="AW88" s="20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0"/>
      <c r="BJ88" s="20"/>
      <c r="BK88" s="20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0">
        <v>3.0</v>
      </c>
      <c r="BW88" s="20"/>
      <c r="BX88" s="20"/>
      <c r="BY88" s="20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  <c r="IZ88" s="22"/>
      <c r="JA88" s="22"/>
      <c r="JB88" s="22"/>
      <c r="JC88" s="22"/>
      <c r="JD88" s="22"/>
      <c r="JE88" s="22"/>
      <c r="JF88" s="22"/>
      <c r="JG88" s="22"/>
      <c r="JH88" s="22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2"/>
      <c r="LK88" s="22"/>
      <c r="LL88" s="22"/>
      <c r="LM88" s="22"/>
      <c r="LN88" s="22"/>
      <c r="LO88" s="22"/>
      <c r="LP88" s="22"/>
      <c r="LQ88" s="22"/>
      <c r="LR88" s="22"/>
      <c r="LS88" s="22"/>
      <c r="LT88" s="22"/>
      <c r="LU88" s="22"/>
      <c r="LV88" s="22"/>
      <c r="LW88" s="22"/>
      <c r="LX88" s="22"/>
      <c r="LY88" s="22"/>
      <c r="LZ88" s="22"/>
      <c r="MA88" s="22"/>
      <c r="MB88" s="22"/>
      <c r="MC88" s="22"/>
      <c r="MD88" s="22"/>
      <c r="ME88" s="22"/>
      <c r="MF88" s="22"/>
      <c r="MG88" s="22"/>
      <c r="MH88" s="22"/>
      <c r="MI88" s="22"/>
      <c r="MJ88" s="22"/>
      <c r="MK88" s="22"/>
      <c r="ML88" s="22"/>
      <c r="MM88" s="22"/>
      <c r="MN88" s="22"/>
      <c r="MO88" s="22"/>
      <c r="MP88" s="22"/>
      <c r="MQ88" s="22"/>
      <c r="MR88" s="22"/>
      <c r="MS88" s="22"/>
      <c r="MT88" s="22"/>
      <c r="MU88" s="22"/>
      <c r="MV88" s="22"/>
      <c r="MW88" s="22"/>
      <c r="MX88" s="22"/>
      <c r="MY88" s="22"/>
      <c r="MZ88" s="22"/>
      <c r="NA88" s="22"/>
      <c r="NB88" s="22"/>
      <c r="NC88" s="22"/>
      <c r="ND88" s="22"/>
      <c r="NE88" s="22"/>
      <c r="NF88" s="22"/>
    </row>
    <row r="89" ht="15.75" hidden="1" customHeight="1">
      <c r="A89" s="237"/>
      <c r="B89" s="267"/>
      <c r="C89" s="239">
        <v>46093.0</v>
      </c>
      <c r="D89" s="245" t="s">
        <v>269</v>
      </c>
      <c r="E89" s="242" t="s">
        <v>47</v>
      </c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0"/>
      <c r="AJ89" s="20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0"/>
      <c r="AW89" s="20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0"/>
      <c r="BJ89" s="20"/>
      <c r="BK89" s="20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0">
        <v>3.0</v>
      </c>
      <c r="BY89" s="20"/>
      <c r="BZ89" s="22"/>
      <c r="CA89" s="22"/>
      <c r="CB89" s="20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  <c r="IZ89" s="22"/>
      <c r="JA89" s="22"/>
      <c r="JB89" s="22"/>
      <c r="JC89" s="22"/>
      <c r="JD89" s="22"/>
      <c r="JE89" s="22"/>
      <c r="JF89" s="22"/>
      <c r="JG89" s="22"/>
      <c r="JH89" s="22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2"/>
      <c r="LK89" s="22"/>
      <c r="LL89" s="22"/>
      <c r="LM89" s="22"/>
      <c r="LN89" s="22"/>
      <c r="LO89" s="22"/>
      <c r="LP89" s="22"/>
      <c r="LQ89" s="22"/>
      <c r="LR89" s="22"/>
      <c r="LS89" s="22"/>
      <c r="LT89" s="22"/>
      <c r="LU89" s="22"/>
      <c r="LV89" s="22"/>
      <c r="LW89" s="22"/>
      <c r="LX89" s="22"/>
      <c r="LY89" s="22"/>
      <c r="LZ89" s="22"/>
      <c r="MA89" s="22"/>
      <c r="MB89" s="22"/>
      <c r="MC89" s="22"/>
      <c r="MD89" s="22"/>
      <c r="ME89" s="22"/>
      <c r="MF89" s="22"/>
      <c r="MG89" s="22"/>
      <c r="MH89" s="22"/>
      <c r="MI89" s="22"/>
      <c r="MJ89" s="22"/>
      <c r="MK89" s="22"/>
      <c r="ML89" s="22"/>
      <c r="MM89" s="22"/>
      <c r="MN89" s="22"/>
      <c r="MO89" s="22"/>
      <c r="MP89" s="22"/>
      <c r="MQ89" s="22"/>
      <c r="MR89" s="22"/>
      <c r="MS89" s="22"/>
      <c r="MT89" s="22"/>
      <c r="MU89" s="22"/>
      <c r="MV89" s="22"/>
      <c r="MW89" s="22"/>
      <c r="MX89" s="22"/>
      <c r="MY89" s="22"/>
      <c r="MZ89" s="22"/>
      <c r="NA89" s="22"/>
      <c r="NB89" s="22"/>
      <c r="NC89" s="22"/>
      <c r="ND89" s="22"/>
      <c r="NE89" s="22"/>
      <c r="NF89" s="22"/>
    </row>
    <row r="90" ht="15.75" hidden="1" customHeight="1">
      <c r="A90" s="237"/>
      <c r="B90" s="267"/>
      <c r="C90" s="239">
        <v>46098.0</v>
      </c>
      <c r="D90" s="245" t="s">
        <v>270</v>
      </c>
      <c r="E90" s="242" t="s">
        <v>47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0"/>
      <c r="AJ90" s="20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0"/>
      <c r="AW90" s="20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0"/>
      <c r="BJ90" s="20"/>
      <c r="BK90" s="20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0">
        <v>1.0</v>
      </c>
      <c r="BZ90" s="22"/>
      <c r="CA90" s="22"/>
      <c r="CB90" s="20">
        <v>3.0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  <c r="IZ90" s="22"/>
      <c r="JA90" s="22"/>
      <c r="JB90" s="22"/>
      <c r="JC90" s="22"/>
      <c r="JD90" s="22"/>
      <c r="JE90" s="22"/>
      <c r="JF90" s="22"/>
      <c r="JG90" s="22"/>
      <c r="JH90" s="22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2"/>
      <c r="LK90" s="22"/>
      <c r="LL90" s="22"/>
      <c r="LM90" s="22"/>
      <c r="LN90" s="22"/>
      <c r="LO90" s="22"/>
      <c r="LP90" s="22"/>
      <c r="LQ90" s="22"/>
      <c r="LR90" s="22"/>
      <c r="LS90" s="22"/>
      <c r="LT90" s="22"/>
      <c r="LU90" s="22"/>
      <c r="LV90" s="22"/>
      <c r="LW90" s="22"/>
      <c r="LX90" s="22"/>
      <c r="LY90" s="22"/>
      <c r="LZ90" s="22"/>
      <c r="MA90" s="22"/>
      <c r="MB90" s="22"/>
      <c r="MC90" s="22"/>
      <c r="MD90" s="22"/>
      <c r="ME90" s="22"/>
      <c r="MF90" s="22"/>
      <c r="MG90" s="22"/>
      <c r="MH90" s="22"/>
      <c r="MI90" s="22"/>
      <c r="MJ90" s="22"/>
      <c r="MK90" s="22"/>
      <c r="ML90" s="22"/>
      <c r="MM90" s="22"/>
      <c r="MN90" s="22"/>
      <c r="MO90" s="22"/>
      <c r="MP90" s="22"/>
      <c r="MQ90" s="22"/>
      <c r="MR90" s="22"/>
      <c r="MS90" s="22"/>
      <c r="MT90" s="22"/>
      <c r="MU90" s="22"/>
      <c r="MV90" s="22"/>
      <c r="MW90" s="22"/>
      <c r="MX90" s="22"/>
      <c r="MY90" s="22"/>
      <c r="MZ90" s="22"/>
      <c r="NA90" s="22"/>
      <c r="NB90" s="22"/>
      <c r="NC90" s="22"/>
      <c r="ND90" s="22"/>
      <c r="NE90" s="22"/>
      <c r="NF90" s="22"/>
    </row>
    <row r="91" ht="15.75" hidden="1" customHeight="1">
      <c r="A91" s="237"/>
      <c r="B91" s="267"/>
      <c r="C91" s="239">
        <v>46098.0</v>
      </c>
      <c r="D91" s="245" t="s">
        <v>271</v>
      </c>
      <c r="E91" s="242" t="s">
        <v>47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0"/>
      <c r="AJ91" s="20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0"/>
      <c r="AW91" s="20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0"/>
      <c r="BJ91" s="20"/>
      <c r="BK91" s="20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0">
        <v>4.0</v>
      </c>
      <c r="CC91" s="20">
        <v>2.0</v>
      </c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  <c r="IZ91" s="22"/>
      <c r="JA91" s="22"/>
      <c r="JB91" s="22"/>
      <c r="JC91" s="22"/>
      <c r="JD91" s="22"/>
      <c r="JE91" s="22"/>
      <c r="JF91" s="22"/>
      <c r="JG91" s="22"/>
      <c r="JH91" s="22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2"/>
      <c r="LK91" s="22"/>
      <c r="LL91" s="22"/>
      <c r="LM91" s="22"/>
      <c r="LN91" s="22"/>
      <c r="LO91" s="22"/>
      <c r="LP91" s="22"/>
      <c r="LQ91" s="22"/>
      <c r="LR91" s="22"/>
      <c r="LS91" s="22"/>
      <c r="LT91" s="22"/>
      <c r="LU91" s="22"/>
      <c r="LV91" s="22"/>
      <c r="LW91" s="22"/>
      <c r="LX91" s="22"/>
      <c r="LY91" s="22"/>
      <c r="LZ91" s="22"/>
      <c r="MA91" s="22"/>
      <c r="MB91" s="22"/>
      <c r="MC91" s="22"/>
      <c r="MD91" s="22"/>
      <c r="ME91" s="22"/>
      <c r="MF91" s="22"/>
      <c r="MG91" s="22"/>
      <c r="MH91" s="22"/>
      <c r="MI91" s="22"/>
      <c r="MJ91" s="22"/>
      <c r="MK91" s="22"/>
      <c r="ML91" s="22"/>
      <c r="MM91" s="22"/>
      <c r="MN91" s="22"/>
      <c r="MO91" s="22"/>
      <c r="MP91" s="22"/>
      <c r="MQ91" s="22"/>
      <c r="MR91" s="22"/>
      <c r="MS91" s="22"/>
      <c r="MT91" s="22"/>
      <c r="MU91" s="22"/>
      <c r="MV91" s="22"/>
      <c r="MW91" s="22"/>
      <c r="MX91" s="22"/>
      <c r="MY91" s="22"/>
      <c r="MZ91" s="22"/>
      <c r="NA91" s="22"/>
      <c r="NB91" s="22"/>
      <c r="NC91" s="22"/>
      <c r="ND91" s="22"/>
      <c r="NE91" s="22"/>
      <c r="NF91" s="22"/>
    </row>
    <row r="92" ht="15.75" hidden="1" customHeight="1">
      <c r="A92" s="237"/>
      <c r="B92" s="267"/>
      <c r="C92" s="239">
        <v>46098.0</v>
      </c>
      <c r="D92" s="245" t="s">
        <v>272</v>
      </c>
      <c r="E92" s="242" t="s">
        <v>47</v>
      </c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0"/>
      <c r="AJ92" s="20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0"/>
      <c r="AW92" s="20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0"/>
      <c r="BJ92" s="20"/>
      <c r="BK92" s="20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0">
        <v>1.0</v>
      </c>
      <c r="CC92" s="20">
        <v>2.0</v>
      </c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  <c r="IZ92" s="22"/>
      <c r="JA92" s="22"/>
      <c r="JB92" s="22"/>
      <c r="JC92" s="22"/>
      <c r="JD92" s="22"/>
      <c r="JE92" s="22"/>
      <c r="JF92" s="22"/>
      <c r="JG92" s="22"/>
      <c r="JH92" s="22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2"/>
      <c r="LK92" s="22"/>
      <c r="LL92" s="22"/>
      <c r="LM92" s="22"/>
      <c r="LN92" s="22"/>
      <c r="LO92" s="22"/>
      <c r="LP92" s="22"/>
      <c r="LQ92" s="22"/>
      <c r="LR92" s="22"/>
      <c r="LS92" s="22"/>
      <c r="LT92" s="22"/>
      <c r="LU92" s="22"/>
      <c r="LV92" s="22"/>
      <c r="LW92" s="22"/>
      <c r="LX92" s="22"/>
      <c r="LY92" s="22"/>
      <c r="LZ92" s="22"/>
      <c r="MA92" s="22"/>
      <c r="MB92" s="22"/>
      <c r="MC92" s="22"/>
      <c r="MD92" s="22"/>
      <c r="ME92" s="22"/>
      <c r="MF92" s="22"/>
      <c r="MG92" s="22"/>
      <c r="MH92" s="22"/>
      <c r="MI92" s="22"/>
      <c r="MJ92" s="22"/>
      <c r="MK92" s="22"/>
      <c r="ML92" s="22"/>
      <c r="MM92" s="22"/>
      <c r="MN92" s="22"/>
      <c r="MO92" s="22"/>
      <c r="MP92" s="22"/>
      <c r="MQ92" s="22"/>
      <c r="MR92" s="22"/>
      <c r="MS92" s="22"/>
      <c r="MT92" s="22"/>
      <c r="MU92" s="22"/>
      <c r="MV92" s="22"/>
      <c r="MW92" s="22"/>
      <c r="MX92" s="22"/>
      <c r="MY92" s="22"/>
      <c r="MZ92" s="22"/>
      <c r="NA92" s="22"/>
      <c r="NB92" s="22"/>
      <c r="NC92" s="22"/>
      <c r="ND92" s="22"/>
      <c r="NE92" s="22"/>
      <c r="NF92" s="22"/>
    </row>
    <row r="93" ht="15.75" hidden="1" customHeight="1">
      <c r="A93" s="237"/>
      <c r="B93" s="267"/>
      <c r="C93" s="239">
        <v>46100.0</v>
      </c>
      <c r="D93" s="245" t="s">
        <v>273</v>
      </c>
      <c r="E93" s="242" t="s">
        <v>47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0"/>
      <c r="AJ93" s="20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0"/>
      <c r="AW93" s="20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0"/>
      <c r="BJ93" s="20"/>
      <c r="BK93" s="20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0">
        <v>4.0</v>
      </c>
      <c r="CD93" s="20">
        <v>1.0</v>
      </c>
      <c r="CE93" s="20" t="s">
        <v>234</v>
      </c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  <c r="IZ93" s="22"/>
      <c r="JA93" s="22"/>
      <c r="JB93" s="22"/>
      <c r="JC93" s="22"/>
      <c r="JD93" s="22"/>
      <c r="JE93" s="22"/>
      <c r="JF93" s="22"/>
      <c r="JG93" s="22"/>
      <c r="JH93" s="22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2"/>
      <c r="LK93" s="22"/>
      <c r="LL93" s="22"/>
      <c r="LM93" s="22"/>
      <c r="LN93" s="22"/>
      <c r="LO93" s="22"/>
      <c r="LP93" s="22"/>
      <c r="LQ93" s="22"/>
      <c r="LR93" s="22"/>
      <c r="LS93" s="22"/>
      <c r="LT93" s="22"/>
      <c r="LU93" s="22"/>
      <c r="LV93" s="22"/>
      <c r="LW93" s="22"/>
      <c r="LX93" s="22"/>
      <c r="LY93" s="22"/>
      <c r="LZ93" s="22"/>
      <c r="MA93" s="22"/>
      <c r="MB93" s="22"/>
      <c r="MC93" s="22"/>
      <c r="MD93" s="22"/>
      <c r="ME93" s="22"/>
      <c r="MF93" s="22"/>
      <c r="MG93" s="22"/>
      <c r="MH93" s="22"/>
      <c r="MI93" s="22"/>
      <c r="MJ93" s="22"/>
      <c r="MK93" s="22"/>
      <c r="ML93" s="22"/>
      <c r="MM93" s="22"/>
      <c r="MN93" s="22"/>
      <c r="MO93" s="22"/>
      <c r="MP93" s="22"/>
      <c r="MQ93" s="22"/>
      <c r="MR93" s="22"/>
      <c r="MS93" s="22"/>
      <c r="MT93" s="22"/>
      <c r="MU93" s="22"/>
      <c r="MV93" s="22"/>
      <c r="MW93" s="22"/>
      <c r="MX93" s="22"/>
      <c r="MY93" s="22"/>
      <c r="MZ93" s="22"/>
      <c r="NA93" s="22"/>
      <c r="NB93" s="22"/>
      <c r="NC93" s="22"/>
      <c r="ND93" s="22"/>
      <c r="NE93" s="22"/>
      <c r="NF93" s="22"/>
    </row>
    <row r="94" ht="15.75" hidden="1" customHeight="1">
      <c r="A94" s="237"/>
      <c r="B94" s="267"/>
      <c r="C94" s="239">
        <v>46104.0</v>
      </c>
      <c r="D94" s="245" t="s">
        <v>274</v>
      </c>
      <c r="E94" s="242" t="s">
        <v>47</v>
      </c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0"/>
      <c r="AJ94" s="20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0"/>
      <c r="AW94" s="20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0"/>
      <c r="BJ94" s="20"/>
      <c r="BK94" s="20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0">
        <v>4.0</v>
      </c>
      <c r="CF94" s="22"/>
      <c r="CG94" s="22"/>
      <c r="CH94" s="22"/>
      <c r="CI94" s="20">
        <v>3.0</v>
      </c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  <c r="IZ94" s="22"/>
      <c r="JA94" s="22"/>
      <c r="JB94" s="22"/>
      <c r="JC94" s="22"/>
      <c r="JD94" s="22"/>
      <c r="JE94" s="22"/>
      <c r="JF94" s="22"/>
      <c r="JG94" s="22"/>
      <c r="JH94" s="22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2"/>
      <c r="LK94" s="22"/>
      <c r="LL94" s="22"/>
      <c r="LM94" s="22"/>
      <c r="LN94" s="22"/>
      <c r="LO94" s="22"/>
      <c r="LP94" s="22"/>
      <c r="LQ94" s="22"/>
      <c r="LR94" s="22"/>
      <c r="LS94" s="22"/>
      <c r="LT94" s="22"/>
      <c r="LU94" s="22"/>
      <c r="LV94" s="22"/>
      <c r="LW94" s="22"/>
      <c r="LX94" s="22"/>
      <c r="LY94" s="22"/>
      <c r="LZ94" s="22"/>
      <c r="MA94" s="22"/>
      <c r="MB94" s="22"/>
      <c r="MC94" s="22"/>
      <c r="MD94" s="22"/>
      <c r="ME94" s="22"/>
      <c r="MF94" s="22"/>
      <c r="MG94" s="22"/>
      <c r="MH94" s="22"/>
      <c r="MI94" s="22"/>
      <c r="MJ94" s="22"/>
      <c r="MK94" s="22"/>
      <c r="ML94" s="22"/>
      <c r="MM94" s="22"/>
      <c r="MN94" s="22"/>
      <c r="MO94" s="22"/>
      <c r="MP94" s="22"/>
      <c r="MQ94" s="22"/>
      <c r="MR94" s="22"/>
      <c r="MS94" s="22"/>
      <c r="MT94" s="22"/>
      <c r="MU94" s="22"/>
      <c r="MV94" s="22"/>
      <c r="MW94" s="22"/>
      <c r="MX94" s="22"/>
      <c r="MY94" s="22"/>
      <c r="MZ94" s="22"/>
      <c r="NA94" s="22"/>
      <c r="NB94" s="22"/>
      <c r="NC94" s="22"/>
      <c r="ND94" s="22"/>
      <c r="NE94" s="22"/>
      <c r="NF94" s="22"/>
    </row>
    <row r="95" ht="15.75" hidden="1" customHeight="1">
      <c r="A95" s="237"/>
      <c r="B95" s="267"/>
      <c r="C95" s="239"/>
      <c r="D95" s="245" t="s">
        <v>275</v>
      </c>
      <c r="E95" s="242" t="s">
        <v>34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0"/>
      <c r="AJ95" s="20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0"/>
      <c r="AW95" s="20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0"/>
      <c r="BJ95" s="20"/>
      <c r="BK95" s="20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0"/>
      <c r="CE95" s="20"/>
      <c r="CF95" s="22"/>
      <c r="CG95" s="22"/>
      <c r="CH95" s="22"/>
      <c r="CI95" s="22"/>
      <c r="CJ95" s="20">
        <v>1.0</v>
      </c>
      <c r="CK95" s="20">
        <v>1.0</v>
      </c>
      <c r="CL95" s="20">
        <v>6.0</v>
      </c>
      <c r="CM95" s="20"/>
      <c r="CN95" s="22"/>
      <c r="CO95" s="22"/>
      <c r="CP95" s="22"/>
      <c r="CQ95" s="20">
        <v>1.0</v>
      </c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  <c r="IZ95" s="22"/>
      <c r="JA95" s="22"/>
      <c r="JB95" s="22"/>
      <c r="JC95" s="22"/>
      <c r="JD95" s="22"/>
      <c r="JE95" s="22"/>
      <c r="JF95" s="22"/>
      <c r="JG95" s="22"/>
      <c r="JH95" s="22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2"/>
      <c r="LK95" s="22"/>
      <c r="LL95" s="22"/>
      <c r="LM95" s="22"/>
      <c r="LN95" s="22"/>
      <c r="LO95" s="22"/>
      <c r="LP95" s="22"/>
      <c r="LQ95" s="22"/>
      <c r="LR95" s="22"/>
      <c r="LS95" s="22"/>
      <c r="LT95" s="22"/>
      <c r="LU95" s="22"/>
      <c r="LV95" s="22"/>
      <c r="LW95" s="22"/>
      <c r="LX95" s="22"/>
      <c r="LY95" s="22"/>
      <c r="LZ95" s="22"/>
      <c r="MA95" s="22"/>
      <c r="MB95" s="22"/>
      <c r="MC95" s="22"/>
      <c r="MD95" s="22"/>
      <c r="ME95" s="22"/>
      <c r="MF95" s="22"/>
      <c r="MG95" s="22"/>
      <c r="MH95" s="22"/>
      <c r="MI95" s="22"/>
      <c r="MJ95" s="22"/>
      <c r="MK95" s="22"/>
      <c r="ML95" s="22"/>
      <c r="MM95" s="22"/>
      <c r="MN95" s="22"/>
      <c r="MO95" s="22"/>
      <c r="MP95" s="22"/>
      <c r="MQ95" s="22"/>
      <c r="MR95" s="22"/>
      <c r="MS95" s="22"/>
      <c r="MT95" s="22"/>
      <c r="MU95" s="22"/>
      <c r="MV95" s="22"/>
      <c r="MW95" s="22"/>
      <c r="MX95" s="22"/>
      <c r="MY95" s="22"/>
      <c r="MZ95" s="22"/>
      <c r="NA95" s="22"/>
      <c r="NB95" s="22"/>
      <c r="NC95" s="22"/>
      <c r="ND95" s="22"/>
      <c r="NE95" s="22"/>
      <c r="NF95" s="22"/>
    </row>
    <row r="96" ht="15.75" hidden="1" customHeight="1">
      <c r="A96" s="237"/>
      <c r="B96" s="267"/>
      <c r="C96" s="239">
        <v>46105.0</v>
      </c>
      <c r="D96" s="245" t="s">
        <v>276</v>
      </c>
      <c r="E96" s="242" t="s">
        <v>47</v>
      </c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0"/>
      <c r="AJ96" s="20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0"/>
      <c r="AW96" s="20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0"/>
      <c r="BJ96" s="20"/>
      <c r="BK96" s="20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0">
        <v>1.0</v>
      </c>
      <c r="CG96" s="22"/>
      <c r="CH96" s="22"/>
      <c r="CI96" s="20">
        <v>4.0</v>
      </c>
      <c r="CJ96" s="20">
        <v>1.0</v>
      </c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  <c r="IZ96" s="22"/>
      <c r="JA96" s="22"/>
      <c r="JB96" s="22"/>
      <c r="JC96" s="22"/>
      <c r="JD96" s="22"/>
      <c r="JE96" s="22"/>
      <c r="JF96" s="22"/>
      <c r="JG96" s="22"/>
      <c r="JH96" s="22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2"/>
      <c r="LK96" s="22"/>
      <c r="LL96" s="22"/>
      <c r="LM96" s="22"/>
      <c r="LN96" s="22"/>
      <c r="LO96" s="22"/>
      <c r="LP96" s="22"/>
      <c r="LQ96" s="22"/>
      <c r="LR96" s="22"/>
      <c r="LS96" s="22"/>
      <c r="LT96" s="22"/>
      <c r="LU96" s="22"/>
      <c r="LV96" s="22"/>
      <c r="LW96" s="22"/>
      <c r="LX96" s="22"/>
      <c r="LY96" s="22"/>
      <c r="LZ96" s="22"/>
      <c r="MA96" s="22"/>
      <c r="MB96" s="22"/>
      <c r="MC96" s="22"/>
      <c r="MD96" s="22"/>
      <c r="ME96" s="22"/>
      <c r="MF96" s="22"/>
      <c r="MG96" s="22"/>
      <c r="MH96" s="22"/>
      <c r="MI96" s="22"/>
      <c r="MJ96" s="22"/>
      <c r="MK96" s="22"/>
      <c r="ML96" s="22"/>
      <c r="MM96" s="22"/>
      <c r="MN96" s="22"/>
      <c r="MO96" s="22"/>
      <c r="MP96" s="22"/>
      <c r="MQ96" s="22"/>
      <c r="MR96" s="22"/>
      <c r="MS96" s="22"/>
      <c r="MT96" s="22"/>
      <c r="MU96" s="22"/>
      <c r="MV96" s="22"/>
      <c r="MW96" s="22"/>
      <c r="MX96" s="22"/>
      <c r="MY96" s="22"/>
      <c r="MZ96" s="22"/>
      <c r="NA96" s="22"/>
      <c r="NB96" s="22"/>
      <c r="NC96" s="22"/>
      <c r="ND96" s="22"/>
      <c r="NE96" s="22"/>
      <c r="NF96" s="22"/>
    </row>
    <row r="97" ht="15.75" hidden="1" customHeight="1">
      <c r="A97" s="237"/>
      <c r="B97" s="267"/>
      <c r="C97" s="239">
        <v>46107.0</v>
      </c>
      <c r="D97" s="245" t="s">
        <v>277</v>
      </c>
      <c r="E97" s="242" t="s">
        <v>47</v>
      </c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0"/>
      <c r="AJ97" s="20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0"/>
      <c r="AW97" s="20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0"/>
      <c r="BJ97" s="20"/>
      <c r="BK97" s="20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0">
        <v>4.0</v>
      </c>
      <c r="CK97" s="20">
        <v>2.0</v>
      </c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  <c r="IZ97" s="22"/>
      <c r="JA97" s="22"/>
      <c r="JB97" s="22"/>
      <c r="JC97" s="22"/>
      <c r="JD97" s="22"/>
      <c r="JE97" s="22"/>
      <c r="JF97" s="22"/>
      <c r="JG97" s="22"/>
      <c r="JH97" s="22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2"/>
      <c r="LK97" s="22"/>
      <c r="LL97" s="22"/>
      <c r="LM97" s="22"/>
      <c r="LN97" s="22"/>
      <c r="LO97" s="22"/>
      <c r="LP97" s="22"/>
      <c r="LQ97" s="22"/>
      <c r="LR97" s="22"/>
      <c r="LS97" s="22"/>
      <c r="LT97" s="22"/>
      <c r="LU97" s="22"/>
      <c r="LV97" s="22"/>
      <c r="LW97" s="22"/>
      <c r="LX97" s="22"/>
      <c r="LY97" s="22"/>
      <c r="LZ97" s="22"/>
      <c r="MA97" s="22"/>
      <c r="MB97" s="22"/>
      <c r="MC97" s="22"/>
      <c r="MD97" s="22"/>
      <c r="ME97" s="22"/>
      <c r="MF97" s="22"/>
      <c r="MG97" s="22"/>
      <c r="MH97" s="22"/>
      <c r="MI97" s="22"/>
      <c r="MJ97" s="22"/>
      <c r="MK97" s="22"/>
      <c r="ML97" s="22"/>
      <c r="MM97" s="22"/>
      <c r="MN97" s="22"/>
      <c r="MO97" s="22"/>
      <c r="MP97" s="22"/>
      <c r="MQ97" s="22"/>
      <c r="MR97" s="22"/>
      <c r="MS97" s="22"/>
      <c r="MT97" s="22"/>
      <c r="MU97" s="22"/>
      <c r="MV97" s="22"/>
      <c r="MW97" s="22"/>
      <c r="MX97" s="22"/>
      <c r="MY97" s="22"/>
      <c r="MZ97" s="22"/>
      <c r="NA97" s="22"/>
      <c r="NB97" s="22"/>
      <c r="NC97" s="22"/>
      <c r="ND97" s="22"/>
      <c r="NE97" s="22"/>
      <c r="NF97" s="22"/>
    </row>
    <row r="98" ht="15.75" hidden="1" customHeight="1">
      <c r="A98" s="237"/>
      <c r="B98" s="267"/>
      <c r="C98" s="239">
        <v>46106.0</v>
      </c>
      <c r="D98" s="245" t="s">
        <v>278</v>
      </c>
      <c r="E98" s="242" t="s">
        <v>47</v>
      </c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0"/>
      <c r="AJ98" s="20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0"/>
      <c r="AW98" s="20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0"/>
      <c r="BJ98" s="20"/>
      <c r="BK98" s="20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0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0">
        <v>1.0</v>
      </c>
      <c r="CK98" s="20">
        <v>5.0</v>
      </c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  <c r="IZ98" s="22"/>
      <c r="JA98" s="22"/>
      <c r="JB98" s="22"/>
      <c r="JC98" s="22"/>
      <c r="JD98" s="22"/>
      <c r="JE98" s="22"/>
      <c r="JF98" s="22"/>
      <c r="JG98" s="22"/>
      <c r="JH98" s="22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2"/>
      <c r="LK98" s="22"/>
      <c r="LL98" s="22"/>
      <c r="LM98" s="22"/>
      <c r="LN98" s="22"/>
      <c r="LO98" s="22"/>
      <c r="LP98" s="22"/>
      <c r="LQ98" s="22"/>
      <c r="LR98" s="22"/>
      <c r="LS98" s="22"/>
      <c r="LT98" s="22"/>
      <c r="LU98" s="22"/>
      <c r="LV98" s="22"/>
      <c r="LW98" s="22"/>
      <c r="LX98" s="22"/>
      <c r="LY98" s="22"/>
      <c r="LZ98" s="22"/>
      <c r="MA98" s="22"/>
      <c r="MB98" s="22"/>
      <c r="MC98" s="22"/>
      <c r="MD98" s="22"/>
      <c r="ME98" s="22"/>
      <c r="MF98" s="22"/>
      <c r="MG98" s="22"/>
      <c r="MH98" s="22"/>
      <c r="MI98" s="22"/>
      <c r="MJ98" s="22"/>
      <c r="MK98" s="22"/>
      <c r="ML98" s="22"/>
      <c r="MM98" s="22"/>
      <c r="MN98" s="22"/>
      <c r="MO98" s="22"/>
      <c r="MP98" s="22"/>
      <c r="MQ98" s="22"/>
      <c r="MR98" s="22"/>
      <c r="MS98" s="22"/>
      <c r="MT98" s="22"/>
      <c r="MU98" s="22"/>
      <c r="MV98" s="22"/>
      <c r="MW98" s="22"/>
      <c r="MX98" s="22"/>
      <c r="MY98" s="22"/>
      <c r="MZ98" s="22"/>
      <c r="NA98" s="22"/>
      <c r="NB98" s="22"/>
      <c r="NC98" s="22"/>
      <c r="ND98" s="22"/>
      <c r="NE98" s="22"/>
      <c r="NF98" s="22"/>
    </row>
    <row r="99" ht="15.75" hidden="1" customHeight="1">
      <c r="A99" s="237"/>
      <c r="B99" s="267"/>
      <c r="C99" s="239">
        <v>46112.0</v>
      </c>
      <c r="D99" s="245" t="s">
        <v>279</v>
      </c>
      <c r="E99" s="242" t="s">
        <v>47</v>
      </c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0"/>
      <c r="AJ99" s="20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0"/>
      <c r="AW99" s="20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0"/>
      <c r="BJ99" s="20"/>
      <c r="BK99" s="20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0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0">
        <v>1.0</v>
      </c>
      <c r="CM99" s="20">
        <v>3.0</v>
      </c>
      <c r="CN99" s="22"/>
      <c r="CO99" s="22"/>
      <c r="CP99" s="20"/>
      <c r="CQ99" s="20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  <c r="IZ99" s="22"/>
      <c r="JA99" s="22"/>
      <c r="JB99" s="22"/>
      <c r="JC99" s="22"/>
      <c r="JD99" s="22"/>
      <c r="JE99" s="22"/>
      <c r="JF99" s="22"/>
      <c r="JG99" s="22"/>
      <c r="JH99" s="22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2"/>
      <c r="LK99" s="22"/>
      <c r="LL99" s="22"/>
      <c r="LM99" s="22"/>
      <c r="LN99" s="22"/>
      <c r="LO99" s="22"/>
      <c r="LP99" s="22"/>
      <c r="LQ99" s="22"/>
      <c r="LR99" s="22"/>
      <c r="LS99" s="22"/>
      <c r="LT99" s="22"/>
      <c r="LU99" s="22"/>
      <c r="LV99" s="22"/>
      <c r="LW99" s="22"/>
      <c r="LX99" s="22"/>
      <c r="LY99" s="22"/>
      <c r="LZ99" s="22"/>
      <c r="MA99" s="22"/>
      <c r="MB99" s="22"/>
      <c r="MC99" s="22"/>
      <c r="MD99" s="22"/>
      <c r="ME99" s="22"/>
      <c r="MF99" s="22"/>
      <c r="MG99" s="22"/>
      <c r="MH99" s="22"/>
      <c r="MI99" s="22"/>
      <c r="MJ99" s="22"/>
      <c r="MK99" s="22"/>
      <c r="ML99" s="22"/>
      <c r="MM99" s="22"/>
      <c r="MN99" s="22"/>
      <c r="MO99" s="22"/>
      <c r="MP99" s="22"/>
      <c r="MQ99" s="22"/>
      <c r="MR99" s="22"/>
      <c r="MS99" s="22"/>
      <c r="MT99" s="22"/>
      <c r="MU99" s="22"/>
      <c r="MV99" s="22"/>
      <c r="MW99" s="22"/>
      <c r="MX99" s="22"/>
      <c r="MY99" s="22"/>
      <c r="MZ99" s="22"/>
      <c r="NA99" s="22"/>
      <c r="NB99" s="22"/>
      <c r="NC99" s="22"/>
      <c r="ND99" s="22"/>
      <c r="NE99" s="22"/>
      <c r="NF99" s="22"/>
    </row>
    <row r="100" ht="15.75" hidden="1" customHeight="1">
      <c r="A100" s="237"/>
      <c r="B100" s="267"/>
      <c r="C100" s="239">
        <v>46111.0</v>
      </c>
      <c r="D100" s="245" t="s">
        <v>280</v>
      </c>
      <c r="E100" s="242" t="s">
        <v>47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0"/>
      <c r="AJ100" s="20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0"/>
      <c r="AW100" s="20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0"/>
      <c r="BJ100" s="20"/>
      <c r="BK100" s="20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0">
        <v>1.0</v>
      </c>
      <c r="CN100" s="22"/>
      <c r="CO100" s="22"/>
      <c r="CP100" s="20">
        <v>3.0</v>
      </c>
      <c r="CQ100" s="20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  <c r="IZ100" s="22"/>
      <c r="JA100" s="22"/>
      <c r="JB100" s="22"/>
      <c r="JC100" s="22"/>
      <c r="JD100" s="22"/>
      <c r="JE100" s="22"/>
      <c r="JF100" s="22"/>
      <c r="JG100" s="22"/>
      <c r="JH100" s="22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2"/>
      <c r="LK100" s="22"/>
      <c r="LL100" s="22"/>
      <c r="LM100" s="22"/>
      <c r="LN100" s="22"/>
      <c r="LO100" s="22"/>
      <c r="LP100" s="22"/>
      <c r="LQ100" s="22"/>
      <c r="LR100" s="22"/>
      <c r="LS100" s="22"/>
      <c r="LT100" s="22"/>
      <c r="LU100" s="22"/>
      <c r="LV100" s="22"/>
      <c r="LW100" s="22"/>
      <c r="LX100" s="22"/>
      <c r="LY100" s="22"/>
      <c r="LZ100" s="22"/>
      <c r="MA100" s="22"/>
      <c r="MB100" s="22"/>
      <c r="MC100" s="22"/>
      <c r="MD100" s="22"/>
      <c r="ME100" s="22"/>
      <c r="MF100" s="22"/>
      <c r="MG100" s="22"/>
      <c r="MH100" s="22"/>
      <c r="MI100" s="22"/>
      <c r="MJ100" s="22"/>
      <c r="MK100" s="22"/>
      <c r="ML100" s="22"/>
      <c r="MM100" s="22"/>
      <c r="MN100" s="22"/>
      <c r="MO100" s="22"/>
      <c r="MP100" s="22"/>
      <c r="MQ100" s="22"/>
      <c r="MR100" s="22"/>
      <c r="MS100" s="22"/>
      <c r="MT100" s="22"/>
      <c r="MU100" s="22"/>
      <c r="MV100" s="22"/>
      <c r="MW100" s="22"/>
      <c r="MX100" s="22"/>
      <c r="MY100" s="22"/>
      <c r="MZ100" s="22"/>
      <c r="NA100" s="22"/>
      <c r="NB100" s="22"/>
      <c r="NC100" s="22"/>
      <c r="ND100" s="22"/>
      <c r="NE100" s="22"/>
      <c r="NF100" s="22"/>
    </row>
    <row r="101" ht="15.75" hidden="1" customHeight="1">
      <c r="A101" s="237"/>
      <c r="B101" s="267"/>
      <c r="C101" s="239">
        <v>46111.0</v>
      </c>
      <c r="D101" s="245" t="s">
        <v>281</v>
      </c>
      <c r="E101" s="242" t="s">
        <v>47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0"/>
      <c r="AJ101" s="20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0"/>
      <c r="AW101" s="20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0"/>
      <c r="BJ101" s="20"/>
      <c r="BK101" s="20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0">
        <v>4.0</v>
      </c>
      <c r="CQ101" s="20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  <c r="IZ101" s="22"/>
      <c r="JA101" s="22"/>
      <c r="JB101" s="22"/>
      <c r="JC101" s="22"/>
      <c r="JD101" s="22"/>
      <c r="JE101" s="22"/>
      <c r="JF101" s="22"/>
      <c r="JG101" s="22"/>
      <c r="JH101" s="22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2"/>
      <c r="LK101" s="22"/>
      <c r="LL101" s="22"/>
      <c r="LM101" s="22"/>
      <c r="LN101" s="22"/>
      <c r="LO101" s="22"/>
      <c r="LP101" s="22"/>
      <c r="LQ101" s="22"/>
      <c r="LR101" s="22"/>
      <c r="LS101" s="22"/>
      <c r="LT101" s="22"/>
      <c r="LU101" s="22"/>
      <c r="LV101" s="22"/>
      <c r="LW101" s="22"/>
      <c r="LX101" s="22"/>
      <c r="LY101" s="22"/>
      <c r="LZ101" s="22"/>
      <c r="MA101" s="22"/>
      <c r="MB101" s="22"/>
      <c r="MC101" s="22"/>
      <c r="MD101" s="22"/>
      <c r="ME101" s="22"/>
      <c r="MF101" s="22"/>
      <c r="MG101" s="22"/>
      <c r="MH101" s="22"/>
      <c r="MI101" s="22"/>
      <c r="MJ101" s="22"/>
      <c r="MK101" s="22"/>
      <c r="ML101" s="22"/>
      <c r="MM101" s="22"/>
      <c r="MN101" s="22"/>
      <c r="MO101" s="22"/>
      <c r="MP101" s="22"/>
      <c r="MQ101" s="22"/>
      <c r="MR101" s="22"/>
      <c r="MS101" s="22"/>
      <c r="MT101" s="22"/>
      <c r="MU101" s="22"/>
      <c r="MV101" s="22"/>
      <c r="MW101" s="22"/>
      <c r="MX101" s="22"/>
      <c r="MY101" s="22"/>
      <c r="MZ101" s="22"/>
      <c r="NA101" s="22"/>
      <c r="NB101" s="22"/>
      <c r="NC101" s="22"/>
      <c r="ND101" s="22"/>
      <c r="NE101" s="22"/>
      <c r="NF101" s="22"/>
    </row>
    <row r="102" ht="15.75" hidden="1" customHeight="1">
      <c r="A102" s="237"/>
      <c r="B102" s="267"/>
      <c r="C102" s="239">
        <v>46112.0</v>
      </c>
      <c r="D102" s="245" t="s">
        <v>282</v>
      </c>
      <c r="E102" s="242" t="s">
        <v>47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0"/>
      <c r="AJ102" s="20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0"/>
      <c r="AW102" s="20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0"/>
      <c r="BJ102" s="20"/>
      <c r="BK102" s="20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0">
        <v>1.0</v>
      </c>
      <c r="CQ102" s="20">
        <v>1.0</v>
      </c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  <c r="IZ102" s="22"/>
      <c r="JA102" s="22"/>
      <c r="JB102" s="22"/>
      <c r="JC102" s="22"/>
      <c r="JD102" s="22"/>
      <c r="JE102" s="22"/>
      <c r="JF102" s="22"/>
      <c r="JG102" s="22"/>
      <c r="JH102" s="22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2"/>
      <c r="LK102" s="22"/>
      <c r="LL102" s="22"/>
      <c r="LM102" s="22"/>
      <c r="LN102" s="22"/>
      <c r="LO102" s="22"/>
      <c r="LP102" s="22"/>
      <c r="LQ102" s="22"/>
      <c r="LR102" s="22"/>
      <c r="LS102" s="22"/>
      <c r="LT102" s="22"/>
      <c r="LU102" s="22"/>
      <c r="LV102" s="22"/>
      <c r="LW102" s="22"/>
      <c r="LX102" s="22"/>
      <c r="LY102" s="22"/>
      <c r="LZ102" s="22"/>
      <c r="MA102" s="22"/>
      <c r="MB102" s="22"/>
      <c r="MC102" s="22"/>
      <c r="MD102" s="22"/>
      <c r="ME102" s="22"/>
      <c r="MF102" s="22"/>
      <c r="MG102" s="22"/>
      <c r="MH102" s="22"/>
      <c r="MI102" s="22"/>
      <c r="MJ102" s="22"/>
      <c r="MK102" s="22"/>
      <c r="ML102" s="22"/>
      <c r="MM102" s="22"/>
      <c r="MN102" s="22"/>
      <c r="MO102" s="22"/>
      <c r="MP102" s="22"/>
      <c r="MQ102" s="22"/>
      <c r="MR102" s="22"/>
      <c r="MS102" s="22"/>
      <c r="MT102" s="22"/>
      <c r="MU102" s="22"/>
      <c r="MV102" s="22"/>
      <c r="MW102" s="22"/>
      <c r="MX102" s="22"/>
      <c r="MY102" s="22"/>
      <c r="MZ102" s="22"/>
      <c r="NA102" s="22"/>
      <c r="NB102" s="22"/>
      <c r="NC102" s="22"/>
      <c r="ND102" s="22"/>
      <c r="NE102" s="22"/>
      <c r="NF102" s="22"/>
    </row>
    <row r="103" ht="15.75" hidden="1" customHeight="1">
      <c r="A103" s="237"/>
      <c r="B103" s="267"/>
      <c r="C103" s="239">
        <v>46113.0</v>
      </c>
      <c r="D103" s="245" t="s">
        <v>283</v>
      </c>
      <c r="E103" s="242" t="s">
        <v>47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0"/>
      <c r="AJ103" s="20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0"/>
      <c r="AW103" s="20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0"/>
      <c r="BJ103" s="20"/>
      <c r="BK103" s="20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0">
        <v>2.0</v>
      </c>
      <c r="CQ103" s="20"/>
      <c r="CR103" s="20">
        <v>1.0</v>
      </c>
      <c r="CS103" s="20">
        <v>1.0</v>
      </c>
      <c r="CT103" s="20">
        <v>1.0</v>
      </c>
      <c r="CU103" s="22"/>
      <c r="CV103" s="22"/>
      <c r="CW103" s="20">
        <v>1.0</v>
      </c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  <c r="IZ103" s="22"/>
      <c r="JA103" s="22"/>
      <c r="JB103" s="22"/>
      <c r="JC103" s="22"/>
      <c r="JD103" s="22"/>
      <c r="JE103" s="22"/>
      <c r="JF103" s="22"/>
      <c r="JG103" s="22"/>
      <c r="JH103" s="22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2"/>
      <c r="LK103" s="22"/>
      <c r="LL103" s="22"/>
      <c r="LM103" s="22"/>
      <c r="LN103" s="22"/>
      <c r="LO103" s="22"/>
      <c r="LP103" s="22"/>
      <c r="LQ103" s="22"/>
      <c r="LR103" s="22"/>
      <c r="LS103" s="22"/>
      <c r="LT103" s="22"/>
      <c r="LU103" s="22"/>
      <c r="LV103" s="22"/>
      <c r="LW103" s="22"/>
      <c r="LX103" s="22"/>
      <c r="LY103" s="22"/>
      <c r="LZ103" s="22"/>
      <c r="MA103" s="22"/>
      <c r="MB103" s="22"/>
      <c r="MC103" s="22"/>
      <c r="MD103" s="22"/>
      <c r="ME103" s="22"/>
      <c r="MF103" s="22"/>
      <c r="MG103" s="22"/>
      <c r="MH103" s="22"/>
      <c r="MI103" s="22"/>
      <c r="MJ103" s="22"/>
      <c r="MK103" s="22"/>
      <c r="ML103" s="22"/>
      <c r="MM103" s="22"/>
      <c r="MN103" s="22"/>
      <c r="MO103" s="22"/>
      <c r="MP103" s="22"/>
      <c r="MQ103" s="22"/>
      <c r="MR103" s="22"/>
      <c r="MS103" s="22"/>
      <c r="MT103" s="22"/>
      <c r="MU103" s="22"/>
      <c r="MV103" s="22"/>
      <c r="MW103" s="22"/>
      <c r="MX103" s="22"/>
      <c r="MY103" s="22"/>
      <c r="MZ103" s="22"/>
      <c r="NA103" s="22"/>
      <c r="NB103" s="22"/>
      <c r="NC103" s="22"/>
      <c r="ND103" s="22"/>
      <c r="NE103" s="22"/>
      <c r="NF103" s="22"/>
    </row>
    <row r="104" ht="15.75" hidden="1" customHeight="1">
      <c r="A104" s="237"/>
      <c r="B104" s="267"/>
      <c r="C104" s="239">
        <v>46114.0</v>
      </c>
      <c r="D104" s="245" t="s">
        <v>284</v>
      </c>
      <c r="E104" s="242" t="s">
        <v>47</v>
      </c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0"/>
      <c r="AJ104" s="20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0"/>
      <c r="AW104" s="20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0"/>
      <c r="BJ104" s="20"/>
      <c r="BK104" s="20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0">
        <v>3.0</v>
      </c>
      <c r="CR104" s="22"/>
      <c r="CS104" s="20">
        <v>1.0</v>
      </c>
      <c r="CT104" s="20">
        <v>1.0</v>
      </c>
      <c r="CU104" s="22"/>
      <c r="CV104" s="22"/>
      <c r="CW104" s="20">
        <v>2.0</v>
      </c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  <c r="IZ104" s="22"/>
      <c r="JA104" s="22"/>
      <c r="JB104" s="22"/>
      <c r="JC104" s="22"/>
      <c r="JD104" s="22"/>
      <c r="JE104" s="22"/>
      <c r="JF104" s="22"/>
      <c r="JG104" s="22"/>
      <c r="JH104" s="22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2"/>
      <c r="LK104" s="22"/>
      <c r="LL104" s="22"/>
      <c r="LM104" s="22"/>
      <c r="LN104" s="22"/>
      <c r="LO104" s="22"/>
      <c r="LP104" s="22"/>
      <c r="LQ104" s="22"/>
      <c r="LR104" s="22"/>
      <c r="LS104" s="22"/>
      <c r="LT104" s="22"/>
      <c r="LU104" s="22"/>
      <c r="LV104" s="22"/>
      <c r="LW104" s="22"/>
      <c r="LX104" s="22"/>
      <c r="LY104" s="22"/>
      <c r="LZ104" s="22"/>
      <c r="MA104" s="22"/>
      <c r="MB104" s="22"/>
      <c r="MC104" s="22"/>
      <c r="MD104" s="22"/>
      <c r="ME104" s="22"/>
      <c r="MF104" s="22"/>
      <c r="MG104" s="22"/>
      <c r="MH104" s="22"/>
      <c r="MI104" s="22"/>
      <c r="MJ104" s="22"/>
      <c r="MK104" s="22"/>
      <c r="ML104" s="22"/>
      <c r="MM104" s="22"/>
      <c r="MN104" s="22"/>
      <c r="MO104" s="22"/>
      <c r="MP104" s="22"/>
      <c r="MQ104" s="22"/>
      <c r="MR104" s="22"/>
      <c r="MS104" s="22"/>
      <c r="MT104" s="22"/>
      <c r="MU104" s="22"/>
      <c r="MV104" s="22"/>
      <c r="MW104" s="22"/>
      <c r="MX104" s="22"/>
      <c r="MY104" s="22"/>
      <c r="MZ104" s="22"/>
      <c r="NA104" s="22"/>
      <c r="NB104" s="22"/>
      <c r="NC104" s="22"/>
      <c r="ND104" s="22"/>
      <c r="NE104" s="22"/>
      <c r="NF104" s="22"/>
    </row>
    <row r="105" ht="15.75" hidden="1" customHeight="1">
      <c r="A105" s="237"/>
      <c r="B105" s="251">
        <v>84163.0</v>
      </c>
      <c r="C105" s="249">
        <v>46113.0</v>
      </c>
      <c r="D105" s="275" t="s">
        <v>285</v>
      </c>
      <c r="E105" s="242" t="s">
        <v>47</v>
      </c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0"/>
      <c r="AJ105" s="20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0"/>
      <c r="AW105" s="20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0"/>
      <c r="BJ105" s="20"/>
      <c r="BK105" s="20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0">
        <v>3.0</v>
      </c>
      <c r="CR105" s="20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  <c r="IZ105" s="22"/>
      <c r="JA105" s="22"/>
      <c r="JB105" s="22"/>
      <c r="JC105" s="22"/>
      <c r="JD105" s="22"/>
      <c r="JE105" s="22"/>
      <c r="JF105" s="22"/>
      <c r="JG105" s="22"/>
      <c r="JH105" s="22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2"/>
      <c r="LK105" s="22"/>
      <c r="LL105" s="22"/>
      <c r="LM105" s="22"/>
      <c r="LN105" s="22"/>
      <c r="LO105" s="22"/>
      <c r="LP105" s="22"/>
      <c r="LQ105" s="22"/>
      <c r="LR105" s="22"/>
      <c r="LS105" s="22"/>
      <c r="LT105" s="22"/>
      <c r="LU105" s="22"/>
      <c r="LV105" s="22"/>
      <c r="LW105" s="22"/>
      <c r="LX105" s="22"/>
      <c r="LY105" s="22"/>
      <c r="LZ105" s="22"/>
      <c r="MA105" s="22"/>
      <c r="MB105" s="22"/>
      <c r="MC105" s="22"/>
      <c r="MD105" s="22"/>
      <c r="ME105" s="22"/>
      <c r="MF105" s="22"/>
      <c r="MG105" s="22"/>
      <c r="MH105" s="22"/>
      <c r="MI105" s="22"/>
      <c r="MJ105" s="22"/>
      <c r="MK105" s="22"/>
      <c r="ML105" s="22"/>
      <c r="MM105" s="22"/>
      <c r="MN105" s="22"/>
      <c r="MO105" s="22"/>
      <c r="MP105" s="22"/>
      <c r="MQ105" s="22"/>
      <c r="MR105" s="22"/>
      <c r="MS105" s="22"/>
      <c r="MT105" s="22"/>
      <c r="MU105" s="22"/>
      <c r="MV105" s="22"/>
      <c r="MW105" s="22"/>
      <c r="MX105" s="22"/>
      <c r="MY105" s="22"/>
      <c r="MZ105" s="22"/>
      <c r="NA105" s="22"/>
      <c r="NB105" s="22"/>
      <c r="NC105" s="22"/>
      <c r="ND105" s="22"/>
      <c r="NE105" s="22"/>
      <c r="NF105" s="22"/>
    </row>
    <row r="106" ht="15.75" hidden="1" customHeight="1">
      <c r="A106" s="237"/>
      <c r="B106" s="267"/>
      <c r="C106" s="239">
        <v>46113.0</v>
      </c>
      <c r="D106" s="245" t="s">
        <v>286</v>
      </c>
      <c r="E106" s="242" t="s">
        <v>47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0"/>
      <c r="AJ106" s="20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0"/>
      <c r="AW106" s="20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0"/>
      <c r="BJ106" s="20"/>
      <c r="BK106" s="20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0">
        <v>1.0</v>
      </c>
      <c r="CR106" s="20">
        <v>4.0</v>
      </c>
      <c r="CS106" s="20"/>
      <c r="CT106" s="20">
        <v>1.0</v>
      </c>
      <c r="CU106" s="22"/>
      <c r="CV106" s="22"/>
      <c r="CW106" s="20">
        <v>1.0</v>
      </c>
      <c r="CX106" s="20">
        <v>1.0</v>
      </c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  <c r="IZ106" s="22"/>
      <c r="JA106" s="22"/>
      <c r="JB106" s="22"/>
      <c r="JC106" s="22"/>
      <c r="JD106" s="22"/>
      <c r="JE106" s="22"/>
      <c r="JF106" s="22"/>
      <c r="JG106" s="22"/>
      <c r="JH106" s="22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2"/>
      <c r="LK106" s="22"/>
      <c r="LL106" s="22"/>
      <c r="LM106" s="22"/>
      <c r="LN106" s="22"/>
      <c r="LO106" s="22"/>
      <c r="LP106" s="22"/>
      <c r="LQ106" s="22"/>
      <c r="LR106" s="22"/>
      <c r="LS106" s="22"/>
      <c r="LT106" s="22"/>
      <c r="LU106" s="22"/>
      <c r="LV106" s="22"/>
      <c r="LW106" s="22"/>
      <c r="LX106" s="22"/>
      <c r="LY106" s="22"/>
      <c r="LZ106" s="22"/>
      <c r="MA106" s="22"/>
      <c r="MB106" s="22"/>
      <c r="MC106" s="22"/>
      <c r="MD106" s="22"/>
      <c r="ME106" s="22"/>
      <c r="MF106" s="22"/>
      <c r="MG106" s="22"/>
      <c r="MH106" s="22"/>
      <c r="MI106" s="22"/>
      <c r="MJ106" s="22"/>
      <c r="MK106" s="22"/>
      <c r="ML106" s="22"/>
      <c r="MM106" s="22"/>
      <c r="MN106" s="22"/>
      <c r="MO106" s="22"/>
      <c r="MP106" s="22"/>
      <c r="MQ106" s="22"/>
      <c r="MR106" s="22"/>
      <c r="MS106" s="22"/>
      <c r="MT106" s="22"/>
      <c r="MU106" s="22"/>
      <c r="MV106" s="22"/>
      <c r="MW106" s="22"/>
      <c r="MX106" s="22"/>
      <c r="MY106" s="22"/>
      <c r="MZ106" s="22"/>
      <c r="NA106" s="22"/>
      <c r="NB106" s="22"/>
      <c r="NC106" s="22"/>
      <c r="ND106" s="22"/>
      <c r="NE106" s="22"/>
      <c r="NF106" s="22"/>
    </row>
    <row r="107" ht="15.75" hidden="1" customHeight="1">
      <c r="A107" s="237"/>
      <c r="B107" s="267"/>
      <c r="C107" s="239">
        <v>46114.0</v>
      </c>
      <c r="D107" s="245" t="s">
        <v>287</v>
      </c>
      <c r="E107" s="242" t="s">
        <v>47</v>
      </c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0"/>
      <c r="AJ107" s="20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0"/>
      <c r="AW107" s="20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0"/>
      <c r="BJ107" s="20"/>
      <c r="BK107" s="20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0">
        <v>3.0</v>
      </c>
      <c r="CS107" s="20">
        <v>1.0</v>
      </c>
      <c r="CT107" s="20">
        <v>1.0</v>
      </c>
      <c r="CU107" s="22"/>
      <c r="CV107" s="22"/>
      <c r="CW107" s="20"/>
      <c r="CX107" s="20">
        <v>2.0</v>
      </c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  <c r="IZ107" s="22"/>
      <c r="JA107" s="22"/>
      <c r="JB107" s="22"/>
      <c r="JC107" s="22"/>
      <c r="JD107" s="22"/>
      <c r="JE107" s="22"/>
      <c r="JF107" s="22"/>
      <c r="JG107" s="22"/>
      <c r="JH107" s="22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2"/>
      <c r="LK107" s="22"/>
      <c r="LL107" s="22"/>
      <c r="LM107" s="22"/>
      <c r="LN107" s="22"/>
      <c r="LO107" s="22"/>
      <c r="LP107" s="22"/>
      <c r="LQ107" s="22"/>
      <c r="LR107" s="22"/>
      <c r="LS107" s="22"/>
      <c r="LT107" s="22"/>
      <c r="LU107" s="22"/>
      <c r="LV107" s="22"/>
      <c r="LW107" s="22"/>
      <c r="LX107" s="22"/>
      <c r="LY107" s="22"/>
      <c r="LZ107" s="22"/>
      <c r="MA107" s="22"/>
      <c r="MB107" s="22"/>
      <c r="MC107" s="22"/>
      <c r="MD107" s="22"/>
      <c r="ME107" s="22"/>
      <c r="MF107" s="22"/>
      <c r="MG107" s="22"/>
      <c r="MH107" s="22"/>
      <c r="MI107" s="22"/>
      <c r="MJ107" s="22"/>
      <c r="MK107" s="22"/>
      <c r="ML107" s="22"/>
      <c r="MM107" s="22"/>
      <c r="MN107" s="22"/>
      <c r="MO107" s="22"/>
      <c r="MP107" s="22"/>
      <c r="MQ107" s="22"/>
      <c r="MR107" s="22"/>
      <c r="MS107" s="22"/>
      <c r="MT107" s="22"/>
      <c r="MU107" s="22"/>
      <c r="MV107" s="22"/>
      <c r="MW107" s="22"/>
      <c r="MX107" s="22"/>
      <c r="MY107" s="22"/>
      <c r="MZ107" s="22"/>
      <c r="NA107" s="22"/>
      <c r="NB107" s="22"/>
      <c r="NC107" s="22"/>
      <c r="ND107" s="22"/>
      <c r="NE107" s="22"/>
      <c r="NF107" s="22"/>
    </row>
    <row r="108" ht="15.75" hidden="1" customHeight="1">
      <c r="A108" s="237"/>
      <c r="B108" s="267"/>
      <c r="C108" s="239">
        <v>46128.0</v>
      </c>
      <c r="D108" s="245" t="s">
        <v>288</v>
      </c>
      <c r="E108" s="242" t="s">
        <v>47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0"/>
      <c r="AJ108" s="20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0"/>
      <c r="AW108" s="20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0"/>
      <c r="BJ108" s="20"/>
      <c r="BK108" s="20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0">
        <v>4.0</v>
      </c>
      <c r="CT108" s="20">
        <v>1.0</v>
      </c>
      <c r="CU108" s="22"/>
      <c r="CV108" s="22"/>
      <c r="CW108" s="20">
        <v>1.0</v>
      </c>
      <c r="CX108" s="22"/>
      <c r="CY108" s="22"/>
      <c r="CZ108" s="22"/>
      <c r="DA108" s="22"/>
      <c r="DB108" s="22"/>
      <c r="DC108" s="22"/>
      <c r="DD108" s="22"/>
      <c r="DE108" s="20">
        <v>1.0</v>
      </c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  <c r="IZ108" s="22"/>
      <c r="JA108" s="22"/>
      <c r="JB108" s="22"/>
      <c r="JC108" s="22"/>
      <c r="JD108" s="22"/>
      <c r="JE108" s="22"/>
      <c r="JF108" s="22"/>
      <c r="JG108" s="22"/>
      <c r="JH108" s="22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2"/>
      <c r="LK108" s="22"/>
      <c r="LL108" s="22"/>
      <c r="LM108" s="22"/>
      <c r="LN108" s="22"/>
      <c r="LO108" s="22"/>
      <c r="LP108" s="22"/>
      <c r="LQ108" s="22"/>
      <c r="LR108" s="22"/>
      <c r="LS108" s="22"/>
      <c r="LT108" s="22"/>
      <c r="LU108" s="22"/>
      <c r="LV108" s="22"/>
      <c r="LW108" s="22"/>
      <c r="LX108" s="22"/>
      <c r="LY108" s="22"/>
      <c r="LZ108" s="22"/>
      <c r="MA108" s="22"/>
      <c r="MB108" s="22"/>
      <c r="MC108" s="22"/>
      <c r="MD108" s="22"/>
      <c r="ME108" s="22"/>
      <c r="MF108" s="22"/>
      <c r="MG108" s="22"/>
      <c r="MH108" s="22"/>
      <c r="MI108" s="22"/>
      <c r="MJ108" s="22"/>
      <c r="MK108" s="22"/>
      <c r="ML108" s="22"/>
      <c r="MM108" s="22"/>
      <c r="MN108" s="22"/>
      <c r="MO108" s="22"/>
      <c r="MP108" s="22"/>
      <c r="MQ108" s="22"/>
      <c r="MR108" s="22"/>
      <c r="MS108" s="22"/>
      <c r="MT108" s="22"/>
      <c r="MU108" s="22"/>
      <c r="MV108" s="22"/>
      <c r="MW108" s="22"/>
      <c r="MX108" s="22"/>
      <c r="MY108" s="22"/>
      <c r="MZ108" s="22"/>
      <c r="NA108" s="22"/>
      <c r="NB108" s="22"/>
      <c r="NC108" s="22"/>
      <c r="ND108" s="22"/>
      <c r="NE108" s="22"/>
      <c r="NF108" s="22"/>
    </row>
    <row r="109" ht="15.75" hidden="1" customHeight="1">
      <c r="A109" s="237"/>
      <c r="B109" s="267"/>
      <c r="C109" s="239">
        <v>46139.0</v>
      </c>
      <c r="D109" s="245" t="s">
        <v>289</v>
      </c>
      <c r="E109" s="242" t="s">
        <v>34</v>
      </c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0"/>
      <c r="AJ109" s="20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0"/>
      <c r="AW109" s="20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0"/>
      <c r="BJ109" s="20"/>
      <c r="BK109" s="20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0">
        <v>3.0</v>
      </c>
      <c r="CU109" s="22"/>
      <c r="CV109" s="22"/>
      <c r="CW109" s="20">
        <v>2.0</v>
      </c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  <c r="IZ109" s="22"/>
      <c r="JA109" s="22"/>
      <c r="JB109" s="22"/>
      <c r="JC109" s="22"/>
      <c r="JD109" s="22"/>
      <c r="JE109" s="22"/>
      <c r="JF109" s="22"/>
      <c r="JG109" s="22"/>
      <c r="JH109" s="22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2"/>
      <c r="LK109" s="22"/>
      <c r="LL109" s="22"/>
      <c r="LM109" s="22"/>
      <c r="LN109" s="22"/>
      <c r="LO109" s="22"/>
      <c r="LP109" s="22"/>
      <c r="LQ109" s="22"/>
      <c r="LR109" s="22"/>
      <c r="LS109" s="22"/>
      <c r="LT109" s="22"/>
      <c r="LU109" s="22"/>
      <c r="LV109" s="22"/>
      <c r="LW109" s="22"/>
      <c r="LX109" s="22"/>
      <c r="LY109" s="22"/>
      <c r="LZ109" s="22"/>
      <c r="MA109" s="22"/>
      <c r="MB109" s="22"/>
      <c r="MC109" s="22"/>
      <c r="MD109" s="22"/>
      <c r="ME109" s="22"/>
      <c r="MF109" s="22"/>
      <c r="MG109" s="22"/>
      <c r="MH109" s="22"/>
      <c r="MI109" s="22"/>
      <c r="MJ109" s="22"/>
      <c r="MK109" s="22"/>
      <c r="ML109" s="22"/>
      <c r="MM109" s="22"/>
      <c r="MN109" s="22"/>
      <c r="MO109" s="22"/>
      <c r="MP109" s="22"/>
      <c r="MQ109" s="22"/>
      <c r="MR109" s="22"/>
      <c r="MS109" s="22"/>
      <c r="MT109" s="22"/>
      <c r="MU109" s="22"/>
      <c r="MV109" s="22"/>
      <c r="MW109" s="22"/>
      <c r="MX109" s="22"/>
      <c r="MY109" s="22"/>
      <c r="MZ109" s="22"/>
      <c r="NA109" s="22"/>
      <c r="NB109" s="22"/>
      <c r="NC109" s="22"/>
      <c r="ND109" s="22"/>
      <c r="NE109" s="22"/>
      <c r="NF109" s="22"/>
    </row>
    <row r="110" ht="15.75" hidden="1" customHeight="1">
      <c r="A110" s="237"/>
      <c r="B110" s="267"/>
      <c r="C110" s="239">
        <v>46119.0</v>
      </c>
      <c r="D110" s="245" t="s">
        <v>290</v>
      </c>
      <c r="E110" s="242" t="s">
        <v>47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0"/>
      <c r="AJ110" s="20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0"/>
      <c r="AW110" s="20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0"/>
      <c r="BJ110" s="20"/>
      <c r="BK110" s="20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0"/>
      <c r="CX110" s="20">
        <v>4.0</v>
      </c>
      <c r="CY110" s="20">
        <v>1.0</v>
      </c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  <c r="IZ110" s="22"/>
      <c r="JA110" s="22"/>
      <c r="JB110" s="22"/>
      <c r="JC110" s="22"/>
      <c r="JD110" s="22"/>
      <c r="JE110" s="22"/>
      <c r="JF110" s="22"/>
      <c r="JG110" s="22"/>
      <c r="JH110" s="22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2"/>
      <c r="LK110" s="22"/>
      <c r="LL110" s="22"/>
      <c r="LM110" s="22"/>
      <c r="LN110" s="22"/>
      <c r="LO110" s="22"/>
      <c r="LP110" s="22"/>
      <c r="LQ110" s="22"/>
      <c r="LR110" s="22"/>
      <c r="LS110" s="22"/>
      <c r="LT110" s="22"/>
      <c r="LU110" s="22"/>
      <c r="LV110" s="22"/>
      <c r="LW110" s="22"/>
      <c r="LX110" s="22"/>
      <c r="LY110" s="22"/>
      <c r="LZ110" s="22"/>
      <c r="MA110" s="22"/>
      <c r="MB110" s="22"/>
      <c r="MC110" s="22"/>
      <c r="MD110" s="22"/>
      <c r="ME110" s="22"/>
      <c r="MF110" s="22"/>
      <c r="MG110" s="22"/>
      <c r="MH110" s="22"/>
      <c r="MI110" s="22"/>
      <c r="MJ110" s="22"/>
      <c r="MK110" s="22"/>
      <c r="ML110" s="22"/>
      <c r="MM110" s="22"/>
      <c r="MN110" s="22"/>
      <c r="MO110" s="22"/>
      <c r="MP110" s="22"/>
      <c r="MQ110" s="22"/>
      <c r="MR110" s="22"/>
      <c r="MS110" s="22"/>
      <c r="MT110" s="22"/>
      <c r="MU110" s="22"/>
      <c r="MV110" s="22"/>
      <c r="MW110" s="22"/>
      <c r="MX110" s="22"/>
      <c r="MY110" s="22"/>
      <c r="MZ110" s="22"/>
      <c r="NA110" s="22"/>
      <c r="NB110" s="22"/>
      <c r="NC110" s="22"/>
      <c r="ND110" s="22"/>
      <c r="NE110" s="22"/>
      <c r="NF110" s="22"/>
    </row>
    <row r="111" ht="15.75" hidden="1" customHeight="1">
      <c r="A111" s="237"/>
      <c r="B111" s="267"/>
      <c r="C111" s="239">
        <v>46133.0</v>
      </c>
      <c r="D111" s="245" t="s">
        <v>291</v>
      </c>
      <c r="E111" s="242" t="s">
        <v>47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0"/>
      <c r="AJ111" s="20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0"/>
      <c r="AW111" s="20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0"/>
      <c r="BJ111" s="20"/>
      <c r="BK111" s="20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0">
        <v>1.0</v>
      </c>
      <c r="CX111" s="20">
        <v>1.0</v>
      </c>
      <c r="CY111" s="22"/>
      <c r="CZ111" s="22"/>
      <c r="DA111" s="22"/>
      <c r="DB111" s="22"/>
      <c r="DC111" s="22"/>
      <c r="DD111" s="20">
        <v>1.0</v>
      </c>
      <c r="DE111" s="22"/>
      <c r="DF111" s="22"/>
      <c r="DG111" s="20">
        <v>3.0</v>
      </c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  <c r="IZ111" s="22"/>
      <c r="JA111" s="22"/>
      <c r="JB111" s="22"/>
      <c r="JC111" s="22"/>
      <c r="JD111" s="22"/>
      <c r="JE111" s="22"/>
      <c r="JF111" s="22"/>
      <c r="JG111" s="22"/>
      <c r="JH111" s="22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2"/>
      <c r="LK111" s="22"/>
      <c r="LL111" s="22"/>
      <c r="LM111" s="22"/>
      <c r="LN111" s="22"/>
      <c r="LO111" s="22"/>
      <c r="LP111" s="22"/>
      <c r="LQ111" s="22"/>
      <c r="LR111" s="22"/>
      <c r="LS111" s="22"/>
      <c r="LT111" s="22"/>
      <c r="LU111" s="22"/>
      <c r="LV111" s="22"/>
      <c r="LW111" s="22"/>
      <c r="LX111" s="22"/>
      <c r="LY111" s="22"/>
      <c r="LZ111" s="22"/>
      <c r="MA111" s="22"/>
      <c r="MB111" s="22"/>
      <c r="MC111" s="22"/>
      <c r="MD111" s="22"/>
      <c r="ME111" s="22"/>
      <c r="MF111" s="22"/>
      <c r="MG111" s="22"/>
      <c r="MH111" s="22"/>
      <c r="MI111" s="22"/>
      <c r="MJ111" s="22"/>
      <c r="MK111" s="22"/>
      <c r="ML111" s="22"/>
      <c r="MM111" s="22"/>
      <c r="MN111" s="22"/>
      <c r="MO111" s="22"/>
      <c r="MP111" s="22"/>
      <c r="MQ111" s="22"/>
      <c r="MR111" s="22"/>
      <c r="MS111" s="22"/>
      <c r="MT111" s="22"/>
      <c r="MU111" s="22"/>
      <c r="MV111" s="22"/>
      <c r="MW111" s="22"/>
      <c r="MX111" s="22"/>
      <c r="MY111" s="22"/>
      <c r="MZ111" s="22"/>
      <c r="NA111" s="22"/>
      <c r="NB111" s="22"/>
      <c r="NC111" s="22"/>
      <c r="ND111" s="22"/>
      <c r="NE111" s="22"/>
      <c r="NF111" s="22"/>
    </row>
    <row r="112" ht="15.75" hidden="1" customHeight="1">
      <c r="A112" s="237"/>
      <c r="B112" s="267"/>
      <c r="C112" s="239">
        <v>46125.0</v>
      </c>
      <c r="D112" s="245" t="s">
        <v>292</v>
      </c>
      <c r="E112" s="242" t="s">
        <v>47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0"/>
      <c r="AJ112" s="20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0"/>
      <c r="AW112" s="20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0"/>
      <c r="BJ112" s="20"/>
      <c r="BK112" s="20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0">
        <v>6.0</v>
      </c>
      <c r="CZ112" s="20">
        <v>4.0</v>
      </c>
      <c r="DA112" s="22"/>
      <c r="DB112" s="22"/>
      <c r="DC112" s="22"/>
      <c r="DD112" s="20">
        <v>3.0</v>
      </c>
      <c r="DE112" s="20"/>
      <c r="DF112" s="20">
        <v>1.0</v>
      </c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  <c r="IZ112" s="22"/>
      <c r="JA112" s="22"/>
      <c r="JB112" s="22"/>
      <c r="JC112" s="22"/>
      <c r="JD112" s="22"/>
      <c r="JE112" s="22"/>
      <c r="JF112" s="22"/>
      <c r="JG112" s="22"/>
      <c r="JH112" s="22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2"/>
      <c r="LK112" s="22"/>
      <c r="LL112" s="22"/>
      <c r="LM112" s="22"/>
      <c r="LN112" s="22"/>
      <c r="LO112" s="22"/>
      <c r="LP112" s="22"/>
      <c r="LQ112" s="22"/>
      <c r="LR112" s="22"/>
      <c r="LS112" s="22"/>
      <c r="LT112" s="22"/>
      <c r="LU112" s="22"/>
      <c r="LV112" s="22"/>
      <c r="LW112" s="22"/>
      <c r="LX112" s="22"/>
      <c r="LY112" s="22"/>
      <c r="LZ112" s="22"/>
      <c r="MA112" s="22"/>
      <c r="MB112" s="22"/>
      <c r="MC112" s="22"/>
      <c r="MD112" s="22"/>
      <c r="ME112" s="22"/>
      <c r="MF112" s="22"/>
      <c r="MG112" s="22"/>
      <c r="MH112" s="22"/>
      <c r="MI112" s="22"/>
      <c r="MJ112" s="22"/>
      <c r="MK112" s="22"/>
      <c r="ML112" s="22"/>
      <c r="MM112" s="22"/>
      <c r="MN112" s="22"/>
      <c r="MO112" s="22"/>
      <c r="MP112" s="22"/>
      <c r="MQ112" s="22"/>
      <c r="MR112" s="22"/>
      <c r="MS112" s="22"/>
      <c r="MT112" s="22"/>
      <c r="MU112" s="22"/>
      <c r="MV112" s="22"/>
      <c r="MW112" s="22"/>
      <c r="MX112" s="22"/>
      <c r="MY112" s="22"/>
      <c r="MZ112" s="22"/>
      <c r="NA112" s="22"/>
      <c r="NB112" s="22"/>
      <c r="NC112" s="22"/>
      <c r="ND112" s="22"/>
      <c r="NE112" s="22"/>
      <c r="NF112" s="22"/>
    </row>
    <row r="113" ht="15.75" hidden="1" customHeight="1">
      <c r="A113" s="237"/>
      <c r="B113" s="267"/>
      <c r="C113" s="239">
        <v>46121.0</v>
      </c>
      <c r="D113" s="245" t="s">
        <v>293</v>
      </c>
      <c r="E113" s="242" t="s">
        <v>47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0"/>
      <c r="AJ113" s="20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0"/>
      <c r="AW113" s="20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0"/>
      <c r="BJ113" s="20"/>
      <c r="BK113" s="20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0">
        <v>4.0</v>
      </c>
      <c r="DA113" s="22"/>
      <c r="DB113" s="22"/>
      <c r="DC113" s="22"/>
      <c r="DD113" s="22"/>
      <c r="DE113" s="20">
        <v>3.0</v>
      </c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  <c r="IZ113" s="22"/>
      <c r="JA113" s="22"/>
      <c r="JB113" s="22"/>
      <c r="JC113" s="22"/>
      <c r="JD113" s="22"/>
      <c r="JE113" s="22"/>
      <c r="JF113" s="22"/>
      <c r="JG113" s="22"/>
      <c r="JH113" s="22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2"/>
      <c r="LK113" s="22"/>
      <c r="LL113" s="22"/>
      <c r="LM113" s="22"/>
      <c r="LN113" s="22"/>
      <c r="LO113" s="22"/>
      <c r="LP113" s="22"/>
      <c r="LQ113" s="22"/>
      <c r="LR113" s="22"/>
      <c r="LS113" s="22"/>
      <c r="LT113" s="22"/>
      <c r="LU113" s="22"/>
      <c r="LV113" s="22"/>
      <c r="LW113" s="22"/>
      <c r="LX113" s="22"/>
      <c r="LY113" s="22"/>
      <c r="LZ113" s="22"/>
      <c r="MA113" s="22"/>
      <c r="MB113" s="22"/>
      <c r="MC113" s="22"/>
      <c r="MD113" s="22"/>
      <c r="ME113" s="22"/>
      <c r="MF113" s="22"/>
      <c r="MG113" s="22"/>
      <c r="MH113" s="22"/>
      <c r="MI113" s="22"/>
      <c r="MJ113" s="22"/>
      <c r="MK113" s="22"/>
      <c r="ML113" s="22"/>
      <c r="MM113" s="22"/>
      <c r="MN113" s="22"/>
      <c r="MO113" s="22"/>
      <c r="MP113" s="22"/>
      <c r="MQ113" s="22"/>
      <c r="MR113" s="22"/>
      <c r="MS113" s="22"/>
      <c r="MT113" s="22"/>
      <c r="MU113" s="22"/>
      <c r="MV113" s="22"/>
      <c r="MW113" s="22"/>
      <c r="MX113" s="22"/>
      <c r="MY113" s="22"/>
      <c r="MZ113" s="22"/>
      <c r="NA113" s="22"/>
      <c r="NB113" s="22"/>
      <c r="NC113" s="22"/>
      <c r="ND113" s="22"/>
      <c r="NE113" s="22"/>
      <c r="NF113" s="22"/>
    </row>
    <row r="114" ht="15.75" hidden="1" customHeight="1">
      <c r="A114" s="237"/>
      <c r="B114" s="267"/>
      <c r="C114" s="239">
        <v>46127.0</v>
      </c>
      <c r="D114" s="245" t="s">
        <v>294</v>
      </c>
      <c r="E114" s="242" t="s">
        <v>47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0"/>
      <c r="AJ114" s="20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0"/>
      <c r="AW114" s="20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0"/>
      <c r="BJ114" s="20"/>
      <c r="BK114" s="20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0">
        <v>2.0</v>
      </c>
      <c r="DF114" s="20">
        <v>5.0</v>
      </c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  <c r="IZ114" s="22"/>
      <c r="JA114" s="22"/>
      <c r="JB114" s="22"/>
      <c r="JC114" s="22"/>
      <c r="JD114" s="22"/>
      <c r="JE114" s="22"/>
      <c r="JF114" s="22"/>
      <c r="JG114" s="22"/>
      <c r="JH114" s="22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2"/>
      <c r="LK114" s="22"/>
      <c r="LL114" s="22"/>
      <c r="LM114" s="22"/>
      <c r="LN114" s="22"/>
      <c r="LO114" s="22"/>
      <c r="LP114" s="22"/>
      <c r="LQ114" s="22"/>
      <c r="LR114" s="22"/>
      <c r="LS114" s="22"/>
      <c r="LT114" s="22"/>
      <c r="LU114" s="22"/>
      <c r="LV114" s="22"/>
      <c r="LW114" s="22"/>
      <c r="LX114" s="22"/>
      <c r="LY114" s="22"/>
      <c r="LZ114" s="22"/>
      <c r="MA114" s="22"/>
      <c r="MB114" s="22"/>
      <c r="MC114" s="22"/>
      <c r="MD114" s="22"/>
      <c r="ME114" s="22"/>
      <c r="MF114" s="22"/>
      <c r="MG114" s="22"/>
      <c r="MH114" s="22"/>
      <c r="MI114" s="22"/>
      <c r="MJ114" s="22"/>
      <c r="MK114" s="22"/>
      <c r="ML114" s="22"/>
      <c r="MM114" s="22"/>
      <c r="MN114" s="22"/>
      <c r="MO114" s="22"/>
      <c r="MP114" s="22"/>
      <c r="MQ114" s="22"/>
      <c r="MR114" s="22"/>
      <c r="MS114" s="22"/>
      <c r="MT114" s="22"/>
      <c r="MU114" s="22"/>
      <c r="MV114" s="22"/>
      <c r="MW114" s="22"/>
      <c r="MX114" s="22"/>
      <c r="MY114" s="22"/>
      <c r="MZ114" s="22"/>
      <c r="NA114" s="22"/>
      <c r="NB114" s="22"/>
      <c r="NC114" s="22"/>
      <c r="ND114" s="22"/>
      <c r="NE114" s="22"/>
      <c r="NF114" s="22"/>
    </row>
    <row r="115" ht="15.75" hidden="1" customHeight="1">
      <c r="A115" s="237"/>
      <c r="B115" s="267"/>
      <c r="C115" s="239">
        <v>46129.0</v>
      </c>
      <c r="D115" s="245" t="s">
        <v>295</v>
      </c>
      <c r="E115" s="242" t="s">
        <v>47</v>
      </c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0"/>
      <c r="AJ115" s="20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0"/>
      <c r="AW115" s="20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0"/>
      <c r="BJ115" s="20"/>
      <c r="BK115" s="20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0">
        <v>4.0</v>
      </c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  <c r="IZ115" s="22"/>
      <c r="JA115" s="22"/>
      <c r="JB115" s="22"/>
      <c r="JC115" s="22"/>
      <c r="JD115" s="22"/>
      <c r="JE115" s="22"/>
      <c r="JF115" s="22"/>
      <c r="JG115" s="22"/>
      <c r="JH115" s="22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2"/>
      <c r="LK115" s="22"/>
      <c r="LL115" s="22"/>
      <c r="LM115" s="22"/>
      <c r="LN115" s="22"/>
      <c r="LO115" s="22"/>
      <c r="LP115" s="22"/>
      <c r="LQ115" s="22"/>
      <c r="LR115" s="22"/>
      <c r="LS115" s="22"/>
      <c r="LT115" s="22"/>
      <c r="LU115" s="22"/>
      <c r="LV115" s="22"/>
      <c r="LW115" s="22"/>
      <c r="LX115" s="22"/>
      <c r="LY115" s="22"/>
      <c r="LZ115" s="22"/>
      <c r="MA115" s="22"/>
      <c r="MB115" s="22"/>
      <c r="MC115" s="22"/>
      <c r="MD115" s="22"/>
      <c r="ME115" s="22"/>
      <c r="MF115" s="22"/>
      <c r="MG115" s="22"/>
      <c r="MH115" s="22"/>
      <c r="MI115" s="22"/>
      <c r="MJ115" s="22"/>
      <c r="MK115" s="22"/>
      <c r="ML115" s="22"/>
      <c r="MM115" s="22"/>
      <c r="MN115" s="22"/>
      <c r="MO115" s="22"/>
      <c r="MP115" s="22"/>
      <c r="MQ115" s="22"/>
      <c r="MR115" s="22"/>
      <c r="MS115" s="22"/>
      <c r="MT115" s="22"/>
      <c r="MU115" s="22"/>
      <c r="MV115" s="22"/>
      <c r="MW115" s="22"/>
      <c r="MX115" s="22"/>
      <c r="MY115" s="22"/>
      <c r="MZ115" s="22"/>
      <c r="NA115" s="22"/>
      <c r="NB115" s="22"/>
      <c r="NC115" s="22"/>
      <c r="ND115" s="22"/>
      <c r="NE115" s="22"/>
      <c r="NF115" s="22"/>
    </row>
    <row r="116" ht="15.75" hidden="1" customHeight="1">
      <c r="A116" s="237"/>
      <c r="B116" s="267"/>
      <c r="C116" s="239">
        <v>46142.0</v>
      </c>
      <c r="D116" s="245" t="s">
        <v>296</v>
      </c>
      <c r="E116" s="242" t="s">
        <v>47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0"/>
      <c r="AJ116" s="20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0"/>
      <c r="AW116" s="20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0"/>
      <c r="BJ116" s="20"/>
      <c r="BK116" s="20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0">
        <v>2.0</v>
      </c>
      <c r="DE116" s="20">
        <v>1.0</v>
      </c>
      <c r="DF116" s="20">
        <v>1.0</v>
      </c>
      <c r="DG116" s="22"/>
      <c r="DH116" s="20">
        <v>4.0</v>
      </c>
      <c r="DI116" s="22"/>
      <c r="DJ116" s="22"/>
      <c r="DK116" s="22"/>
      <c r="DL116" s="22"/>
      <c r="DM116" s="22"/>
      <c r="DN116" s="22"/>
      <c r="DO116" s="22"/>
      <c r="DP116" s="22"/>
      <c r="DQ116" s="22"/>
      <c r="DR116" s="20">
        <v>1.0</v>
      </c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  <c r="IZ116" s="22"/>
      <c r="JA116" s="22"/>
      <c r="JB116" s="22"/>
      <c r="JC116" s="22"/>
      <c r="JD116" s="22"/>
      <c r="JE116" s="22"/>
      <c r="JF116" s="22"/>
      <c r="JG116" s="22"/>
      <c r="JH116" s="22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2"/>
      <c r="LK116" s="22"/>
      <c r="LL116" s="22"/>
      <c r="LM116" s="22"/>
      <c r="LN116" s="22"/>
      <c r="LO116" s="22"/>
      <c r="LP116" s="22"/>
      <c r="LQ116" s="22"/>
      <c r="LR116" s="22"/>
      <c r="LS116" s="22"/>
      <c r="LT116" s="22"/>
      <c r="LU116" s="22"/>
      <c r="LV116" s="22"/>
      <c r="LW116" s="22"/>
      <c r="LX116" s="22"/>
      <c r="LY116" s="22"/>
      <c r="LZ116" s="22"/>
      <c r="MA116" s="22"/>
      <c r="MB116" s="22"/>
      <c r="MC116" s="22"/>
      <c r="MD116" s="22"/>
      <c r="ME116" s="22"/>
      <c r="MF116" s="22"/>
      <c r="MG116" s="22"/>
      <c r="MH116" s="22"/>
      <c r="MI116" s="22"/>
      <c r="MJ116" s="22"/>
      <c r="MK116" s="22"/>
      <c r="ML116" s="22"/>
      <c r="MM116" s="22"/>
      <c r="MN116" s="22"/>
      <c r="MO116" s="22"/>
      <c r="MP116" s="22"/>
      <c r="MQ116" s="22"/>
      <c r="MR116" s="22"/>
      <c r="MS116" s="22"/>
      <c r="MT116" s="22"/>
      <c r="MU116" s="22"/>
      <c r="MV116" s="22"/>
      <c r="MW116" s="22"/>
      <c r="MX116" s="22"/>
      <c r="MY116" s="22"/>
      <c r="MZ116" s="22"/>
      <c r="NA116" s="22"/>
      <c r="NB116" s="22"/>
      <c r="NC116" s="22"/>
      <c r="ND116" s="22"/>
      <c r="NE116" s="22"/>
      <c r="NF116" s="22"/>
    </row>
    <row r="117" ht="15.75" hidden="1" customHeight="1">
      <c r="A117" s="237"/>
      <c r="B117" s="267"/>
      <c r="C117" s="239">
        <v>46142.0</v>
      </c>
      <c r="D117" s="245" t="s">
        <v>297</v>
      </c>
      <c r="E117" s="242" t="s">
        <v>47</v>
      </c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0"/>
      <c r="AJ117" s="20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0"/>
      <c r="AW117" s="20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0"/>
      <c r="BJ117" s="20"/>
      <c r="BK117" s="20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0">
        <v>2.0</v>
      </c>
      <c r="DE117" s="20">
        <v>1.0</v>
      </c>
      <c r="DF117" s="20">
        <v>1.0</v>
      </c>
      <c r="DG117" s="22"/>
      <c r="DH117" s="20">
        <v>2.0</v>
      </c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  <c r="IZ117" s="22"/>
      <c r="JA117" s="22"/>
      <c r="JB117" s="22"/>
      <c r="JC117" s="22"/>
      <c r="JD117" s="22"/>
      <c r="JE117" s="22"/>
      <c r="JF117" s="22"/>
      <c r="JG117" s="22"/>
      <c r="JH117" s="22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2"/>
      <c r="LK117" s="22"/>
      <c r="LL117" s="22"/>
      <c r="LM117" s="22"/>
      <c r="LN117" s="22"/>
      <c r="LO117" s="22"/>
      <c r="LP117" s="22"/>
      <c r="LQ117" s="22"/>
      <c r="LR117" s="22"/>
      <c r="LS117" s="22"/>
      <c r="LT117" s="22"/>
      <c r="LU117" s="22"/>
      <c r="LV117" s="22"/>
      <c r="LW117" s="22"/>
      <c r="LX117" s="22"/>
      <c r="LY117" s="22"/>
      <c r="LZ117" s="22"/>
      <c r="MA117" s="22"/>
      <c r="MB117" s="22"/>
      <c r="MC117" s="22"/>
      <c r="MD117" s="22"/>
      <c r="ME117" s="22"/>
      <c r="MF117" s="22"/>
      <c r="MG117" s="22"/>
      <c r="MH117" s="22"/>
      <c r="MI117" s="22"/>
      <c r="MJ117" s="22"/>
      <c r="MK117" s="22"/>
      <c r="ML117" s="22"/>
      <c r="MM117" s="22"/>
      <c r="MN117" s="22"/>
      <c r="MO117" s="22"/>
      <c r="MP117" s="22"/>
      <c r="MQ117" s="22"/>
      <c r="MR117" s="22"/>
      <c r="MS117" s="22"/>
      <c r="MT117" s="22"/>
      <c r="MU117" s="22"/>
      <c r="MV117" s="22"/>
      <c r="MW117" s="22"/>
      <c r="MX117" s="22"/>
      <c r="MY117" s="22"/>
      <c r="MZ117" s="22"/>
      <c r="NA117" s="22"/>
      <c r="NB117" s="22"/>
      <c r="NC117" s="22"/>
      <c r="ND117" s="22"/>
      <c r="NE117" s="22"/>
      <c r="NF117" s="22"/>
    </row>
    <row r="118" ht="15.75" hidden="1" customHeight="1">
      <c r="A118" s="237"/>
      <c r="B118" s="267"/>
      <c r="C118" s="239">
        <v>46135.0</v>
      </c>
      <c r="D118" s="245" t="s">
        <v>298</v>
      </c>
      <c r="E118" s="242" t="s">
        <v>47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0"/>
      <c r="AJ118" s="20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0"/>
      <c r="AW118" s="20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0"/>
      <c r="BJ118" s="20"/>
      <c r="BK118" s="20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0">
        <v>2.0</v>
      </c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  <c r="IZ118" s="22"/>
      <c r="JA118" s="22"/>
      <c r="JB118" s="22"/>
      <c r="JC118" s="22"/>
      <c r="JD118" s="22"/>
      <c r="JE118" s="22"/>
      <c r="JF118" s="22"/>
      <c r="JG118" s="22"/>
      <c r="JH118" s="22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2"/>
      <c r="LK118" s="22"/>
      <c r="LL118" s="22"/>
      <c r="LM118" s="22"/>
      <c r="LN118" s="22"/>
      <c r="LO118" s="22"/>
      <c r="LP118" s="22"/>
      <c r="LQ118" s="22"/>
      <c r="LR118" s="22"/>
      <c r="LS118" s="22"/>
      <c r="LT118" s="22"/>
      <c r="LU118" s="22"/>
      <c r="LV118" s="22"/>
      <c r="LW118" s="22"/>
      <c r="LX118" s="22"/>
      <c r="LY118" s="22"/>
      <c r="LZ118" s="22"/>
      <c r="MA118" s="22"/>
      <c r="MB118" s="22"/>
      <c r="MC118" s="22"/>
      <c r="MD118" s="22"/>
      <c r="ME118" s="22"/>
      <c r="MF118" s="22"/>
      <c r="MG118" s="22"/>
      <c r="MH118" s="22"/>
      <c r="MI118" s="22"/>
      <c r="MJ118" s="22"/>
      <c r="MK118" s="22"/>
      <c r="ML118" s="22"/>
      <c r="MM118" s="22"/>
      <c r="MN118" s="22"/>
      <c r="MO118" s="22"/>
      <c r="MP118" s="22"/>
      <c r="MQ118" s="22"/>
      <c r="MR118" s="22"/>
      <c r="MS118" s="22"/>
      <c r="MT118" s="22"/>
      <c r="MU118" s="22"/>
      <c r="MV118" s="22"/>
      <c r="MW118" s="22"/>
      <c r="MX118" s="22"/>
      <c r="MY118" s="22"/>
      <c r="MZ118" s="22"/>
      <c r="NA118" s="22"/>
      <c r="NB118" s="22"/>
      <c r="NC118" s="22"/>
      <c r="ND118" s="22"/>
      <c r="NE118" s="22"/>
      <c r="NF118" s="22"/>
    </row>
    <row r="119" ht="15.75" hidden="1" customHeight="1">
      <c r="A119" s="237"/>
      <c r="B119" s="267"/>
      <c r="C119" s="239">
        <v>46135.0</v>
      </c>
      <c r="D119" s="245" t="s">
        <v>299</v>
      </c>
      <c r="E119" s="242" t="s">
        <v>47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0"/>
      <c r="AJ119" s="20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0"/>
      <c r="AW119" s="20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0"/>
      <c r="BJ119" s="20"/>
      <c r="BK119" s="20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0"/>
      <c r="DI119" s="22"/>
      <c r="DJ119" s="22"/>
      <c r="DK119" s="22"/>
      <c r="DL119" s="20">
        <v>1.0</v>
      </c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  <c r="IZ119" s="22"/>
      <c r="JA119" s="22"/>
      <c r="JB119" s="22"/>
      <c r="JC119" s="22"/>
      <c r="JD119" s="22"/>
      <c r="JE119" s="22"/>
      <c r="JF119" s="22"/>
      <c r="JG119" s="22"/>
      <c r="JH119" s="22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2"/>
      <c r="LK119" s="22"/>
      <c r="LL119" s="22"/>
      <c r="LM119" s="22"/>
      <c r="LN119" s="22"/>
      <c r="LO119" s="22"/>
      <c r="LP119" s="22"/>
      <c r="LQ119" s="22"/>
      <c r="LR119" s="22"/>
      <c r="LS119" s="22"/>
      <c r="LT119" s="22"/>
      <c r="LU119" s="22"/>
      <c r="LV119" s="22"/>
      <c r="LW119" s="22"/>
      <c r="LX119" s="22"/>
      <c r="LY119" s="22"/>
      <c r="LZ119" s="22"/>
      <c r="MA119" s="22"/>
      <c r="MB119" s="22"/>
      <c r="MC119" s="22"/>
      <c r="MD119" s="22"/>
      <c r="ME119" s="22"/>
      <c r="MF119" s="22"/>
      <c r="MG119" s="22"/>
      <c r="MH119" s="22"/>
      <c r="MI119" s="22"/>
      <c r="MJ119" s="22"/>
      <c r="MK119" s="22"/>
      <c r="ML119" s="22"/>
      <c r="MM119" s="22"/>
      <c r="MN119" s="22"/>
      <c r="MO119" s="22"/>
      <c r="MP119" s="22"/>
      <c r="MQ119" s="22"/>
      <c r="MR119" s="22"/>
      <c r="MS119" s="22"/>
      <c r="MT119" s="22"/>
      <c r="MU119" s="22"/>
      <c r="MV119" s="22"/>
      <c r="MW119" s="22"/>
      <c r="MX119" s="22"/>
      <c r="MY119" s="22"/>
      <c r="MZ119" s="22"/>
      <c r="NA119" s="22"/>
      <c r="NB119" s="22"/>
      <c r="NC119" s="22"/>
      <c r="ND119" s="22"/>
      <c r="NE119" s="22"/>
      <c r="NF119" s="22"/>
    </row>
    <row r="120" ht="15.75" hidden="1" customHeight="1">
      <c r="A120" s="237"/>
      <c r="B120" s="267"/>
      <c r="C120" s="239">
        <v>46134.0</v>
      </c>
      <c r="D120" s="245" t="s">
        <v>300</v>
      </c>
      <c r="E120" s="242" t="s">
        <v>47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0"/>
      <c r="AJ120" s="20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0"/>
      <c r="AW120" s="20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0"/>
      <c r="BJ120" s="20"/>
      <c r="BK120" s="20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0"/>
      <c r="DL120" s="20">
        <v>4.0</v>
      </c>
      <c r="DM120" s="20">
        <v>3.0</v>
      </c>
      <c r="DN120" s="20">
        <v>4.0</v>
      </c>
      <c r="DO120" s="20">
        <v>1.0</v>
      </c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  <c r="IZ120" s="22"/>
      <c r="JA120" s="22"/>
      <c r="JB120" s="22"/>
      <c r="JC120" s="22"/>
      <c r="JD120" s="22"/>
      <c r="JE120" s="22"/>
      <c r="JF120" s="22"/>
      <c r="JG120" s="22"/>
      <c r="JH120" s="22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2"/>
      <c r="LK120" s="22"/>
      <c r="LL120" s="22"/>
      <c r="LM120" s="22"/>
      <c r="LN120" s="22"/>
      <c r="LO120" s="22"/>
      <c r="LP120" s="22"/>
      <c r="LQ120" s="22"/>
      <c r="LR120" s="22"/>
      <c r="LS120" s="22"/>
      <c r="LT120" s="22"/>
      <c r="LU120" s="22"/>
      <c r="LV120" s="22"/>
      <c r="LW120" s="22"/>
      <c r="LX120" s="22"/>
      <c r="LY120" s="22"/>
      <c r="LZ120" s="22"/>
      <c r="MA120" s="22"/>
      <c r="MB120" s="22"/>
      <c r="MC120" s="22"/>
      <c r="MD120" s="22"/>
      <c r="ME120" s="22"/>
      <c r="MF120" s="22"/>
      <c r="MG120" s="22"/>
      <c r="MH120" s="22"/>
      <c r="MI120" s="22"/>
      <c r="MJ120" s="22"/>
      <c r="MK120" s="22"/>
      <c r="ML120" s="22"/>
      <c r="MM120" s="22"/>
      <c r="MN120" s="22"/>
      <c r="MO120" s="22"/>
      <c r="MP120" s="22"/>
      <c r="MQ120" s="22"/>
      <c r="MR120" s="22"/>
      <c r="MS120" s="22"/>
      <c r="MT120" s="22"/>
      <c r="MU120" s="22"/>
      <c r="MV120" s="22"/>
      <c r="MW120" s="22"/>
      <c r="MX120" s="22"/>
      <c r="MY120" s="22"/>
      <c r="MZ120" s="22"/>
      <c r="NA120" s="22"/>
      <c r="NB120" s="22"/>
      <c r="NC120" s="22"/>
      <c r="ND120" s="22"/>
      <c r="NE120" s="22"/>
      <c r="NF120" s="22"/>
    </row>
    <row r="121" ht="15.75" hidden="1" customHeight="1">
      <c r="A121" s="237"/>
      <c r="B121" s="267"/>
      <c r="C121" s="239">
        <v>46135.0</v>
      </c>
      <c r="D121" s="245" t="s">
        <v>301</v>
      </c>
      <c r="E121" s="242" t="s">
        <v>47</v>
      </c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0"/>
      <c r="AJ121" s="20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0"/>
      <c r="AW121" s="20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0"/>
      <c r="BJ121" s="20"/>
      <c r="BK121" s="20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0"/>
      <c r="DL121" s="20">
        <v>2.0</v>
      </c>
      <c r="DM121" s="20">
        <v>4.0</v>
      </c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  <c r="IZ121" s="22"/>
      <c r="JA121" s="22"/>
      <c r="JB121" s="22"/>
      <c r="JC121" s="22"/>
      <c r="JD121" s="22"/>
      <c r="JE121" s="22"/>
      <c r="JF121" s="22"/>
      <c r="JG121" s="22"/>
      <c r="JH121" s="22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2"/>
      <c r="LK121" s="22"/>
      <c r="LL121" s="22"/>
      <c r="LM121" s="22"/>
      <c r="LN121" s="22"/>
      <c r="LO121" s="22"/>
      <c r="LP121" s="22"/>
      <c r="LQ121" s="22"/>
      <c r="LR121" s="22"/>
      <c r="LS121" s="22"/>
      <c r="LT121" s="22"/>
      <c r="LU121" s="22"/>
      <c r="LV121" s="22"/>
      <c r="LW121" s="22"/>
      <c r="LX121" s="22"/>
      <c r="LY121" s="22"/>
      <c r="LZ121" s="22"/>
      <c r="MA121" s="22"/>
      <c r="MB121" s="22"/>
      <c r="MC121" s="22"/>
      <c r="MD121" s="22"/>
      <c r="ME121" s="22"/>
      <c r="MF121" s="22"/>
      <c r="MG121" s="22"/>
      <c r="MH121" s="22"/>
      <c r="MI121" s="22"/>
      <c r="MJ121" s="22"/>
      <c r="MK121" s="22"/>
      <c r="ML121" s="22"/>
      <c r="MM121" s="22"/>
      <c r="MN121" s="22"/>
      <c r="MO121" s="22"/>
      <c r="MP121" s="22"/>
      <c r="MQ121" s="22"/>
      <c r="MR121" s="22"/>
      <c r="MS121" s="22"/>
      <c r="MT121" s="22"/>
      <c r="MU121" s="22"/>
      <c r="MV121" s="22"/>
      <c r="MW121" s="22"/>
      <c r="MX121" s="22"/>
      <c r="MY121" s="22"/>
      <c r="MZ121" s="22"/>
      <c r="NA121" s="22"/>
      <c r="NB121" s="22"/>
      <c r="NC121" s="22"/>
      <c r="ND121" s="22"/>
      <c r="NE121" s="22"/>
      <c r="NF121" s="22"/>
    </row>
    <row r="122" ht="15.75" hidden="1" customHeight="1">
      <c r="A122" s="237"/>
      <c r="B122" s="267"/>
      <c r="C122" s="239">
        <v>46139.0</v>
      </c>
      <c r="D122" s="245" t="s">
        <v>302</v>
      </c>
      <c r="E122" s="242" t="s">
        <v>47</v>
      </c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0"/>
      <c r="AJ122" s="20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0"/>
      <c r="AW122" s="20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0"/>
      <c r="BJ122" s="20"/>
      <c r="BK122" s="20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0"/>
      <c r="DL122" s="20">
        <v>1.0</v>
      </c>
      <c r="DM122" s="20">
        <v>1.0</v>
      </c>
      <c r="DN122" s="20">
        <v>4.0</v>
      </c>
      <c r="DO122" s="20">
        <v>2.0</v>
      </c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  <c r="IZ122" s="22"/>
      <c r="JA122" s="22"/>
      <c r="JB122" s="22"/>
      <c r="JC122" s="22"/>
      <c r="JD122" s="22"/>
      <c r="JE122" s="22"/>
      <c r="JF122" s="22"/>
      <c r="JG122" s="22"/>
      <c r="JH122" s="22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2"/>
      <c r="LK122" s="22"/>
      <c r="LL122" s="22"/>
      <c r="LM122" s="22"/>
      <c r="LN122" s="22"/>
      <c r="LO122" s="22"/>
      <c r="LP122" s="22"/>
      <c r="LQ122" s="22"/>
      <c r="LR122" s="22"/>
      <c r="LS122" s="22"/>
      <c r="LT122" s="22"/>
      <c r="LU122" s="22"/>
      <c r="LV122" s="22"/>
      <c r="LW122" s="22"/>
      <c r="LX122" s="22"/>
      <c r="LY122" s="22"/>
      <c r="LZ122" s="22"/>
      <c r="MA122" s="22"/>
      <c r="MB122" s="22"/>
      <c r="MC122" s="22"/>
      <c r="MD122" s="22"/>
      <c r="ME122" s="22"/>
      <c r="MF122" s="22"/>
      <c r="MG122" s="22"/>
      <c r="MH122" s="22"/>
      <c r="MI122" s="22"/>
      <c r="MJ122" s="22"/>
      <c r="MK122" s="22"/>
      <c r="ML122" s="22"/>
      <c r="MM122" s="22"/>
      <c r="MN122" s="22"/>
      <c r="MO122" s="22"/>
      <c r="MP122" s="22"/>
      <c r="MQ122" s="22"/>
      <c r="MR122" s="22"/>
      <c r="MS122" s="22"/>
      <c r="MT122" s="22"/>
      <c r="MU122" s="22"/>
      <c r="MV122" s="22"/>
      <c r="MW122" s="22"/>
      <c r="MX122" s="22"/>
      <c r="MY122" s="22"/>
      <c r="MZ122" s="22"/>
      <c r="NA122" s="22"/>
      <c r="NB122" s="22"/>
      <c r="NC122" s="22"/>
      <c r="ND122" s="22"/>
      <c r="NE122" s="22"/>
      <c r="NF122" s="22"/>
    </row>
    <row r="123" ht="15.75" hidden="1" customHeight="1">
      <c r="A123" s="237"/>
      <c r="B123" s="267"/>
      <c r="C123" s="239">
        <v>46141.0</v>
      </c>
      <c r="D123" s="245" t="s">
        <v>303</v>
      </c>
      <c r="E123" s="242" t="s">
        <v>47</v>
      </c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0"/>
      <c r="AJ123" s="20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0"/>
      <c r="AW123" s="20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0"/>
      <c r="BJ123" s="20"/>
      <c r="BK123" s="20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0">
        <v>1.0</v>
      </c>
      <c r="DO123" s="20">
        <v>1.0</v>
      </c>
      <c r="DP123" s="22"/>
      <c r="DQ123" s="22"/>
      <c r="DR123" s="20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  <c r="IZ123" s="22"/>
      <c r="JA123" s="22"/>
      <c r="JB123" s="22"/>
      <c r="JC123" s="22"/>
      <c r="JD123" s="22"/>
      <c r="JE123" s="22"/>
      <c r="JF123" s="22"/>
      <c r="JG123" s="22"/>
      <c r="JH123" s="22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2"/>
      <c r="LK123" s="22"/>
      <c r="LL123" s="22"/>
      <c r="LM123" s="22"/>
      <c r="LN123" s="22"/>
      <c r="LO123" s="22"/>
      <c r="LP123" s="22"/>
      <c r="LQ123" s="22"/>
      <c r="LR123" s="22"/>
      <c r="LS123" s="22"/>
      <c r="LT123" s="22"/>
      <c r="LU123" s="22"/>
      <c r="LV123" s="22"/>
      <c r="LW123" s="22"/>
      <c r="LX123" s="22"/>
      <c r="LY123" s="22"/>
      <c r="LZ123" s="22"/>
      <c r="MA123" s="22"/>
      <c r="MB123" s="22"/>
      <c r="MC123" s="22"/>
      <c r="MD123" s="22"/>
      <c r="ME123" s="22"/>
      <c r="MF123" s="22"/>
      <c r="MG123" s="22"/>
      <c r="MH123" s="22"/>
      <c r="MI123" s="22"/>
      <c r="MJ123" s="22"/>
      <c r="MK123" s="22"/>
      <c r="ML123" s="22"/>
      <c r="MM123" s="22"/>
      <c r="MN123" s="22"/>
      <c r="MO123" s="22"/>
      <c r="MP123" s="22"/>
      <c r="MQ123" s="22"/>
      <c r="MR123" s="22"/>
      <c r="MS123" s="22"/>
      <c r="MT123" s="22"/>
      <c r="MU123" s="22"/>
      <c r="MV123" s="22"/>
      <c r="MW123" s="22"/>
      <c r="MX123" s="22"/>
      <c r="MY123" s="22"/>
      <c r="MZ123" s="22"/>
      <c r="NA123" s="22"/>
      <c r="NB123" s="22"/>
      <c r="NC123" s="22"/>
      <c r="ND123" s="22"/>
      <c r="NE123" s="22"/>
      <c r="NF123" s="22"/>
    </row>
    <row r="124" ht="15.75" hidden="1" customHeight="1">
      <c r="A124" s="237"/>
      <c r="B124" s="267"/>
      <c r="C124" s="239">
        <v>46139.0</v>
      </c>
      <c r="D124" s="245" t="s">
        <v>304</v>
      </c>
      <c r="E124" s="242" t="s">
        <v>47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0"/>
      <c r="AJ124" s="20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0"/>
      <c r="AW124" s="20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0"/>
      <c r="BJ124" s="20"/>
      <c r="BK124" s="20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0">
        <v>2.0</v>
      </c>
      <c r="DP124" s="22"/>
      <c r="DQ124" s="22"/>
      <c r="DR124" s="20">
        <v>1.0</v>
      </c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  <c r="IZ124" s="22"/>
      <c r="JA124" s="22"/>
      <c r="JB124" s="22"/>
      <c r="JC124" s="22"/>
      <c r="JD124" s="22"/>
      <c r="JE124" s="22"/>
      <c r="JF124" s="22"/>
      <c r="JG124" s="22"/>
      <c r="JH124" s="22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2"/>
      <c r="LK124" s="22"/>
      <c r="LL124" s="22"/>
      <c r="LM124" s="22"/>
      <c r="LN124" s="22"/>
      <c r="LO124" s="22"/>
      <c r="LP124" s="22"/>
      <c r="LQ124" s="22"/>
      <c r="LR124" s="22"/>
      <c r="LS124" s="22"/>
      <c r="LT124" s="22"/>
      <c r="LU124" s="22"/>
      <c r="LV124" s="22"/>
      <c r="LW124" s="22"/>
      <c r="LX124" s="22"/>
      <c r="LY124" s="22"/>
      <c r="LZ124" s="22"/>
      <c r="MA124" s="22"/>
      <c r="MB124" s="22"/>
      <c r="MC124" s="22"/>
      <c r="MD124" s="22"/>
      <c r="ME124" s="22"/>
      <c r="MF124" s="22"/>
      <c r="MG124" s="22"/>
      <c r="MH124" s="22"/>
      <c r="MI124" s="22"/>
      <c r="MJ124" s="22"/>
      <c r="MK124" s="22"/>
      <c r="ML124" s="22"/>
      <c r="MM124" s="22"/>
      <c r="MN124" s="22"/>
      <c r="MO124" s="22"/>
      <c r="MP124" s="22"/>
      <c r="MQ124" s="22"/>
      <c r="MR124" s="22"/>
      <c r="MS124" s="22"/>
      <c r="MT124" s="22"/>
      <c r="MU124" s="22"/>
      <c r="MV124" s="22"/>
      <c r="MW124" s="22"/>
      <c r="MX124" s="22"/>
      <c r="MY124" s="22"/>
      <c r="MZ124" s="22"/>
      <c r="NA124" s="22"/>
      <c r="NB124" s="22"/>
      <c r="NC124" s="22"/>
      <c r="ND124" s="22"/>
      <c r="NE124" s="22"/>
      <c r="NF124" s="22"/>
    </row>
    <row r="125" ht="15.75" hidden="1" customHeight="1">
      <c r="A125" s="237"/>
      <c r="B125" s="267"/>
      <c r="C125" s="239">
        <v>46140.0</v>
      </c>
      <c r="D125" s="245" t="s">
        <v>305</v>
      </c>
      <c r="E125" s="242" t="s">
        <v>47</v>
      </c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0"/>
      <c r="AJ125" s="20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0"/>
      <c r="AW125" s="20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0"/>
      <c r="BJ125" s="20"/>
      <c r="BK125" s="20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0">
        <v>2.0</v>
      </c>
      <c r="DP125" s="22"/>
      <c r="DQ125" s="22"/>
      <c r="DR125" s="20">
        <v>2.0</v>
      </c>
      <c r="DS125" s="20">
        <v>1.0</v>
      </c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  <c r="IZ125" s="22"/>
      <c r="JA125" s="22"/>
      <c r="JB125" s="22"/>
      <c r="JC125" s="22"/>
      <c r="JD125" s="22"/>
      <c r="JE125" s="22"/>
      <c r="JF125" s="22"/>
      <c r="JG125" s="22"/>
      <c r="JH125" s="22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2"/>
      <c r="LK125" s="22"/>
      <c r="LL125" s="22"/>
      <c r="LM125" s="22"/>
      <c r="LN125" s="22"/>
      <c r="LO125" s="22"/>
      <c r="LP125" s="22"/>
      <c r="LQ125" s="22"/>
      <c r="LR125" s="22"/>
      <c r="LS125" s="22"/>
      <c r="LT125" s="22"/>
      <c r="LU125" s="22"/>
      <c r="LV125" s="22"/>
      <c r="LW125" s="22"/>
      <c r="LX125" s="22"/>
      <c r="LY125" s="22"/>
      <c r="LZ125" s="22"/>
      <c r="MA125" s="22"/>
      <c r="MB125" s="22"/>
      <c r="MC125" s="22"/>
      <c r="MD125" s="22"/>
      <c r="ME125" s="22"/>
      <c r="MF125" s="22"/>
      <c r="MG125" s="22"/>
      <c r="MH125" s="22"/>
      <c r="MI125" s="22"/>
      <c r="MJ125" s="22"/>
      <c r="MK125" s="22"/>
      <c r="ML125" s="22"/>
      <c r="MM125" s="22"/>
      <c r="MN125" s="22"/>
      <c r="MO125" s="22"/>
      <c r="MP125" s="22"/>
      <c r="MQ125" s="22"/>
      <c r="MR125" s="22"/>
      <c r="MS125" s="22"/>
      <c r="MT125" s="22"/>
      <c r="MU125" s="22"/>
      <c r="MV125" s="22"/>
      <c r="MW125" s="22"/>
      <c r="MX125" s="22"/>
      <c r="MY125" s="22"/>
      <c r="MZ125" s="22"/>
      <c r="NA125" s="22"/>
      <c r="NB125" s="22"/>
      <c r="NC125" s="22"/>
      <c r="ND125" s="22"/>
      <c r="NE125" s="22"/>
      <c r="NF125" s="22"/>
    </row>
    <row r="126" ht="15.75" hidden="1" customHeight="1">
      <c r="A126" s="237"/>
      <c r="B126" s="267"/>
      <c r="C126" s="239">
        <v>46139.0</v>
      </c>
      <c r="D126" s="245" t="s">
        <v>306</v>
      </c>
      <c r="E126" s="242" t="s">
        <v>47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0"/>
      <c r="AJ126" s="20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0"/>
      <c r="AW126" s="20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0"/>
      <c r="BJ126" s="20"/>
      <c r="BK126" s="20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0">
        <v>4.0</v>
      </c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  <c r="IZ126" s="22"/>
      <c r="JA126" s="22"/>
      <c r="JB126" s="22"/>
      <c r="JC126" s="22"/>
      <c r="JD126" s="22"/>
      <c r="JE126" s="22"/>
      <c r="JF126" s="22"/>
      <c r="JG126" s="22"/>
      <c r="JH126" s="22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2"/>
      <c r="LK126" s="22"/>
      <c r="LL126" s="22"/>
      <c r="LM126" s="22"/>
      <c r="LN126" s="22"/>
      <c r="LO126" s="22"/>
      <c r="LP126" s="22"/>
      <c r="LQ126" s="22"/>
      <c r="LR126" s="22"/>
      <c r="LS126" s="22"/>
      <c r="LT126" s="22"/>
      <c r="LU126" s="22"/>
      <c r="LV126" s="22"/>
      <c r="LW126" s="22"/>
      <c r="LX126" s="22"/>
      <c r="LY126" s="22"/>
      <c r="LZ126" s="22"/>
      <c r="MA126" s="22"/>
      <c r="MB126" s="22"/>
      <c r="MC126" s="22"/>
      <c r="MD126" s="22"/>
      <c r="ME126" s="22"/>
      <c r="MF126" s="22"/>
      <c r="MG126" s="22"/>
      <c r="MH126" s="22"/>
      <c r="MI126" s="22"/>
      <c r="MJ126" s="22"/>
      <c r="MK126" s="22"/>
      <c r="ML126" s="22"/>
      <c r="MM126" s="22"/>
      <c r="MN126" s="22"/>
      <c r="MO126" s="22"/>
      <c r="MP126" s="22"/>
      <c r="MQ126" s="22"/>
      <c r="MR126" s="22"/>
      <c r="MS126" s="22"/>
      <c r="MT126" s="22"/>
      <c r="MU126" s="22"/>
      <c r="MV126" s="22"/>
      <c r="MW126" s="22"/>
      <c r="MX126" s="22"/>
      <c r="MY126" s="22"/>
      <c r="MZ126" s="22"/>
      <c r="NA126" s="22"/>
      <c r="NB126" s="22"/>
      <c r="NC126" s="22"/>
      <c r="ND126" s="22"/>
      <c r="NE126" s="22"/>
      <c r="NF126" s="22"/>
    </row>
    <row r="127" ht="15.75" hidden="1" customHeight="1">
      <c r="A127" s="237"/>
      <c r="B127" s="267"/>
      <c r="C127" s="239">
        <v>46140.0</v>
      </c>
      <c r="D127" s="245" t="s">
        <v>307</v>
      </c>
      <c r="E127" s="242" t="s">
        <v>47</v>
      </c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0"/>
      <c r="AJ127" s="20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0"/>
      <c r="AW127" s="20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0"/>
      <c r="BJ127" s="20"/>
      <c r="BK127" s="20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0">
        <v>4.0</v>
      </c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  <c r="IZ127" s="22"/>
      <c r="JA127" s="22"/>
      <c r="JB127" s="22"/>
      <c r="JC127" s="22"/>
      <c r="JD127" s="22"/>
      <c r="JE127" s="22"/>
      <c r="JF127" s="22"/>
      <c r="JG127" s="22"/>
      <c r="JH127" s="22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2"/>
      <c r="LK127" s="22"/>
      <c r="LL127" s="22"/>
      <c r="LM127" s="22"/>
      <c r="LN127" s="22"/>
      <c r="LO127" s="22"/>
      <c r="LP127" s="22"/>
      <c r="LQ127" s="22"/>
      <c r="LR127" s="22"/>
      <c r="LS127" s="22"/>
      <c r="LT127" s="22"/>
      <c r="LU127" s="22"/>
      <c r="LV127" s="22"/>
      <c r="LW127" s="22"/>
      <c r="LX127" s="22"/>
      <c r="LY127" s="22"/>
      <c r="LZ127" s="22"/>
      <c r="MA127" s="22"/>
      <c r="MB127" s="22"/>
      <c r="MC127" s="22"/>
      <c r="MD127" s="22"/>
      <c r="ME127" s="22"/>
      <c r="MF127" s="22"/>
      <c r="MG127" s="22"/>
      <c r="MH127" s="22"/>
      <c r="MI127" s="22"/>
      <c r="MJ127" s="22"/>
      <c r="MK127" s="22"/>
      <c r="ML127" s="22"/>
      <c r="MM127" s="22"/>
      <c r="MN127" s="22"/>
      <c r="MO127" s="22"/>
      <c r="MP127" s="22"/>
      <c r="MQ127" s="22"/>
      <c r="MR127" s="22"/>
      <c r="MS127" s="22"/>
      <c r="MT127" s="22"/>
      <c r="MU127" s="22"/>
      <c r="MV127" s="22"/>
      <c r="MW127" s="22"/>
      <c r="MX127" s="22"/>
      <c r="MY127" s="22"/>
      <c r="MZ127" s="22"/>
      <c r="NA127" s="22"/>
      <c r="NB127" s="22"/>
      <c r="NC127" s="22"/>
      <c r="ND127" s="22"/>
      <c r="NE127" s="22"/>
      <c r="NF127" s="22"/>
    </row>
    <row r="128" ht="15.75" hidden="1" customHeight="1">
      <c r="A128" s="237"/>
      <c r="B128" s="267"/>
      <c r="C128" s="239">
        <v>46140.0</v>
      </c>
      <c r="D128" s="245" t="s">
        <v>308</v>
      </c>
      <c r="E128" s="242" t="s">
        <v>47</v>
      </c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0"/>
      <c r="AJ128" s="20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0"/>
      <c r="AW128" s="20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0"/>
      <c r="BJ128" s="20"/>
      <c r="BK128" s="20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0">
        <v>3.0</v>
      </c>
      <c r="DT128" s="22"/>
      <c r="DU128" s="20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  <c r="IZ128" s="22"/>
      <c r="JA128" s="22"/>
      <c r="JB128" s="22"/>
      <c r="JC128" s="22"/>
      <c r="JD128" s="22"/>
      <c r="JE128" s="22"/>
      <c r="JF128" s="22"/>
      <c r="JG128" s="22"/>
      <c r="JH128" s="22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2"/>
      <c r="LK128" s="22"/>
      <c r="LL128" s="22"/>
      <c r="LM128" s="22"/>
      <c r="LN128" s="22"/>
      <c r="LO128" s="22"/>
      <c r="LP128" s="22"/>
      <c r="LQ128" s="22"/>
      <c r="LR128" s="22"/>
      <c r="LS128" s="22"/>
      <c r="LT128" s="22"/>
      <c r="LU128" s="22"/>
      <c r="LV128" s="22"/>
      <c r="LW128" s="22"/>
      <c r="LX128" s="22"/>
      <c r="LY128" s="22"/>
      <c r="LZ128" s="22"/>
      <c r="MA128" s="22"/>
      <c r="MB128" s="22"/>
      <c r="MC128" s="22"/>
      <c r="MD128" s="22"/>
      <c r="ME128" s="22"/>
      <c r="MF128" s="22"/>
      <c r="MG128" s="22"/>
      <c r="MH128" s="22"/>
      <c r="MI128" s="22"/>
      <c r="MJ128" s="22"/>
      <c r="MK128" s="22"/>
      <c r="ML128" s="22"/>
      <c r="MM128" s="22"/>
      <c r="MN128" s="22"/>
      <c r="MO128" s="22"/>
      <c r="MP128" s="22"/>
      <c r="MQ128" s="22"/>
      <c r="MR128" s="22"/>
      <c r="MS128" s="22"/>
      <c r="MT128" s="22"/>
      <c r="MU128" s="22"/>
      <c r="MV128" s="22"/>
      <c r="MW128" s="22"/>
      <c r="MX128" s="22"/>
      <c r="MY128" s="22"/>
      <c r="MZ128" s="22"/>
      <c r="NA128" s="22"/>
      <c r="NB128" s="22"/>
      <c r="NC128" s="22"/>
      <c r="ND128" s="22"/>
      <c r="NE128" s="22"/>
      <c r="NF128" s="22"/>
    </row>
    <row r="129" ht="15.75" hidden="1" customHeight="1">
      <c r="A129" s="237"/>
      <c r="B129" s="267"/>
      <c r="C129" s="239">
        <v>46140.0</v>
      </c>
      <c r="D129" s="245" t="s">
        <v>309</v>
      </c>
      <c r="E129" s="242" t="s">
        <v>47</v>
      </c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0"/>
      <c r="AJ129" s="20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0"/>
      <c r="AW129" s="20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0"/>
      <c r="BJ129" s="20"/>
      <c r="BK129" s="20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0">
        <v>1.0</v>
      </c>
      <c r="DT129" s="22"/>
      <c r="DU129" s="20">
        <v>1.0</v>
      </c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  <c r="IZ129" s="22"/>
      <c r="JA129" s="22"/>
      <c r="JB129" s="22"/>
      <c r="JC129" s="22"/>
      <c r="JD129" s="22"/>
      <c r="JE129" s="22"/>
      <c r="JF129" s="22"/>
      <c r="JG129" s="22"/>
      <c r="JH129" s="22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2"/>
      <c r="LK129" s="22"/>
      <c r="LL129" s="22"/>
      <c r="LM129" s="22"/>
      <c r="LN129" s="22"/>
      <c r="LO129" s="22"/>
      <c r="LP129" s="22"/>
      <c r="LQ129" s="22"/>
      <c r="LR129" s="22"/>
      <c r="LS129" s="22"/>
      <c r="LT129" s="22"/>
      <c r="LU129" s="22"/>
      <c r="LV129" s="22"/>
      <c r="LW129" s="22"/>
      <c r="LX129" s="22"/>
      <c r="LY129" s="22"/>
      <c r="LZ129" s="22"/>
      <c r="MA129" s="22"/>
      <c r="MB129" s="22"/>
      <c r="MC129" s="22"/>
      <c r="MD129" s="22"/>
      <c r="ME129" s="22"/>
      <c r="MF129" s="22"/>
      <c r="MG129" s="22"/>
      <c r="MH129" s="22"/>
      <c r="MI129" s="22"/>
      <c r="MJ129" s="22"/>
      <c r="MK129" s="22"/>
      <c r="ML129" s="22"/>
      <c r="MM129" s="22"/>
      <c r="MN129" s="22"/>
      <c r="MO129" s="22"/>
      <c r="MP129" s="22"/>
      <c r="MQ129" s="22"/>
      <c r="MR129" s="22"/>
      <c r="MS129" s="22"/>
      <c r="MT129" s="22"/>
      <c r="MU129" s="22"/>
      <c r="MV129" s="22"/>
      <c r="MW129" s="22"/>
      <c r="MX129" s="22"/>
      <c r="MY129" s="22"/>
      <c r="MZ129" s="22"/>
      <c r="NA129" s="22"/>
      <c r="NB129" s="22"/>
      <c r="NC129" s="22"/>
      <c r="ND129" s="22"/>
      <c r="NE129" s="22"/>
      <c r="NF129" s="22"/>
    </row>
    <row r="130" ht="15.75" hidden="1" customHeight="1">
      <c r="A130" s="237"/>
      <c r="B130" s="267"/>
      <c r="C130" s="239">
        <v>46142.0</v>
      </c>
      <c r="D130" s="245" t="s">
        <v>310</v>
      </c>
      <c r="E130" s="242" t="s">
        <v>47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0"/>
      <c r="AJ130" s="20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0"/>
      <c r="AW130" s="20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0"/>
      <c r="BJ130" s="20"/>
      <c r="BK130" s="20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0">
        <v>3.0</v>
      </c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  <c r="IZ130" s="22"/>
      <c r="JA130" s="22"/>
      <c r="JB130" s="22"/>
      <c r="JC130" s="22"/>
      <c r="JD130" s="22"/>
      <c r="JE130" s="22"/>
      <c r="JF130" s="22"/>
      <c r="JG130" s="22"/>
      <c r="JH130" s="22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2"/>
      <c r="LK130" s="22"/>
      <c r="LL130" s="22"/>
      <c r="LM130" s="22"/>
      <c r="LN130" s="22"/>
      <c r="LO130" s="22"/>
      <c r="LP130" s="22"/>
      <c r="LQ130" s="22"/>
      <c r="LR130" s="22"/>
      <c r="LS130" s="22"/>
      <c r="LT130" s="22"/>
      <c r="LU130" s="22"/>
      <c r="LV130" s="22"/>
      <c r="LW130" s="22"/>
      <c r="LX130" s="22"/>
      <c r="LY130" s="22"/>
      <c r="LZ130" s="22"/>
      <c r="MA130" s="22"/>
      <c r="MB130" s="22"/>
      <c r="MC130" s="22"/>
      <c r="MD130" s="22"/>
      <c r="ME130" s="22"/>
      <c r="MF130" s="22"/>
      <c r="MG130" s="22"/>
      <c r="MH130" s="22"/>
      <c r="MI130" s="22"/>
      <c r="MJ130" s="22"/>
      <c r="MK130" s="22"/>
      <c r="ML130" s="22"/>
      <c r="MM130" s="22"/>
      <c r="MN130" s="22"/>
      <c r="MO130" s="22"/>
      <c r="MP130" s="22"/>
      <c r="MQ130" s="22"/>
      <c r="MR130" s="22"/>
      <c r="MS130" s="22"/>
      <c r="MT130" s="22"/>
      <c r="MU130" s="22"/>
      <c r="MV130" s="22"/>
      <c r="MW130" s="22"/>
      <c r="MX130" s="22"/>
      <c r="MY130" s="22"/>
      <c r="MZ130" s="22"/>
      <c r="NA130" s="22"/>
      <c r="NB130" s="22"/>
      <c r="NC130" s="22"/>
      <c r="ND130" s="22"/>
      <c r="NE130" s="22"/>
      <c r="NF130" s="22"/>
    </row>
    <row r="131" ht="15.75" hidden="1" customHeight="1">
      <c r="A131" s="237"/>
      <c r="B131" s="267"/>
      <c r="C131" s="239">
        <v>46143.0</v>
      </c>
      <c r="D131" s="245" t="s">
        <v>311</v>
      </c>
      <c r="E131" s="242" t="s">
        <v>47</v>
      </c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0"/>
      <c r="AJ131" s="20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0"/>
      <c r="AW131" s="20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0"/>
      <c r="BJ131" s="20"/>
      <c r="BK131" s="20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0">
        <v>4.0</v>
      </c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  <c r="IZ131" s="22"/>
      <c r="JA131" s="22"/>
      <c r="JB131" s="22"/>
      <c r="JC131" s="22"/>
      <c r="JD131" s="22"/>
      <c r="JE131" s="22"/>
      <c r="JF131" s="22"/>
      <c r="JG131" s="22"/>
      <c r="JH131" s="22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2"/>
      <c r="LK131" s="22"/>
      <c r="LL131" s="22"/>
      <c r="LM131" s="22"/>
      <c r="LN131" s="22"/>
      <c r="LO131" s="22"/>
      <c r="LP131" s="22"/>
      <c r="LQ131" s="22"/>
      <c r="LR131" s="22"/>
      <c r="LS131" s="22"/>
      <c r="LT131" s="22"/>
      <c r="LU131" s="22"/>
      <c r="LV131" s="22"/>
      <c r="LW131" s="22"/>
      <c r="LX131" s="22"/>
      <c r="LY131" s="22"/>
      <c r="LZ131" s="22"/>
      <c r="MA131" s="22"/>
      <c r="MB131" s="22"/>
      <c r="MC131" s="22"/>
      <c r="MD131" s="22"/>
      <c r="ME131" s="22"/>
      <c r="MF131" s="22"/>
      <c r="MG131" s="22"/>
      <c r="MH131" s="22"/>
      <c r="MI131" s="22"/>
      <c r="MJ131" s="22"/>
      <c r="MK131" s="22"/>
      <c r="ML131" s="22"/>
      <c r="MM131" s="22"/>
      <c r="MN131" s="22"/>
      <c r="MO131" s="22"/>
      <c r="MP131" s="22"/>
      <c r="MQ131" s="22"/>
      <c r="MR131" s="22"/>
      <c r="MS131" s="22"/>
      <c r="MT131" s="22"/>
      <c r="MU131" s="22"/>
      <c r="MV131" s="22"/>
      <c r="MW131" s="22"/>
      <c r="MX131" s="22"/>
      <c r="MY131" s="22"/>
      <c r="MZ131" s="22"/>
      <c r="NA131" s="22"/>
      <c r="NB131" s="22"/>
      <c r="NC131" s="22"/>
      <c r="ND131" s="22"/>
      <c r="NE131" s="22"/>
      <c r="NF131" s="22"/>
    </row>
    <row r="132" ht="15.75" hidden="1" customHeight="1">
      <c r="A132" s="237"/>
      <c r="B132" s="267"/>
      <c r="C132" s="239">
        <v>46147.0</v>
      </c>
      <c r="D132" s="245" t="s">
        <v>312</v>
      </c>
      <c r="E132" s="242" t="s">
        <v>47</v>
      </c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0"/>
      <c r="AJ132" s="20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0"/>
      <c r="AW132" s="20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0"/>
      <c r="BJ132" s="20"/>
      <c r="BK132" s="20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0">
        <v>2.0</v>
      </c>
      <c r="DV132" s="22"/>
      <c r="DW132" s="22"/>
      <c r="DX132" s="22"/>
      <c r="DY132" s="20">
        <v>4.0</v>
      </c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  <c r="IZ132" s="22"/>
      <c r="JA132" s="22"/>
      <c r="JB132" s="22"/>
      <c r="JC132" s="22"/>
      <c r="JD132" s="22"/>
      <c r="JE132" s="22"/>
      <c r="JF132" s="22"/>
      <c r="JG132" s="22"/>
      <c r="JH132" s="22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2"/>
      <c r="LK132" s="22"/>
      <c r="LL132" s="22"/>
      <c r="LM132" s="22"/>
      <c r="LN132" s="22"/>
      <c r="LO132" s="22"/>
      <c r="LP132" s="22"/>
      <c r="LQ132" s="22"/>
      <c r="LR132" s="22"/>
      <c r="LS132" s="22"/>
      <c r="LT132" s="22"/>
      <c r="LU132" s="22"/>
      <c r="LV132" s="22"/>
      <c r="LW132" s="22"/>
      <c r="LX132" s="22"/>
      <c r="LY132" s="22"/>
      <c r="LZ132" s="22"/>
      <c r="MA132" s="22"/>
      <c r="MB132" s="22"/>
      <c r="MC132" s="22"/>
      <c r="MD132" s="22"/>
      <c r="ME132" s="22"/>
      <c r="MF132" s="22"/>
      <c r="MG132" s="22"/>
      <c r="MH132" s="22"/>
      <c r="MI132" s="22"/>
      <c r="MJ132" s="22"/>
      <c r="MK132" s="22"/>
      <c r="ML132" s="22"/>
      <c r="MM132" s="22"/>
      <c r="MN132" s="22"/>
      <c r="MO132" s="22"/>
      <c r="MP132" s="22"/>
      <c r="MQ132" s="22"/>
      <c r="MR132" s="22"/>
      <c r="MS132" s="22"/>
      <c r="MT132" s="22"/>
      <c r="MU132" s="22"/>
      <c r="MV132" s="22"/>
      <c r="MW132" s="22"/>
      <c r="MX132" s="22"/>
      <c r="MY132" s="22"/>
      <c r="MZ132" s="22"/>
      <c r="NA132" s="22"/>
      <c r="NB132" s="22"/>
      <c r="NC132" s="22"/>
      <c r="ND132" s="22"/>
      <c r="NE132" s="22"/>
      <c r="NF132" s="22"/>
    </row>
    <row r="133" ht="15.75" hidden="1" customHeight="1">
      <c r="A133" s="237"/>
      <c r="B133" s="267"/>
      <c r="C133" s="239">
        <v>46146.0</v>
      </c>
      <c r="D133" s="245" t="s">
        <v>313</v>
      </c>
      <c r="E133" s="242" t="s">
        <v>47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0"/>
      <c r="AJ133" s="20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0"/>
      <c r="AW133" s="20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0"/>
      <c r="BJ133" s="20"/>
      <c r="BK133" s="20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0">
        <v>1.0</v>
      </c>
      <c r="DZ133" s="22"/>
      <c r="EA133" s="20"/>
      <c r="EB133" s="20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  <c r="IZ133" s="22"/>
      <c r="JA133" s="22"/>
      <c r="JB133" s="22"/>
      <c r="JC133" s="22"/>
      <c r="JD133" s="22"/>
      <c r="JE133" s="22"/>
      <c r="JF133" s="22"/>
      <c r="JG133" s="22"/>
      <c r="JH133" s="22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2"/>
      <c r="LK133" s="22"/>
      <c r="LL133" s="22"/>
      <c r="LM133" s="22"/>
      <c r="LN133" s="22"/>
      <c r="LO133" s="22"/>
      <c r="LP133" s="22"/>
      <c r="LQ133" s="22"/>
      <c r="LR133" s="22"/>
      <c r="LS133" s="22"/>
      <c r="LT133" s="22"/>
      <c r="LU133" s="22"/>
      <c r="LV133" s="22"/>
      <c r="LW133" s="22"/>
      <c r="LX133" s="22"/>
      <c r="LY133" s="22"/>
      <c r="LZ133" s="22"/>
      <c r="MA133" s="22"/>
      <c r="MB133" s="22"/>
      <c r="MC133" s="22"/>
      <c r="MD133" s="22"/>
      <c r="ME133" s="22"/>
      <c r="MF133" s="22"/>
      <c r="MG133" s="22"/>
      <c r="MH133" s="22"/>
      <c r="MI133" s="22"/>
      <c r="MJ133" s="22"/>
      <c r="MK133" s="22"/>
      <c r="ML133" s="22"/>
      <c r="MM133" s="22"/>
      <c r="MN133" s="22"/>
      <c r="MO133" s="22"/>
      <c r="MP133" s="22"/>
      <c r="MQ133" s="22"/>
      <c r="MR133" s="22"/>
      <c r="MS133" s="22"/>
      <c r="MT133" s="22"/>
      <c r="MU133" s="22"/>
      <c r="MV133" s="22"/>
      <c r="MW133" s="22"/>
      <c r="MX133" s="22"/>
      <c r="MY133" s="22"/>
      <c r="MZ133" s="22"/>
      <c r="NA133" s="22"/>
      <c r="NB133" s="22"/>
      <c r="NC133" s="22"/>
      <c r="ND133" s="22"/>
      <c r="NE133" s="22"/>
      <c r="NF133" s="22"/>
    </row>
    <row r="134" ht="15.75" hidden="1" customHeight="1">
      <c r="A134" s="237"/>
      <c r="B134" s="267"/>
      <c r="C134" s="239">
        <v>46153.0</v>
      </c>
      <c r="D134" s="245" t="s">
        <v>314</v>
      </c>
      <c r="E134" s="242" t="s">
        <v>47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0"/>
      <c r="AJ134" s="20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0"/>
      <c r="AW134" s="20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0"/>
      <c r="BJ134" s="20"/>
      <c r="BK134" s="20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0">
        <v>3.0</v>
      </c>
      <c r="DZ134" s="22"/>
      <c r="EA134" s="20">
        <v>8.0</v>
      </c>
      <c r="EB134" s="20">
        <v>3.0</v>
      </c>
      <c r="EC134" s="20">
        <v>6.0</v>
      </c>
      <c r="ED134" s="22"/>
      <c r="EE134" s="22"/>
      <c r="EF134" s="20">
        <v>5.0</v>
      </c>
      <c r="EG134" s="22"/>
      <c r="EH134" s="22"/>
      <c r="EI134" s="22"/>
      <c r="EJ134" s="22"/>
      <c r="EK134" s="22"/>
      <c r="EL134" s="22"/>
      <c r="EM134" s="22"/>
      <c r="EN134" s="22"/>
      <c r="EO134" s="22"/>
      <c r="EP134" s="20">
        <v>2.0</v>
      </c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  <c r="IZ134" s="22"/>
      <c r="JA134" s="22"/>
      <c r="JB134" s="22"/>
      <c r="JC134" s="22"/>
      <c r="JD134" s="22"/>
      <c r="JE134" s="22"/>
      <c r="JF134" s="22"/>
      <c r="JG134" s="22"/>
      <c r="JH134" s="22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2"/>
      <c r="LK134" s="22"/>
      <c r="LL134" s="22"/>
      <c r="LM134" s="22"/>
      <c r="LN134" s="22"/>
      <c r="LO134" s="22"/>
      <c r="LP134" s="22"/>
      <c r="LQ134" s="22"/>
      <c r="LR134" s="22"/>
      <c r="LS134" s="22"/>
      <c r="LT134" s="22"/>
      <c r="LU134" s="22"/>
      <c r="LV134" s="22"/>
      <c r="LW134" s="22"/>
      <c r="LX134" s="22"/>
      <c r="LY134" s="22"/>
      <c r="LZ134" s="22"/>
      <c r="MA134" s="22"/>
      <c r="MB134" s="22"/>
      <c r="MC134" s="22"/>
      <c r="MD134" s="22"/>
      <c r="ME134" s="22"/>
      <c r="MF134" s="22"/>
      <c r="MG134" s="22"/>
      <c r="MH134" s="22"/>
      <c r="MI134" s="22"/>
      <c r="MJ134" s="22"/>
      <c r="MK134" s="22"/>
      <c r="ML134" s="22"/>
      <c r="MM134" s="22"/>
      <c r="MN134" s="22"/>
      <c r="MO134" s="22"/>
      <c r="MP134" s="22"/>
      <c r="MQ134" s="22"/>
      <c r="MR134" s="22"/>
      <c r="MS134" s="22"/>
      <c r="MT134" s="22"/>
      <c r="MU134" s="22"/>
      <c r="MV134" s="22"/>
      <c r="MW134" s="22"/>
      <c r="MX134" s="22"/>
      <c r="MY134" s="22"/>
      <c r="MZ134" s="22"/>
      <c r="NA134" s="22"/>
      <c r="NB134" s="22"/>
      <c r="NC134" s="22"/>
      <c r="ND134" s="22"/>
      <c r="NE134" s="22"/>
      <c r="NF134" s="22"/>
    </row>
    <row r="135" ht="15.75" hidden="1" customHeight="1">
      <c r="A135" s="237"/>
      <c r="B135" s="267"/>
      <c r="C135" s="239">
        <v>46149.0</v>
      </c>
      <c r="D135" s="245" t="s">
        <v>315</v>
      </c>
      <c r="E135" s="242" t="s">
        <v>47</v>
      </c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0"/>
      <c r="AJ135" s="20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0"/>
      <c r="AW135" s="20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0"/>
      <c r="BJ135" s="20"/>
      <c r="BK135" s="20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0">
        <v>1.0</v>
      </c>
      <c r="EB135" s="20">
        <v>3.0</v>
      </c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  <c r="IZ135" s="22"/>
      <c r="JA135" s="22"/>
      <c r="JB135" s="22"/>
      <c r="JC135" s="22"/>
      <c r="JD135" s="22"/>
      <c r="JE135" s="22"/>
      <c r="JF135" s="22"/>
      <c r="JG135" s="22"/>
      <c r="JH135" s="22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2"/>
      <c r="LK135" s="22"/>
      <c r="LL135" s="22"/>
      <c r="LM135" s="22"/>
      <c r="LN135" s="22"/>
      <c r="LO135" s="22"/>
      <c r="LP135" s="22"/>
      <c r="LQ135" s="22"/>
      <c r="LR135" s="22"/>
      <c r="LS135" s="22"/>
      <c r="LT135" s="22"/>
      <c r="LU135" s="22"/>
      <c r="LV135" s="22"/>
      <c r="LW135" s="22"/>
      <c r="LX135" s="22"/>
      <c r="LY135" s="22"/>
      <c r="LZ135" s="22"/>
      <c r="MA135" s="22"/>
      <c r="MB135" s="22"/>
      <c r="MC135" s="22"/>
      <c r="MD135" s="22"/>
      <c r="ME135" s="22"/>
      <c r="MF135" s="22"/>
      <c r="MG135" s="22"/>
      <c r="MH135" s="22"/>
      <c r="MI135" s="22"/>
      <c r="MJ135" s="22"/>
      <c r="MK135" s="22"/>
      <c r="ML135" s="22"/>
      <c r="MM135" s="22"/>
      <c r="MN135" s="22"/>
      <c r="MO135" s="22"/>
      <c r="MP135" s="22"/>
      <c r="MQ135" s="22"/>
      <c r="MR135" s="22"/>
      <c r="MS135" s="22"/>
      <c r="MT135" s="22"/>
      <c r="MU135" s="22"/>
      <c r="MV135" s="22"/>
      <c r="MW135" s="22"/>
      <c r="MX135" s="22"/>
      <c r="MY135" s="22"/>
      <c r="MZ135" s="22"/>
      <c r="NA135" s="22"/>
      <c r="NB135" s="22"/>
      <c r="NC135" s="22"/>
      <c r="ND135" s="22"/>
      <c r="NE135" s="22"/>
      <c r="NF135" s="22"/>
    </row>
    <row r="136" ht="15.75" hidden="1" customHeight="1">
      <c r="A136" s="237"/>
      <c r="B136" s="267"/>
      <c r="C136" s="239">
        <v>46154.0</v>
      </c>
      <c r="D136" s="245" t="s">
        <v>316</v>
      </c>
      <c r="E136" s="242" t="s">
        <v>47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0"/>
      <c r="AJ136" s="20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0"/>
      <c r="AW136" s="20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0"/>
      <c r="BJ136" s="20"/>
      <c r="BK136" s="20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0">
        <v>2.0</v>
      </c>
      <c r="EC136" s="20">
        <v>1.0</v>
      </c>
      <c r="ED136" s="22"/>
      <c r="EE136" s="22"/>
      <c r="EF136" s="22"/>
      <c r="EG136" s="20">
        <v>2.0</v>
      </c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  <c r="IZ136" s="22"/>
      <c r="JA136" s="22"/>
      <c r="JB136" s="22"/>
      <c r="JC136" s="22"/>
      <c r="JD136" s="22"/>
      <c r="JE136" s="22"/>
      <c r="JF136" s="22"/>
      <c r="JG136" s="22"/>
      <c r="JH136" s="22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2"/>
      <c r="LK136" s="22"/>
      <c r="LL136" s="22"/>
      <c r="LM136" s="22"/>
      <c r="LN136" s="22"/>
      <c r="LO136" s="22"/>
      <c r="LP136" s="22"/>
      <c r="LQ136" s="22"/>
      <c r="LR136" s="22"/>
      <c r="LS136" s="22"/>
      <c r="LT136" s="22"/>
      <c r="LU136" s="22"/>
      <c r="LV136" s="22"/>
      <c r="LW136" s="22"/>
      <c r="LX136" s="22"/>
      <c r="LY136" s="22"/>
      <c r="LZ136" s="22"/>
      <c r="MA136" s="22"/>
      <c r="MB136" s="22"/>
      <c r="MC136" s="22"/>
      <c r="MD136" s="22"/>
      <c r="ME136" s="22"/>
      <c r="MF136" s="22"/>
      <c r="MG136" s="22"/>
      <c r="MH136" s="22"/>
      <c r="MI136" s="22"/>
      <c r="MJ136" s="22"/>
      <c r="MK136" s="22"/>
      <c r="ML136" s="22"/>
      <c r="MM136" s="22"/>
      <c r="MN136" s="22"/>
      <c r="MO136" s="22"/>
      <c r="MP136" s="22"/>
      <c r="MQ136" s="22"/>
      <c r="MR136" s="22"/>
      <c r="MS136" s="22"/>
      <c r="MT136" s="22"/>
      <c r="MU136" s="22"/>
      <c r="MV136" s="22"/>
      <c r="MW136" s="22"/>
      <c r="MX136" s="22"/>
      <c r="MY136" s="22"/>
      <c r="MZ136" s="22"/>
      <c r="NA136" s="22"/>
      <c r="NB136" s="22"/>
      <c r="NC136" s="22"/>
      <c r="ND136" s="22"/>
      <c r="NE136" s="22"/>
      <c r="NF136" s="22"/>
    </row>
    <row r="137" ht="15.75" hidden="1" customHeight="1">
      <c r="A137" s="237"/>
      <c r="B137" s="267"/>
      <c r="C137" s="239">
        <v>46156.0</v>
      </c>
      <c r="D137" s="245" t="s">
        <v>317</v>
      </c>
      <c r="E137" s="242" t="s">
        <v>47</v>
      </c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0"/>
      <c r="AJ137" s="20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0"/>
      <c r="AW137" s="20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0"/>
      <c r="BJ137" s="20"/>
      <c r="BK137" s="20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0">
        <v>2.0</v>
      </c>
      <c r="EH137" s="20">
        <v>3.0</v>
      </c>
      <c r="EI137" s="20" t="s">
        <v>234</v>
      </c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  <c r="IZ137" s="22"/>
      <c r="JA137" s="22"/>
      <c r="JB137" s="22"/>
      <c r="JC137" s="22"/>
      <c r="JD137" s="22"/>
      <c r="JE137" s="22"/>
      <c r="JF137" s="22"/>
      <c r="JG137" s="22"/>
      <c r="JH137" s="22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2"/>
      <c r="LK137" s="22"/>
      <c r="LL137" s="22"/>
      <c r="LM137" s="22"/>
      <c r="LN137" s="22"/>
      <c r="LO137" s="22"/>
      <c r="LP137" s="22"/>
      <c r="LQ137" s="22"/>
      <c r="LR137" s="22"/>
      <c r="LS137" s="22"/>
      <c r="LT137" s="22"/>
      <c r="LU137" s="22"/>
      <c r="LV137" s="22"/>
      <c r="LW137" s="22"/>
      <c r="LX137" s="22"/>
      <c r="LY137" s="22"/>
      <c r="LZ137" s="22"/>
      <c r="MA137" s="22"/>
      <c r="MB137" s="22"/>
      <c r="MC137" s="22"/>
      <c r="MD137" s="22"/>
      <c r="ME137" s="22"/>
      <c r="MF137" s="22"/>
      <c r="MG137" s="22"/>
      <c r="MH137" s="22"/>
      <c r="MI137" s="22"/>
      <c r="MJ137" s="22"/>
      <c r="MK137" s="22"/>
      <c r="ML137" s="22"/>
      <c r="MM137" s="22"/>
      <c r="MN137" s="22"/>
      <c r="MO137" s="22"/>
      <c r="MP137" s="22"/>
      <c r="MQ137" s="22"/>
      <c r="MR137" s="22"/>
      <c r="MS137" s="22"/>
      <c r="MT137" s="22"/>
      <c r="MU137" s="22"/>
      <c r="MV137" s="22"/>
      <c r="MW137" s="22"/>
      <c r="MX137" s="22"/>
      <c r="MY137" s="22"/>
      <c r="MZ137" s="22"/>
      <c r="NA137" s="22"/>
      <c r="NB137" s="22"/>
      <c r="NC137" s="22"/>
      <c r="ND137" s="22"/>
      <c r="NE137" s="22"/>
      <c r="NF137" s="22"/>
    </row>
    <row r="138" ht="15.75" hidden="1" customHeight="1">
      <c r="A138" s="237"/>
      <c r="B138" s="267"/>
      <c r="C138" s="239">
        <v>46154.0</v>
      </c>
      <c r="D138" s="245" t="s">
        <v>318</v>
      </c>
      <c r="E138" s="242" t="s">
        <v>47</v>
      </c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0"/>
      <c r="AJ138" s="20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0"/>
      <c r="AW138" s="20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0"/>
      <c r="BJ138" s="20"/>
      <c r="BK138" s="20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0">
        <v>3.0</v>
      </c>
      <c r="EG138" s="20">
        <v>2.0</v>
      </c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  <c r="IZ138" s="22"/>
      <c r="JA138" s="22"/>
      <c r="JB138" s="22"/>
      <c r="JC138" s="22"/>
      <c r="JD138" s="22"/>
      <c r="JE138" s="22"/>
      <c r="JF138" s="22"/>
      <c r="JG138" s="22"/>
      <c r="JH138" s="22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2"/>
      <c r="LK138" s="22"/>
      <c r="LL138" s="22"/>
      <c r="LM138" s="22"/>
      <c r="LN138" s="22"/>
      <c r="LO138" s="22"/>
      <c r="LP138" s="22"/>
      <c r="LQ138" s="22"/>
      <c r="LR138" s="22"/>
      <c r="LS138" s="22"/>
      <c r="LT138" s="22"/>
      <c r="LU138" s="22"/>
      <c r="LV138" s="22"/>
      <c r="LW138" s="22"/>
      <c r="LX138" s="22"/>
      <c r="LY138" s="22"/>
      <c r="LZ138" s="22"/>
      <c r="MA138" s="22"/>
      <c r="MB138" s="22"/>
      <c r="MC138" s="22"/>
      <c r="MD138" s="22"/>
      <c r="ME138" s="22"/>
      <c r="MF138" s="22"/>
      <c r="MG138" s="22"/>
      <c r="MH138" s="22"/>
      <c r="MI138" s="22"/>
      <c r="MJ138" s="22"/>
      <c r="MK138" s="22"/>
      <c r="ML138" s="22"/>
      <c r="MM138" s="22"/>
      <c r="MN138" s="22"/>
      <c r="MO138" s="22"/>
      <c r="MP138" s="22"/>
      <c r="MQ138" s="22"/>
      <c r="MR138" s="22"/>
      <c r="MS138" s="22"/>
      <c r="MT138" s="22"/>
      <c r="MU138" s="22"/>
      <c r="MV138" s="22"/>
      <c r="MW138" s="22"/>
      <c r="MX138" s="22"/>
      <c r="MY138" s="22"/>
      <c r="MZ138" s="22"/>
      <c r="NA138" s="22"/>
      <c r="NB138" s="22"/>
      <c r="NC138" s="22"/>
      <c r="ND138" s="22"/>
      <c r="NE138" s="22"/>
      <c r="NF138" s="22"/>
    </row>
    <row r="139" ht="15.75" hidden="1" customHeight="1">
      <c r="A139" s="237"/>
      <c r="B139" s="267"/>
      <c r="C139" s="239">
        <v>46154.0</v>
      </c>
      <c r="D139" s="245" t="s">
        <v>319</v>
      </c>
      <c r="E139" s="242" t="s">
        <v>47</v>
      </c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0"/>
      <c r="AJ139" s="20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0"/>
      <c r="AW139" s="20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0"/>
      <c r="BJ139" s="20"/>
      <c r="BK139" s="20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0">
        <v>2.0</v>
      </c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  <c r="IZ139" s="22"/>
      <c r="JA139" s="22"/>
      <c r="JB139" s="22"/>
      <c r="JC139" s="22"/>
      <c r="JD139" s="22"/>
      <c r="JE139" s="22"/>
      <c r="JF139" s="22"/>
      <c r="JG139" s="22"/>
      <c r="JH139" s="22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2"/>
      <c r="LK139" s="22"/>
      <c r="LL139" s="22"/>
      <c r="LM139" s="22"/>
      <c r="LN139" s="22"/>
      <c r="LO139" s="22"/>
      <c r="LP139" s="22"/>
      <c r="LQ139" s="22"/>
      <c r="LR139" s="22"/>
      <c r="LS139" s="22"/>
      <c r="LT139" s="22"/>
      <c r="LU139" s="22"/>
      <c r="LV139" s="22"/>
      <c r="LW139" s="22"/>
      <c r="LX139" s="22"/>
      <c r="LY139" s="22"/>
      <c r="LZ139" s="22"/>
      <c r="MA139" s="22"/>
      <c r="MB139" s="22"/>
      <c r="MC139" s="22"/>
      <c r="MD139" s="22"/>
      <c r="ME139" s="22"/>
      <c r="MF139" s="22"/>
      <c r="MG139" s="22"/>
      <c r="MH139" s="22"/>
      <c r="MI139" s="22"/>
      <c r="MJ139" s="22"/>
      <c r="MK139" s="22"/>
      <c r="ML139" s="22"/>
      <c r="MM139" s="22"/>
      <c r="MN139" s="22"/>
      <c r="MO139" s="22"/>
      <c r="MP139" s="22"/>
      <c r="MQ139" s="22"/>
      <c r="MR139" s="22"/>
      <c r="MS139" s="22"/>
      <c r="MT139" s="22"/>
      <c r="MU139" s="22"/>
      <c r="MV139" s="22"/>
      <c r="MW139" s="22"/>
      <c r="MX139" s="22"/>
      <c r="MY139" s="22"/>
      <c r="MZ139" s="22"/>
      <c r="NA139" s="22"/>
      <c r="NB139" s="22"/>
      <c r="NC139" s="22"/>
      <c r="ND139" s="22"/>
      <c r="NE139" s="22"/>
      <c r="NF139" s="22"/>
    </row>
    <row r="140" ht="15.75" hidden="1" customHeight="1">
      <c r="A140" s="237"/>
      <c r="B140" s="267"/>
      <c r="C140" s="239">
        <v>46156.0</v>
      </c>
      <c r="D140" s="245" t="s">
        <v>320</v>
      </c>
      <c r="E140" s="242" t="s">
        <v>47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0"/>
      <c r="AJ140" s="20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0"/>
      <c r="AW140" s="20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0"/>
      <c r="BJ140" s="20"/>
      <c r="BK140" s="20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0">
        <v>1.0</v>
      </c>
      <c r="EI140" s="20">
        <v>2.0</v>
      </c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  <c r="IZ140" s="22"/>
      <c r="JA140" s="22"/>
      <c r="JB140" s="22"/>
      <c r="JC140" s="22"/>
      <c r="JD140" s="22"/>
      <c r="JE140" s="22"/>
      <c r="JF140" s="22"/>
      <c r="JG140" s="22"/>
      <c r="JH140" s="22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2"/>
      <c r="LK140" s="22"/>
      <c r="LL140" s="22"/>
      <c r="LM140" s="22"/>
      <c r="LN140" s="22"/>
      <c r="LO140" s="22"/>
      <c r="LP140" s="22"/>
      <c r="LQ140" s="22"/>
      <c r="LR140" s="22"/>
      <c r="LS140" s="22"/>
      <c r="LT140" s="22"/>
      <c r="LU140" s="22"/>
      <c r="LV140" s="22"/>
      <c r="LW140" s="22"/>
      <c r="LX140" s="22"/>
      <c r="LY140" s="22"/>
      <c r="LZ140" s="22"/>
      <c r="MA140" s="22"/>
      <c r="MB140" s="22"/>
      <c r="MC140" s="22"/>
      <c r="MD140" s="22"/>
      <c r="ME140" s="22"/>
      <c r="MF140" s="22"/>
      <c r="MG140" s="22"/>
      <c r="MH140" s="22"/>
      <c r="MI140" s="22"/>
      <c r="MJ140" s="22"/>
      <c r="MK140" s="22"/>
      <c r="ML140" s="22"/>
      <c r="MM140" s="22"/>
      <c r="MN140" s="22"/>
      <c r="MO140" s="22"/>
      <c r="MP140" s="22"/>
      <c r="MQ140" s="22"/>
      <c r="MR140" s="22"/>
      <c r="MS140" s="22"/>
      <c r="MT140" s="22"/>
      <c r="MU140" s="22"/>
      <c r="MV140" s="22"/>
      <c r="MW140" s="22"/>
      <c r="MX140" s="22"/>
      <c r="MY140" s="22"/>
      <c r="MZ140" s="22"/>
      <c r="NA140" s="22"/>
      <c r="NB140" s="22"/>
      <c r="NC140" s="22"/>
      <c r="ND140" s="22"/>
      <c r="NE140" s="22"/>
      <c r="NF140" s="22"/>
    </row>
    <row r="141" ht="15.75" hidden="1" customHeight="1">
      <c r="A141" s="237"/>
      <c r="B141" s="267"/>
      <c r="C141" s="239">
        <v>46157.0</v>
      </c>
      <c r="D141" s="245" t="s">
        <v>321</v>
      </c>
      <c r="E141" s="242" t="s">
        <v>47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0"/>
      <c r="AJ141" s="20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0"/>
      <c r="AW141" s="20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0"/>
      <c r="BJ141" s="20"/>
      <c r="BK141" s="20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0">
        <v>1.0</v>
      </c>
      <c r="EI141" s="22"/>
      <c r="EJ141" s="20" t="s">
        <v>234</v>
      </c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  <c r="IZ141" s="22"/>
      <c r="JA141" s="22"/>
      <c r="JB141" s="22"/>
      <c r="JC141" s="22"/>
      <c r="JD141" s="22"/>
      <c r="JE141" s="22"/>
      <c r="JF141" s="22"/>
      <c r="JG141" s="22"/>
      <c r="JH141" s="22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2"/>
      <c r="LK141" s="22"/>
      <c r="LL141" s="22"/>
      <c r="LM141" s="22"/>
      <c r="LN141" s="22"/>
      <c r="LO141" s="22"/>
      <c r="LP141" s="22"/>
      <c r="LQ141" s="22"/>
      <c r="LR141" s="22"/>
      <c r="LS141" s="22"/>
      <c r="LT141" s="22"/>
      <c r="LU141" s="22"/>
      <c r="LV141" s="22"/>
      <c r="LW141" s="22"/>
      <c r="LX141" s="22"/>
      <c r="LY141" s="22"/>
      <c r="LZ141" s="22"/>
      <c r="MA141" s="22"/>
      <c r="MB141" s="22"/>
      <c r="MC141" s="22"/>
      <c r="MD141" s="22"/>
      <c r="ME141" s="22"/>
      <c r="MF141" s="22"/>
      <c r="MG141" s="22"/>
      <c r="MH141" s="22"/>
      <c r="MI141" s="22"/>
      <c r="MJ141" s="22"/>
      <c r="MK141" s="22"/>
      <c r="ML141" s="22"/>
      <c r="MM141" s="22"/>
      <c r="MN141" s="22"/>
      <c r="MO141" s="22"/>
      <c r="MP141" s="22"/>
      <c r="MQ141" s="22"/>
      <c r="MR141" s="22"/>
      <c r="MS141" s="22"/>
      <c r="MT141" s="22"/>
      <c r="MU141" s="22"/>
      <c r="MV141" s="22"/>
      <c r="MW141" s="22"/>
      <c r="MX141" s="22"/>
      <c r="MY141" s="22"/>
      <c r="MZ141" s="22"/>
      <c r="NA141" s="22"/>
      <c r="NB141" s="22"/>
      <c r="NC141" s="22"/>
      <c r="ND141" s="22"/>
      <c r="NE141" s="22"/>
      <c r="NF141" s="22"/>
    </row>
    <row r="142" ht="15.75" hidden="1" customHeight="1">
      <c r="A142" s="237"/>
      <c r="B142" s="267"/>
      <c r="C142" s="239">
        <v>46157.0</v>
      </c>
      <c r="D142" s="245" t="s">
        <v>322</v>
      </c>
      <c r="E142" s="242" t="s">
        <v>47</v>
      </c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0"/>
      <c r="AJ142" s="20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0"/>
      <c r="AW142" s="20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0"/>
      <c r="BJ142" s="20"/>
      <c r="BK142" s="20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0"/>
      <c r="EI142" s="20">
        <v>2.0</v>
      </c>
      <c r="EJ142" s="20">
        <v>4.0</v>
      </c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  <c r="IZ142" s="22"/>
      <c r="JA142" s="22"/>
      <c r="JB142" s="22"/>
      <c r="JC142" s="22"/>
      <c r="JD142" s="22"/>
      <c r="JE142" s="22"/>
      <c r="JF142" s="22"/>
      <c r="JG142" s="22"/>
      <c r="JH142" s="22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2"/>
      <c r="LK142" s="22"/>
      <c r="LL142" s="22"/>
      <c r="LM142" s="22"/>
      <c r="LN142" s="22"/>
      <c r="LO142" s="22"/>
      <c r="LP142" s="22"/>
      <c r="LQ142" s="22"/>
      <c r="LR142" s="22"/>
      <c r="LS142" s="22"/>
      <c r="LT142" s="22"/>
      <c r="LU142" s="22"/>
      <c r="LV142" s="22"/>
      <c r="LW142" s="22"/>
      <c r="LX142" s="22"/>
      <c r="LY142" s="22"/>
      <c r="LZ142" s="22"/>
      <c r="MA142" s="22"/>
      <c r="MB142" s="22"/>
      <c r="MC142" s="22"/>
      <c r="MD142" s="22"/>
      <c r="ME142" s="22"/>
      <c r="MF142" s="22"/>
      <c r="MG142" s="22"/>
      <c r="MH142" s="22"/>
      <c r="MI142" s="22"/>
      <c r="MJ142" s="22"/>
      <c r="MK142" s="22"/>
      <c r="ML142" s="22"/>
      <c r="MM142" s="22"/>
      <c r="MN142" s="22"/>
      <c r="MO142" s="22"/>
      <c r="MP142" s="22"/>
      <c r="MQ142" s="22"/>
      <c r="MR142" s="22"/>
      <c r="MS142" s="22"/>
      <c r="MT142" s="22"/>
      <c r="MU142" s="22"/>
      <c r="MV142" s="22"/>
      <c r="MW142" s="22"/>
      <c r="MX142" s="22"/>
      <c r="MY142" s="22"/>
      <c r="MZ142" s="22"/>
      <c r="NA142" s="22"/>
      <c r="NB142" s="22"/>
      <c r="NC142" s="22"/>
      <c r="ND142" s="22"/>
      <c r="NE142" s="22"/>
      <c r="NF142" s="22"/>
    </row>
    <row r="143" ht="15.75" hidden="1" customHeight="1">
      <c r="A143" s="237"/>
      <c r="B143" s="267"/>
      <c r="C143" s="239">
        <v>46156.0</v>
      </c>
      <c r="D143" s="245" t="s">
        <v>323</v>
      </c>
      <c r="E143" s="242" t="s">
        <v>47</v>
      </c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0"/>
      <c r="AJ143" s="20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0"/>
      <c r="AW143" s="20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0"/>
      <c r="BJ143" s="20"/>
      <c r="BK143" s="20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0">
        <v>3.0</v>
      </c>
      <c r="EI143" s="20">
        <v>4.0</v>
      </c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  <c r="IZ143" s="22"/>
      <c r="JA143" s="22"/>
      <c r="JB143" s="22"/>
      <c r="JC143" s="22"/>
      <c r="JD143" s="22"/>
      <c r="JE143" s="22"/>
      <c r="JF143" s="22"/>
      <c r="JG143" s="22"/>
      <c r="JH143" s="22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2"/>
      <c r="LK143" s="22"/>
      <c r="LL143" s="22"/>
      <c r="LM143" s="22"/>
      <c r="LN143" s="22"/>
      <c r="LO143" s="22"/>
      <c r="LP143" s="22"/>
      <c r="LQ143" s="22"/>
      <c r="LR143" s="22"/>
      <c r="LS143" s="22"/>
      <c r="LT143" s="22"/>
      <c r="LU143" s="22"/>
      <c r="LV143" s="22"/>
      <c r="LW143" s="22"/>
      <c r="LX143" s="22"/>
      <c r="LY143" s="22"/>
      <c r="LZ143" s="22"/>
      <c r="MA143" s="22"/>
      <c r="MB143" s="22"/>
      <c r="MC143" s="22"/>
      <c r="MD143" s="22"/>
      <c r="ME143" s="22"/>
      <c r="MF143" s="22"/>
      <c r="MG143" s="22"/>
      <c r="MH143" s="22"/>
      <c r="MI143" s="22"/>
      <c r="MJ143" s="22"/>
      <c r="MK143" s="22"/>
      <c r="ML143" s="22"/>
      <c r="MM143" s="22"/>
      <c r="MN143" s="22"/>
      <c r="MO143" s="22"/>
      <c r="MP143" s="22"/>
      <c r="MQ143" s="22"/>
      <c r="MR143" s="22"/>
      <c r="MS143" s="22"/>
      <c r="MT143" s="22"/>
      <c r="MU143" s="22"/>
      <c r="MV143" s="22"/>
      <c r="MW143" s="22"/>
      <c r="MX143" s="22"/>
      <c r="MY143" s="22"/>
      <c r="MZ143" s="22"/>
      <c r="NA143" s="22"/>
      <c r="NB143" s="22"/>
      <c r="NC143" s="22"/>
      <c r="ND143" s="22"/>
      <c r="NE143" s="22"/>
      <c r="NF143" s="22"/>
    </row>
    <row r="144" ht="15.75" hidden="1" customHeight="1">
      <c r="A144" s="237"/>
      <c r="B144" s="267"/>
      <c r="C144" s="239">
        <v>46160.0</v>
      </c>
      <c r="D144" s="245" t="s">
        <v>324</v>
      </c>
      <c r="E144" s="242" t="s">
        <v>47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0"/>
      <c r="AJ144" s="20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0"/>
      <c r="AW144" s="20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0"/>
      <c r="BJ144" s="20"/>
      <c r="BK144" s="20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0">
        <v>1.0</v>
      </c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  <c r="IZ144" s="22"/>
      <c r="JA144" s="22"/>
      <c r="JB144" s="22"/>
      <c r="JC144" s="22"/>
      <c r="JD144" s="22"/>
      <c r="JE144" s="22"/>
      <c r="JF144" s="22"/>
      <c r="JG144" s="22"/>
      <c r="JH144" s="22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2"/>
      <c r="LK144" s="22"/>
      <c r="LL144" s="22"/>
      <c r="LM144" s="22"/>
      <c r="LN144" s="22"/>
      <c r="LO144" s="22"/>
      <c r="LP144" s="22"/>
      <c r="LQ144" s="22"/>
      <c r="LR144" s="22"/>
      <c r="LS144" s="22"/>
      <c r="LT144" s="22"/>
      <c r="LU144" s="22"/>
      <c r="LV144" s="22"/>
      <c r="LW144" s="22"/>
      <c r="LX144" s="22"/>
      <c r="LY144" s="22"/>
      <c r="LZ144" s="22"/>
      <c r="MA144" s="22"/>
      <c r="MB144" s="22"/>
      <c r="MC144" s="22"/>
      <c r="MD144" s="22"/>
      <c r="ME144" s="22"/>
      <c r="MF144" s="22"/>
      <c r="MG144" s="22"/>
      <c r="MH144" s="22"/>
      <c r="MI144" s="22"/>
      <c r="MJ144" s="22"/>
      <c r="MK144" s="22"/>
      <c r="ML144" s="22"/>
      <c r="MM144" s="22"/>
      <c r="MN144" s="22"/>
      <c r="MO144" s="22"/>
      <c r="MP144" s="22"/>
      <c r="MQ144" s="22"/>
      <c r="MR144" s="22"/>
      <c r="MS144" s="22"/>
      <c r="MT144" s="22"/>
      <c r="MU144" s="22"/>
      <c r="MV144" s="22"/>
      <c r="MW144" s="22"/>
      <c r="MX144" s="22"/>
      <c r="MY144" s="22"/>
      <c r="MZ144" s="22"/>
      <c r="NA144" s="22"/>
      <c r="NB144" s="22"/>
      <c r="NC144" s="22"/>
      <c r="ND144" s="22"/>
      <c r="NE144" s="22"/>
      <c r="NF144" s="22"/>
    </row>
    <row r="145" ht="15.75" hidden="1" customHeight="1">
      <c r="A145" s="237"/>
      <c r="B145" s="267"/>
      <c r="C145" s="239">
        <v>46161.0</v>
      </c>
      <c r="D145" s="245" t="s">
        <v>325</v>
      </c>
      <c r="E145" s="242" t="s">
        <v>47</v>
      </c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0"/>
      <c r="AJ145" s="20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0"/>
      <c r="AW145" s="20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0"/>
      <c r="BJ145" s="20"/>
      <c r="BK145" s="20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0"/>
      <c r="EK145" s="22"/>
      <c r="EL145" s="22"/>
      <c r="EM145" s="20">
        <v>1.0</v>
      </c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  <c r="IZ145" s="22"/>
      <c r="JA145" s="22"/>
      <c r="JB145" s="22"/>
      <c r="JC145" s="22"/>
      <c r="JD145" s="22"/>
      <c r="JE145" s="22"/>
      <c r="JF145" s="22"/>
      <c r="JG145" s="22"/>
      <c r="JH145" s="22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2"/>
      <c r="LK145" s="22"/>
      <c r="LL145" s="22"/>
      <c r="LM145" s="22"/>
      <c r="LN145" s="22"/>
      <c r="LO145" s="22"/>
      <c r="LP145" s="22"/>
      <c r="LQ145" s="22"/>
      <c r="LR145" s="22"/>
      <c r="LS145" s="22"/>
      <c r="LT145" s="22"/>
      <c r="LU145" s="22"/>
      <c r="LV145" s="22"/>
      <c r="LW145" s="22"/>
      <c r="LX145" s="22"/>
      <c r="LY145" s="22"/>
      <c r="LZ145" s="22"/>
      <c r="MA145" s="22"/>
      <c r="MB145" s="22"/>
      <c r="MC145" s="22"/>
      <c r="MD145" s="22"/>
      <c r="ME145" s="22"/>
      <c r="MF145" s="22"/>
      <c r="MG145" s="22"/>
      <c r="MH145" s="22"/>
      <c r="MI145" s="22"/>
      <c r="MJ145" s="22"/>
      <c r="MK145" s="22"/>
      <c r="ML145" s="22"/>
      <c r="MM145" s="22"/>
      <c r="MN145" s="22"/>
      <c r="MO145" s="22"/>
      <c r="MP145" s="22"/>
      <c r="MQ145" s="22"/>
      <c r="MR145" s="22"/>
      <c r="MS145" s="22"/>
      <c r="MT145" s="22"/>
      <c r="MU145" s="22"/>
      <c r="MV145" s="22"/>
      <c r="MW145" s="22"/>
      <c r="MX145" s="22"/>
      <c r="MY145" s="22"/>
      <c r="MZ145" s="22"/>
      <c r="NA145" s="22"/>
      <c r="NB145" s="22"/>
      <c r="NC145" s="22"/>
      <c r="ND145" s="22"/>
      <c r="NE145" s="22"/>
      <c r="NF145" s="22"/>
    </row>
    <row r="146" ht="15.75" hidden="1" customHeight="1">
      <c r="A146" s="237"/>
      <c r="B146" s="267"/>
      <c r="C146" s="239">
        <v>46161.0</v>
      </c>
      <c r="D146" s="245" t="s">
        <v>326</v>
      </c>
      <c r="E146" s="242" t="s">
        <v>47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0"/>
      <c r="AJ146" s="20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0"/>
      <c r="AW146" s="20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0"/>
      <c r="BJ146" s="20"/>
      <c r="BK146" s="20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0">
        <v>3.0</v>
      </c>
      <c r="EN146" s="20">
        <v>1.0</v>
      </c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  <c r="IZ146" s="22"/>
      <c r="JA146" s="22"/>
      <c r="JB146" s="22"/>
      <c r="JC146" s="22"/>
      <c r="JD146" s="22"/>
      <c r="JE146" s="22"/>
      <c r="JF146" s="22"/>
      <c r="JG146" s="22"/>
      <c r="JH146" s="22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2"/>
      <c r="LK146" s="22"/>
      <c r="LL146" s="22"/>
      <c r="LM146" s="22"/>
      <c r="LN146" s="22"/>
      <c r="LO146" s="22"/>
      <c r="LP146" s="22"/>
      <c r="LQ146" s="22"/>
      <c r="LR146" s="22"/>
      <c r="LS146" s="22"/>
      <c r="LT146" s="22"/>
      <c r="LU146" s="22"/>
      <c r="LV146" s="22"/>
      <c r="LW146" s="22"/>
      <c r="LX146" s="22"/>
      <c r="LY146" s="22"/>
      <c r="LZ146" s="22"/>
      <c r="MA146" s="22"/>
      <c r="MB146" s="22"/>
      <c r="MC146" s="22"/>
      <c r="MD146" s="22"/>
      <c r="ME146" s="22"/>
      <c r="MF146" s="22"/>
      <c r="MG146" s="22"/>
      <c r="MH146" s="22"/>
      <c r="MI146" s="22"/>
      <c r="MJ146" s="22"/>
      <c r="MK146" s="22"/>
      <c r="ML146" s="22"/>
      <c r="MM146" s="22"/>
      <c r="MN146" s="22"/>
      <c r="MO146" s="22"/>
      <c r="MP146" s="22"/>
      <c r="MQ146" s="22"/>
      <c r="MR146" s="22"/>
      <c r="MS146" s="22"/>
      <c r="MT146" s="22"/>
      <c r="MU146" s="22"/>
      <c r="MV146" s="22"/>
      <c r="MW146" s="22"/>
      <c r="MX146" s="22"/>
      <c r="MY146" s="22"/>
      <c r="MZ146" s="22"/>
      <c r="NA146" s="22"/>
      <c r="NB146" s="22"/>
      <c r="NC146" s="22"/>
      <c r="ND146" s="22"/>
      <c r="NE146" s="22"/>
      <c r="NF146" s="22"/>
    </row>
    <row r="147" ht="15.75" hidden="1" customHeight="1">
      <c r="A147" s="237"/>
      <c r="B147" s="267"/>
      <c r="C147" s="239">
        <v>46168.0</v>
      </c>
      <c r="D147" s="245" t="s">
        <v>327</v>
      </c>
      <c r="E147" s="242" t="s">
        <v>47</v>
      </c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0"/>
      <c r="AJ147" s="20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0"/>
      <c r="AW147" s="20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0"/>
      <c r="BJ147" s="20"/>
      <c r="BK147" s="20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0"/>
      <c r="EK147" s="22"/>
      <c r="EL147" s="22"/>
      <c r="EM147" s="20"/>
      <c r="EN147" s="20"/>
      <c r="EO147" s="22"/>
      <c r="EP147" s="22"/>
      <c r="EQ147" s="22"/>
      <c r="ER147" s="22"/>
      <c r="ES147" s="22"/>
      <c r="ET147" s="22"/>
      <c r="EU147" s="20">
        <v>2.0</v>
      </c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  <c r="IZ147" s="22"/>
      <c r="JA147" s="22"/>
      <c r="JB147" s="22"/>
      <c r="JC147" s="22"/>
      <c r="JD147" s="22"/>
      <c r="JE147" s="22"/>
      <c r="JF147" s="22"/>
      <c r="JG147" s="22"/>
      <c r="JH147" s="22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2"/>
      <c r="LK147" s="22"/>
      <c r="LL147" s="22"/>
      <c r="LM147" s="22"/>
      <c r="LN147" s="22"/>
      <c r="LO147" s="22"/>
      <c r="LP147" s="22"/>
      <c r="LQ147" s="22"/>
      <c r="LR147" s="22"/>
      <c r="LS147" s="22"/>
      <c r="LT147" s="22"/>
      <c r="LU147" s="22"/>
      <c r="LV147" s="22"/>
      <c r="LW147" s="22"/>
      <c r="LX147" s="22"/>
      <c r="LY147" s="22"/>
      <c r="LZ147" s="22"/>
      <c r="MA147" s="22"/>
      <c r="MB147" s="22"/>
      <c r="MC147" s="22"/>
      <c r="MD147" s="22"/>
      <c r="ME147" s="22"/>
      <c r="MF147" s="22"/>
      <c r="MG147" s="22"/>
      <c r="MH147" s="22"/>
      <c r="MI147" s="22"/>
      <c r="MJ147" s="22"/>
      <c r="MK147" s="22"/>
      <c r="ML147" s="22"/>
      <c r="MM147" s="22"/>
      <c r="MN147" s="22"/>
      <c r="MO147" s="22"/>
      <c r="MP147" s="22"/>
      <c r="MQ147" s="22"/>
      <c r="MR147" s="22"/>
      <c r="MS147" s="22"/>
      <c r="MT147" s="22"/>
      <c r="MU147" s="22"/>
      <c r="MV147" s="22"/>
      <c r="MW147" s="22"/>
      <c r="MX147" s="22"/>
      <c r="MY147" s="22"/>
      <c r="MZ147" s="22"/>
      <c r="NA147" s="22"/>
      <c r="NB147" s="22"/>
      <c r="NC147" s="22"/>
      <c r="ND147" s="22"/>
      <c r="NE147" s="22"/>
      <c r="NF147" s="22"/>
    </row>
    <row r="148" ht="15.75" hidden="1" customHeight="1">
      <c r="A148" s="237"/>
      <c r="B148" s="267"/>
      <c r="C148" s="239">
        <v>46157.0</v>
      </c>
      <c r="D148" s="245" t="s">
        <v>328</v>
      </c>
      <c r="E148" s="242" t="s">
        <v>47</v>
      </c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0"/>
      <c r="AJ148" s="20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0"/>
      <c r="AW148" s="20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0"/>
      <c r="BJ148" s="20"/>
      <c r="BK148" s="20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0">
        <v>7.0</v>
      </c>
      <c r="EK148" s="22"/>
      <c r="EL148" s="22"/>
      <c r="EM148" s="20"/>
      <c r="EN148" s="20">
        <v>1.0</v>
      </c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  <c r="IZ148" s="22"/>
      <c r="JA148" s="22"/>
      <c r="JB148" s="22"/>
      <c r="JC148" s="22"/>
      <c r="JD148" s="22"/>
      <c r="JE148" s="22"/>
      <c r="JF148" s="22"/>
      <c r="JG148" s="22"/>
      <c r="JH148" s="22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2"/>
      <c r="LK148" s="22"/>
      <c r="LL148" s="22"/>
      <c r="LM148" s="22"/>
      <c r="LN148" s="22"/>
      <c r="LO148" s="22"/>
      <c r="LP148" s="22"/>
      <c r="LQ148" s="22"/>
      <c r="LR148" s="22"/>
      <c r="LS148" s="22"/>
      <c r="LT148" s="22"/>
      <c r="LU148" s="22"/>
      <c r="LV148" s="22"/>
      <c r="LW148" s="22"/>
      <c r="LX148" s="22"/>
      <c r="LY148" s="22"/>
      <c r="LZ148" s="22"/>
      <c r="MA148" s="22"/>
      <c r="MB148" s="22"/>
      <c r="MC148" s="22"/>
      <c r="MD148" s="22"/>
      <c r="ME148" s="22"/>
      <c r="MF148" s="22"/>
      <c r="MG148" s="22"/>
      <c r="MH148" s="22"/>
      <c r="MI148" s="22"/>
      <c r="MJ148" s="22"/>
      <c r="MK148" s="22"/>
      <c r="ML148" s="22"/>
      <c r="MM148" s="22"/>
      <c r="MN148" s="22"/>
      <c r="MO148" s="22"/>
      <c r="MP148" s="22"/>
      <c r="MQ148" s="22"/>
      <c r="MR148" s="22"/>
      <c r="MS148" s="22"/>
      <c r="MT148" s="22"/>
      <c r="MU148" s="22"/>
      <c r="MV148" s="22"/>
      <c r="MW148" s="22"/>
      <c r="MX148" s="22"/>
      <c r="MY148" s="22"/>
      <c r="MZ148" s="22"/>
      <c r="NA148" s="22"/>
      <c r="NB148" s="22"/>
      <c r="NC148" s="22"/>
      <c r="ND148" s="22"/>
      <c r="NE148" s="22"/>
      <c r="NF148" s="22"/>
    </row>
    <row r="149" ht="15.75" hidden="1" customHeight="1">
      <c r="A149" s="237"/>
      <c r="B149" s="267"/>
      <c r="C149" s="239">
        <v>46161.0</v>
      </c>
      <c r="D149" s="245" t="s">
        <v>329</v>
      </c>
      <c r="E149" s="242" t="s">
        <v>47</v>
      </c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0"/>
      <c r="AJ149" s="20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0"/>
      <c r="AW149" s="20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0"/>
      <c r="BJ149" s="20"/>
      <c r="BK149" s="20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0">
        <v>5.0</v>
      </c>
      <c r="EN149" s="20">
        <v>2.0</v>
      </c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  <c r="IZ149" s="22"/>
      <c r="JA149" s="22"/>
      <c r="JB149" s="22"/>
      <c r="JC149" s="22"/>
      <c r="JD149" s="22"/>
      <c r="JE149" s="22"/>
      <c r="JF149" s="22"/>
      <c r="JG149" s="22"/>
      <c r="JH149" s="22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2"/>
      <c r="LK149" s="22"/>
      <c r="LL149" s="22"/>
      <c r="LM149" s="22"/>
      <c r="LN149" s="22"/>
      <c r="LO149" s="22"/>
      <c r="LP149" s="22"/>
      <c r="LQ149" s="22"/>
      <c r="LR149" s="22"/>
      <c r="LS149" s="22"/>
      <c r="LT149" s="22"/>
      <c r="LU149" s="22"/>
      <c r="LV149" s="22"/>
      <c r="LW149" s="22"/>
      <c r="LX149" s="22"/>
      <c r="LY149" s="22"/>
      <c r="LZ149" s="22"/>
      <c r="MA149" s="22"/>
      <c r="MB149" s="22"/>
      <c r="MC149" s="22"/>
      <c r="MD149" s="22"/>
      <c r="ME149" s="22"/>
      <c r="MF149" s="22"/>
      <c r="MG149" s="22"/>
      <c r="MH149" s="22"/>
      <c r="MI149" s="22"/>
      <c r="MJ149" s="22"/>
      <c r="MK149" s="22"/>
      <c r="ML149" s="22"/>
      <c r="MM149" s="22"/>
      <c r="MN149" s="22"/>
      <c r="MO149" s="22"/>
      <c r="MP149" s="22"/>
      <c r="MQ149" s="22"/>
      <c r="MR149" s="22"/>
      <c r="MS149" s="22"/>
      <c r="MT149" s="22"/>
      <c r="MU149" s="22"/>
      <c r="MV149" s="22"/>
      <c r="MW149" s="22"/>
      <c r="MX149" s="22"/>
      <c r="MY149" s="22"/>
      <c r="MZ149" s="22"/>
      <c r="NA149" s="22"/>
      <c r="NB149" s="22"/>
      <c r="NC149" s="22"/>
      <c r="ND149" s="22"/>
      <c r="NE149" s="22"/>
      <c r="NF149" s="22"/>
    </row>
    <row r="150" ht="15.75" hidden="1" customHeight="1">
      <c r="A150" s="237"/>
      <c r="B150" s="267"/>
      <c r="C150" s="239">
        <v>46164.0</v>
      </c>
      <c r="D150" s="245" t="s">
        <v>330</v>
      </c>
      <c r="E150" s="242" t="s">
        <v>47</v>
      </c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0"/>
      <c r="AJ150" s="20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0"/>
      <c r="AW150" s="20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0"/>
      <c r="BJ150" s="20"/>
      <c r="BK150" s="20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0">
        <v>2.0</v>
      </c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  <c r="IZ150" s="22"/>
      <c r="JA150" s="22"/>
      <c r="JB150" s="22"/>
      <c r="JC150" s="22"/>
      <c r="JD150" s="22"/>
      <c r="JE150" s="22"/>
      <c r="JF150" s="22"/>
      <c r="JG150" s="22"/>
      <c r="JH150" s="22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2"/>
      <c r="LK150" s="22"/>
      <c r="LL150" s="22"/>
      <c r="LM150" s="22"/>
      <c r="LN150" s="22"/>
      <c r="LO150" s="22"/>
      <c r="LP150" s="22"/>
      <c r="LQ150" s="22"/>
      <c r="LR150" s="22"/>
      <c r="LS150" s="22"/>
      <c r="LT150" s="22"/>
      <c r="LU150" s="22"/>
      <c r="LV150" s="22"/>
      <c r="LW150" s="22"/>
      <c r="LX150" s="22"/>
      <c r="LY150" s="22"/>
      <c r="LZ150" s="22"/>
      <c r="MA150" s="22"/>
      <c r="MB150" s="22"/>
      <c r="MC150" s="22"/>
      <c r="MD150" s="22"/>
      <c r="ME150" s="22"/>
      <c r="MF150" s="22"/>
      <c r="MG150" s="22"/>
      <c r="MH150" s="22"/>
      <c r="MI150" s="22"/>
      <c r="MJ150" s="22"/>
      <c r="MK150" s="22"/>
      <c r="ML150" s="22"/>
      <c r="MM150" s="22"/>
      <c r="MN150" s="22"/>
      <c r="MO150" s="22"/>
      <c r="MP150" s="22"/>
      <c r="MQ150" s="22"/>
      <c r="MR150" s="22"/>
      <c r="MS150" s="22"/>
      <c r="MT150" s="22"/>
      <c r="MU150" s="22"/>
      <c r="MV150" s="22"/>
      <c r="MW150" s="22"/>
      <c r="MX150" s="22"/>
      <c r="MY150" s="22"/>
      <c r="MZ150" s="22"/>
      <c r="NA150" s="22"/>
      <c r="NB150" s="22"/>
      <c r="NC150" s="22"/>
      <c r="ND150" s="22"/>
      <c r="NE150" s="22"/>
      <c r="NF150" s="22"/>
    </row>
    <row r="151" ht="15.75" hidden="1" customHeight="1">
      <c r="A151" s="237"/>
      <c r="B151" s="267"/>
      <c r="C151" s="239">
        <v>46163.0</v>
      </c>
      <c r="D151" s="245" t="s">
        <v>331</v>
      </c>
      <c r="E151" s="242" t="s">
        <v>47</v>
      </c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0"/>
      <c r="AJ151" s="20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0"/>
      <c r="AW151" s="20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0"/>
      <c r="BJ151" s="20"/>
      <c r="BK151" s="20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0">
        <v>4.0</v>
      </c>
      <c r="EP151" s="20">
        <v>2.0</v>
      </c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  <c r="IZ151" s="22"/>
      <c r="JA151" s="22"/>
      <c r="JB151" s="22"/>
      <c r="JC151" s="22"/>
      <c r="JD151" s="22"/>
      <c r="JE151" s="22"/>
      <c r="JF151" s="22"/>
      <c r="JG151" s="22"/>
      <c r="JH151" s="22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2"/>
      <c r="LK151" s="22"/>
      <c r="LL151" s="22"/>
      <c r="LM151" s="22"/>
      <c r="LN151" s="22"/>
      <c r="LO151" s="22"/>
      <c r="LP151" s="22"/>
      <c r="LQ151" s="22"/>
      <c r="LR151" s="22"/>
      <c r="LS151" s="22"/>
      <c r="LT151" s="22"/>
      <c r="LU151" s="22"/>
      <c r="LV151" s="22"/>
      <c r="LW151" s="22"/>
      <c r="LX151" s="22"/>
      <c r="LY151" s="22"/>
      <c r="LZ151" s="22"/>
      <c r="MA151" s="22"/>
      <c r="MB151" s="22"/>
      <c r="MC151" s="22"/>
      <c r="MD151" s="22"/>
      <c r="ME151" s="22"/>
      <c r="MF151" s="22"/>
      <c r="MG151" s="22"/>
      <c r="MH151" s="22"/>
      <c r="MI151" s="22"/>
      <c r="MJ151" s="22"/>
      <c r="MK151" s="22"/>
      <c r="ML151" s="22"/>
      <c r="MM151" s="22"/>
      <c r="MN151" s="22"/>
      <c r="MO151" s="22"/>
      <c r="MP151" s="22"/>
      <c r="MQ151" s="22"/>
      <c r="MR151" s="22"/>
      <c r="MS151" s="22"/>
      <c r="MT151" s="22"/>
      <c r="MU151" s="22"/>
      <c r="MV151" s="22"/>
      <c r="MW151" s="22"/>
      <c r="MX151" s="22"/>
      <c r="MY151" s="22"/>
      <c r="MZ151" s="22"/>
      <c r="NA151" s="22"/>
      <c r="NB151" s="22"/>
      <c r="NC151" s="22"/>
      <c r="ND151" s="22"/>
      <c r="NE151" s="22"/>
      <c r="NF151" s="22"/>
    </row>
    <row r="152" ht="15.75" hidden="1" customHeight="1">
      <c r="A152" s="237"/>
      <c r="B152" s="267"/>
      <c r="C152" s="239">
        <v>46162.0</v>
      </c>
      <c r="D152" s="245" t="s">
        <v>332</v>
      </c>
      <c r="E152" s="242" t="s">
        <v>47</v>
      </c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0"/>
      <c r="AJ152" s="20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0"/>
      <c r="AW152" s="20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0"/>
      <c r="BJ152" s="20"/>
      <c r="BK152" s="20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0">
        <v>1.0</v>
      </c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  <c r="IZ152" s="22"/>
      <c r="JA152" s="22"/>
      <c r="JB152" s="22"/>
      <c r="JC152" s="22"/>
      <c r="JD152" s="22"/>
      <c r="JE152" s="22"/>
      <c r="JF152" s="22"/>
      <c r="JG152" s="22"/>
      <c r="JH152" s="22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2"/>
      <c r="LK152" s="22"/>
      <c r="LL152" s="22"/>
      <c r="LM152" s="22"/>
      <c r="LN152" s="22"/>
      <c r="LO152" s="22"/>
      <c r="LP152" s="22"/>
      <c r="LQ152" s="22"/>
      <c r="LR152" s="22"/>
      <c r="LS152" s="22"/>
      <c r="LT152" s="22"/>
      <c r="LU152" s="22"/>
      <c r="LV152" s="22"/>
      <c r="LW152" s="22"/>
      <c r="LX152" s="22"/>
      <c r="LY152" s="22"/>
      <c r="LZ152" s="22"/>
      <c r="MA152" s="22"/>
      <c r="MB152" s="22"/>
      <c r="MC152" s="22"/>
      <c r="MD152" s="22"/>
      <c r="ME152" s="22"/>
      <c r="MF152" s="22"/>
      <c r="MG152" s="22"/>
      <c r="MH152" s="22"/>
      <c r="MI152" s="22"/>
      <c r="MJ152" s="22"/>
      <c r="MK152" s="22"/>
      <c r="ML152" s="22"/>
      <c r="MM152" s="22"/>
      <c r="MN152" s="22"/>
      <c r="MO152" s="22"/>
      <c r="MP152" s="22"/>
      <c r="MQ152" s="22"/>
      <c r="MR152" s="22"/>
      <c r="MS152" s="22"/>
      <c r="MT152" s="22"/>
      <c r="MU152" s="22"/>
      <c r="MV152" s="22"/>
      <c r="MW152" s="22"/>
      <c r="MX152" s="22"/>
      <c r="MY152" s="22"/>
      <c r="MZ152" s="22"/>
      <c r="NA152" s="22"/>
      <c r="NB152" s="22"/>
      <c r="NC152" s="22"/>
      <c r="ND152" s="22"/>
      <c r="NE152" s="22"/>
      <c r="NF152" s="22"/>
    </row>
    <row r="153" ht="15.75" hidden="1" customHeight="1">
      <c r="A153" s="237"/>
      <c r="B153" s="267"/>
      <c r="C153" s="239">
        <v>46162.0</v>
      </c>
      <c r="D153" s="245" t="s">
        <v>333</v>
      </c>
      <c r="E153" s="242" t="s">
        <v>47</v>
      </c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0"/>
      <c r="AJ153" s="20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0"/>
      <c r="AW153" s="20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0"/>
      <c r="BJ153" s="20"/>
      <c r="BK153" s="20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0">
        <v>4.0</v>
      </c>
      <c r="EO153" s="20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  <c r="IZ153" s="22"/>
      <c r="JA153" s="22"/>
      <c r="JB153" s="22"/>
      <c r="JC153" s="22"/>
      <c r="JD153" s="22"/>
      <c r="JE153" s="22"/>
      <c r="JF153" s="22"/>
      <c r="JG153" s="22"/>
      <c r="JH153" s="22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2"/>
      <c r="LK153" s="22"/>
      <c r="LL153" s="22"/>
      <c r="LM153" s="22"/>
      <c r="LN153" s="22"/>
      <c r="LO153" s="22"/>
      <c r="LP153" s="22"/>
      <c r="LQ153" s="22"/>
      <c r="LR153" s="22"/>
      <c r="LS153" s="22"/>
      <c r="LT153" s="22"/>
      <c r="LU153" s="22"/>
      <c r="LV153" s="22"/>
      <c r="LW153" s="22"/>
      <c r="LX153" s="22"/>
      <c r="LY153" s="22"/>
      <c r="LZ153" s="22"/>
      <c r="MA153" s="22"/>
      <c r="MB153" s="22"/>
      <c r="MC153" s="22"/>
      <c r="MD153" s="22"/>
      <c r="ME153" s="22"/>
      <c r="MF153" s="22"/>
      <c r="MG153" s="22"/>
      <c r="MH153" s="22"/>
      <c r="MI153" s="22"/>
      <c r="MJ153" s="22"/>
      <c r="MK153" s="22"/>
      <c r="ML153" s="22"/>
      <c r="MM153" s="22"/>
      <c r="MN153" s="22"/>
      <c r="MO153" s="22"/>
      <c r="MP153" s="22"/>
      <c r="MQ153" s="22"/>
      <c r="MR153" s="22"/>
      <c r="MS153" s="22"/>
      <c r="MT153" s="22"/>
      <c r="MU153" s="22"/>
      <c r="MV153" s="22"/>
      <c r="MW153" s="22"/>
      <c r="MX153" s="22"/>
      <c r="MY153" s="22"/>
      <c r="MZ153" s="22"/>
      <c r="NA153" s="22"/>
      <c r="NB153" s="22"/>
      <c r="NC153" s="22"/>
      <c r="ND153" s="22"/>
      <c r="NE153" s="22"/>
      <c r="NF153" s="22"/>
    </row>
    <row r="154" ht="15.75" hidden="1" customHeight="1">
      <c r="A154" s="237"/>
      <c r="B154" s="267"/>
      <c r="C154" s="239">
        <v>46163.0</v>
      </c>
      <c r="D154" s="245" t="s">
        <v>334</v>
      </c>
      <c r="E154" s="242" t="s">
        <v>47</v>
      </c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0"/>
      <c r="AJ154" s="20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0"/>
      <c r="AW154" s="20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0"/>
      <c r="BJ154" s="20"/>
      <c r="BK154" s="20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0">
        <v>3.0</v>
      </c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  <c r="IZ154" s="22"/>
      <c r="JA154" s="22"/>
      <c r="JB154" s="22"/>
      <c r="JC154" s="22"/>
      <c r="JD154" s="22"/>
      <c r="JE154" s="22"/>
      <c r="JF154" s="22"/>
      <c r="JG154" s="22"/>
      <c r="JH154" s="22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2"/>
      <c r="LK154" s="22"/>
      <c r="LL154" s="22"/>
      <c r="LM154" s="22"/>
      <c r="LN154" s="22"/>
      <c r="LO154" s="22"/>
      <c r="LP154" s="22"/>
      <c r="LQ154" s="22"/>
      <c r="LR154" s="22"/>
      <c r="LS154" s="22"/>
      <c r="LT154" s="22"/>
      <c r="LU154" s="22"/>
      <c r="LV154" s="22"/>
      <c r="LW154" s="22"/>
      <c r="LX154" s="22"/>
      <c r="LY154" s="22"/>
      <c r="LZ154" s="22"/>
      <c r="MA154" s="22"/>
      <c r="MB154" s="22"/>
      <c r="MC154" s="22"/>
      <c r="MD154" s="22"/>
      <c r="ME154" s="22"/>
      <c r="MF154" s="22"/>
      <c r="MG154" s="22"/>
      <c r="MH154" s="22"/>
      <c r="MI154" s="22"/>
      <c r="MJ154" s="22"/>
      <c r="MK154" s="22"/>
      <c r="ML154" s="22"/>
      <c r="MM154" s="22"/>
      <c r="MN154" s="22"/>
      <c r="MO154" s="22"/>
      <c r="MP154" s="22"/>
      <c r="MQ154" s="22"/>
      <c r="MR154" s="22"/>
      <c r="MS154" s="22"/>
      <c r="MT154" s="22"/>
      <c r="MU154" s="22"/>
      <c r="MV154" s="22"/>
      <c r="MW154" s="22"/>
      <c r="MX154" s="22"/>
      <c r="MY154" s="22"/>
      <c r="MZ154" s="22"/>
      <c r="NA154" s="22"/>
      <c r="NB154" s="22"/>
      <c r="NC154" s="22"/>
      <c r="ND154" s="22"/>
      <c r="NE154" s="22"/>
      <c r="NF154" s="22"/>
    </row>
    <row r="155" ht="15.75" hidden="1" customHeight="1">
      <c r="A155" s="237"/>
      <c r="B155" s="267"/>
      <c r="C155" s="239">
        <v>46163.0</v>
      </c>
      <c r="D155" s="245" t="s">
        <v>335</v>
      </c>
      <c r="E155" s="242" t="s">
        <v>47</v>
      </c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0"/>
      <c r="AJ155" s="20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0"/>
      <c r="AW155" s="20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0"/>
      <c r="BJ155" s="20"/>
      <c r="BK155" s="20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0">
        <v>5.0</v>
      </c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  <c r="IZ155" s="22"/>
      <c r="JA155" s="22"/>
      <c r="JB155" s="22"/>
      <c r="JC155" s="22"/>
      <c r="JD155" s="22"/>
      <c r="JE155" s="22"/>
      <c r="JF155" s="22"/>
      <c r="JG155" s="22"/>
      <c r="JH155" s="22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2"/>
      <c r="LK155" s="22"/>
      <c r="LL155" s="22"/>
      <c r="LM155" s="22"/>
      <c r="LN155" s="22"/>
      <c r="LO155" s="22"/>
      <c r="LP155" s="22"/>
      <c r="LQ155" s="22"/>
      <c r="LR155" s="22"/>
      <c r="LS155" s="22"/>
      <c r="LT155" s="22"/>
      <c r="LU155" s="22"/>
      <c r="LV155" s="22"/>
      <c r="LW155" s="22"/>
      <c r="LX155" s="22"/>
      <c r="LY155" s="22"/>
      <c r="LZ155" s="22"/>
      <c r="MA155" s="22"/>
      <c r="MB155" s="22"/>
      <c r="MC155" s="22"/>
      <c r="MD155" s="22"/>
      <c r="ME155" s="22"/>
      <c r="MF155" s="22"/>
      <c r="MG155" s="22"/>
      <c r="MH155" s="22"/>
      <c r="MI155" s="22"/>
      <c r="MJ155" s="22"/>
      <c r="MK155" s="22"/>
      <c r="ML155" s="22"/>
      <c r="MM155" s="22"/>
      <c r="MN155" s="22"/>
      <c r="MO155" s="22"/>
      <c r="MP155" s="22"/>
      <c r="MQ155" s="22"/>
      <c r="MR155" s="22"/>
      <c r="MS155" s="22"/>
      <c r="MT155" s="22"/>
      <c r="MU155" s="22"/>
      <c r="MV155" s="22"/>
      <c r="MW155" s="22"/>
      <c r="MX155" s="22"/>
      <c r="MY155" s="22"/>
      <c r="MZ155" s="22"/>
      <c r="NA155" s="22"/>
      <c r="NB155" s="22"/>
      <c r="NC155" s="22"/>
      <c r="ND155" s="22"/>
      <c r="NE155" s="22"/>
      <c r="NF155" s="22"/>
    </row>
    <row r="156" ht="15.75" hidden="1" customHeight="1">
      <c r="A156" s="237"/>
      <c r="B156" s="267"/>
      <c r="C156" s="239">
        <v>46164.0</v>
      </c>
      <c r="D156" s="245" t="s">
        <v>336</v>
      </c>
      <c r="E156" s="242" t="s">
        <v>47</v>
      </c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0"/>
      <c r="AJ156" s="20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0"/>
      <c r="AW156" s="20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0"/>
      <c r="BJ156" s="20"/>
      <c r="BK156" s="20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0"/>
      <c r="EP156" s="20">
        <v>4.0</v>
      </c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  <c r="IZ156" s="22"/>
      <c r="JA156" s="22"/>
      <c r="JB156" s="22"/>
      <c r="JC156" s="22"/>
      <c r="JD156" s="22"/>
      <c r="JE156" s="22"/>
      <c r="JF156" s="22"/>
      <c r="JG156" s="22"/>
      <c r="JH156" s="22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2"/>
      <c r="LK156" s="22"/>
      <c r="LL156" s="22"/>
      <c r="LM156" s="22"/>
      <c r="LN156" s="22"/>
      <c r="LO156" s="22"/>
      <c r="LP156" s="22"/>
      <c r="LQ156" s="22"/>
      <c r="LR156" s="22"/>
      <c r="LS156" s="22"/>
      <c r="LT156" s="22"/>
      <c r="LU156" s="22"/>
      <c r="LV156" s="22"/>
      <c r="LW156" s="22"/>
      <c r="LX156" s="22"/>
      <c r="LY156" s="22"/>
      <c r="LZ156" s="22"/>
      <c r="MA156" s="22"/>
      <c r="MB156" s="22"/>
      <c r="MC156" s="22"/>
      <c r="MD156" s="22"/>
      <c r="ME156" s="22"/>
      <c r="MF156" s="22"/>
      <c r="MG156" s="22"/>
      <c r="MH156" s="22"/>
      <c r="MI156" s="22"/>
      <c r="MJ156" s="22"/>
      <c r="MK156" s="22"/>
      <c r="ML156" s="22"/>
      <c r="MM156" s="22"/>
      <c r="MN156" s="22"/>
      <c r="MO156" s="22"/>
      <c r="MP156" s="22"/>
      <c r="MQ156" s="22"/>
      <c r="MR156" s="22"/>
      <c r="MS156" s="22"/>
      <c r="MT156" s="22"/>
      <c r="MU156" s="22"/>
      <c r="MV156" s="22"/>
      <c r="MW156" s="22"/>
      <c r="MX156" s="22"/>
      <c r="MY156" s="22"/>
      <c r="MZ156" s="22"/>
      <c r="NA156" s="22"/>
      <c r="NB156" s="22"/>
      <c r="NC156" s="22"/>
      <c r="ND156" s="22"/>
      <c r="NE156" s="22"/>
      <c r="NF156" s="22"/>
    </row>
    <row r="157" ht="15.75" hidden="1" customHeight="1">
      <c r="A157" s="237"/>
      <c r="B157" s="267"/>
      <c r="C157" s="239">
        <v>46171.0</v>
      </c>
      <c r="D157" s="245" t="s">
        <v>337</v>
      </c>
      <c r="E157" s="242" t="s">
        <v>47</v>
      </c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0"/>
      <c r="AJ157" s="20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0"/>
      <c r="AW157" s="20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0"/>
      <c r="BJ157" s="20"/>
      <c r="BK157" s="20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0"/>
      <c r="EP157" s="22"/>
      <c r="EQ157" s="22"/>
      <c r="ER157" s="22"/>
      <c r="ES157" s="22"/>
      <c r="ET157" s="22"/>
      <c r="EU157" s="20">
        <v>1.0</v>
      </c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  <c r="IZ157" s="22"/>
      <c r="JA157" s="22"/>
      <c r="JB157" s="22"/>
      <c r="JC157" s="22"/>
      <c r="JD157" s="22"/>
      <c r="JE157" s="22"/>
      <c r="JF157" s="22"/>
      <c r="JG157" s="22"/>
      <c r="JH157" s="22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2"/>
      <c r="LK157" s="22"/>
      <c r="LL157" s="22"/>
      <c r="LM157" s="22"/>
      <c r="LN157" s="22"/>
      <c r="LO157" s="22"/>
      <c r="LP157" s="22"/>
      <c r="LQ157" s="22"/>
      <c r="LR157" s="22"/>
      <c r="LS157" s="22"/>
      <c r="LT157" s="22"/>
      <c r="LU157" s="22"/>
      <c r="LV157" s="22"/>
      <c r="LW157" s="22"/>
      <c r="LX157" s="22"/>
      <c r="LY157" s="22"/>
      <c r="LZ157" s="22"/>
      <c r="MA157" s="22"/>
      <c r="MB157" s="22"/>
      <c r="MC157" s="22"/>
      <c r="MD157" s="22"/>
      <c r="ME157" s="22"/>
      <c r="MF157" s="22"/>
      <c r="MG157" s="22"/>
      <c r="MH157" s="22"/>
      <c r="MI157" s="22"/>
      <c r="MJ157" s="22"/>
      <c r="MK157" s="22"/>
      <c r="ML157" s="22"/>
      <c r="MM157" s="22"/>
      <c r="MN157" s="22"/>
      <c r="MO157" s="22"/>
      <c r="MP157" s="22"/>
      <c r="MQ157" s="22"/>
      <c r="MR157" s="22"/>
      <c r="MS157" s="22"/>
      <c r="MT157" s="22"/>
      <c r="MU157" s="22"/>
      <c r="MV157" s="22"/>
      <c r="MW157" s="22"/>
      <c r="MX157" s="22"/>
      <c r="MY157" s="22"/>
      <c r="MZ157" s="22"/>
      <c r="NA157" s="22"/>
      <c r="NB157" s="22"/>
      <c r="NC157" s="22"/>
      <c r="ND157" s="22"/>
      <c r="NE157" s="22"/>
      <c r="NF157" s="22"/>
    </row>
    <row r="158" ht="15.75" hidden="1" customHeight="1">
      <c r="A158" s="237"/>
      <c r="B158" s="267"/>
      <c r="C158" s="239">
        <v>46164.0</v>
      </c>
      <c r="D158" s="245" t="s">
        <v>338</v>
      </c>
      <c r="E158" s="242" t="s">
        <v>47</v>
      </c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0"/>
      <c r="AJ158" s="20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0"/>
      <c r="AW158" s="20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0"/>
      <c r="BJ158" s="20"/>
      <c r="BK158" s="20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0"/>
      <c r="EP158" s="20">
        <v>1.0</v>
      </c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  <c r="IZ158" s="22"/>
      <c r="JA158" s="22"/>
      <c r="JB158" s="22"/>
      <c r="JC158" s="22"/>
      <c r="JD158" s="22"/>
      <c r="JE158" s="22"/>
      <c r="JF158" s="22"/>
      <c r="JG158" s="22"/>
      <c r="JH158" s="22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2"/>
      <c r="LK158" s="22"/>
      <c r="LL158" s="22"/>
      <c r="LM158" s="22"/>
      <c r="LN158" s="22"/>
      <c r="LO158" s="22"/>
      <c r="LP158" s="22"/>
      <c r="LQ158" s="22"/>
      <c r="LR158" s="22"/>
      <c r="LS158" s="22"/>
      <c r="LT158" s="22"/>
      <c r="LU158" s="22"/>
      <c r="LV158" s="22"/>
      <c r="LW158" s="22"/>
      <c r="LX158" s="22"/>
      <c r="LY158" s="22"/>
      <c r="LZ158" s="22"/>
      <c r="MA158" s="22"/>
      <c r="MB158" s="22"/>
      <c r="MC158" s="22"/>
      <c r="MD158" s="22"/>
      <c r="ME158" s="22"/>
      <c r="MF158" s="22"/>
      <c r="MG158" s="22"/>
      <c r="MH158" s="22"/>
      <c r="MI158" s="22"/>
      <c r="MJ158" s="22"/>
      <c r="MK158" s="22"/>
      <c r="ML158" s="22"/>
      <c r="MM158" s="22"/>
      <c r="MN158" s="22"/>
      <c r="MO158" s="22"/>
      <c r="MP158" s="22"/>
      <c r="MQ158" s="22"/>
      <c r="MR158" s="22"/>
      <c r="MS158" s="22"/>
      <c r="MT158" s="22"/>
      <c r="MU158" s="22"/>
      <c r="MV158" s="22"/>
      <c r="MW158" s="22"/>
      <c r="MX158" s="22"/>
      <c r="MY158" s="22"/>
      <c r="MZ158" s="22"/>
      <c r="NA158" s="22"/>
      <c r="NB158" s="22"/>
      <c r="NC158" s="22"/>
      <c r="ND158" s="22"/>
      <c r="NE158" s="22"/>
      <c r="NF158" s="22"/>
    </row>
    <row r="159" ht="15.75" hidden="1" customHeight="1">
      <c r="A159" s="237"/>
      <c r="B159" s="267"/>
      <c r="C159" s="239">
        <v>46165.0</v>
      </c>
      <c r="D159" s="245" t="s">
        <v>339</v>
      </c>
      <c r="E159" s="242" t="s">
        <v>47</v>
      </c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0"/>
      <c r="AJ159" s="20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0"/>
      <c r="AW159" s="20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0"/>
      <c r="BJ159" s="20"/>
      <c r="BK159" s="20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0">
        <v>1.0</v>
      </c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  <c r="IZ159" s="22"/>
      <c r="JA159" s="22"/>
      <c r="JB159" s="22"/>
      <c r="JC159" s="22"/>
      <c r="JD159" s="22"/>
      <c r="JE159" s="22"/>
      <c r="JF159" s="22"/>
      <c r="JG159" s="22"/>
      <c r="JH159" s="22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2"/>
      <c r="LK159" s="22"/>
      <c r="LL159" s="22"/>
      <c r="LM159" s="22"/>
      <c r="LN159" s="22"/>
      <c r="LO159" s="22"/>
      <c r="LP159" s="22"/>
      <c r="LQ159" s="22"/>
      <c r="LR159" s="22"/>
      <c r="LS159" s="22"/>
      <c r="LT159" s="22"/>
      <c r="LU159" s="22"/>
      <c r="LV159" s="22"/>
      <c r="LW159" s="22"/>
      <c r="LX159" s="22"/>
      <c r="LY159" s="22"/>
      <c r="LZ159" s="22"/>
      <c r="MA159" s="22"/>
      <c r="MB159" s="22"/>
      <c r="MC159" s="22"/>
      <c r="MD159" s="22"/>
      <c r="ME159" s="22"/>
      <c r="MF159" s="22"/>
      <c r="MG159" s="22"/>
      <c r="MH159" s="22"/>
      <c r="MI159" s="22"/>
      <c r="MJ159" s="22"/>
      <c r="MK159" s="22"/>
      <c r="ML159" s="22"/>
      <c r="MM159" s="22"/>
      <c r="MN159" s="22"/>
      <c r="MO159" s="22"/>
      <c r="MP159" s="22"/>
      <c r="MQ159" s="22"/>
      <c r="MR159" s="22"/>
      <c r="MS159" s="22"/>
      <c r="MT159" s="22"/>
      <c r="MU159" s="22"/>
      <c r="MV159" s="22"/>
      <c r="MW159" s="22"/>
      <c r="MX159" s="22"/>
      <c r="MY159" s="22"/>
      <c r="MZ159" s="22"/>
      <c r="NA159" s="22"/>
      <c r="NB159" s="22"/>
      <c r="NC159" s="22"/>
      <c r="ND159" s="22"/>
      <c r="NE159" s="22"/>
      <c r="NF159" s="22"/>
    </row>
    <row r="160" ht="15.75" hidden="1" customHeight="1">
      <c r="A160" s="237"/>
      <c r="B160" s="267"/>
      <c r="C160" s="239">
        <v>46166.0</v>
      </c>
      <c r="D160" s="245" t="s">
        <v>340</v>
      </c>
      <c r="E160" s="242" t="s">
        <v>47</v>
      </c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0"/>
      <c r="AJ160" s="20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0"/>
      <c r="AW160" s="20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0"/>
      <c r="BJ160" s="20"/>
      <c r="BK160" s="20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0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  <c r="IZ160" s="22"/>
      <c r="JA160" s="22"/>
      <c r="JB160" s="22"/>
      <c r="JC160" s="22"/>
      <c r="JD160" s="22"/>
      <c r="JE160" s="22"/>
      <c r="JF160" s="22"/>
      <c r="JG160" s="22"/>
      <c r="JH160" s="22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2"/>
      <c r="LK160" s="22"/>
      <c r="LL160" s="22"/>
      <c r="LM160" s="22"/>
      <c r="LN160" s="22"/>
      <c r="LO160" s="22"/>
      <c r="LP160" s="22"/>
      <c r="LQ160" s="22"/>
      <c r="LR160" s="22"/>
      <c r="LS160" s="22"/>
      <c r="LT160" s="22"/>
      <c r="LU160" s="22"/>
      <c r="LV160" s="22"/>
      <c r="LW160" s="22"/>
      <c r="LX160" s="22"/>
      <c r="LY160" s="22"/>
      <c r="LZ160" s="22"/>
      <c r="MA160" s="22"/>
      <c r="MB160" s="22"/>
      <c r="MC160" s="22"/>
      <c r="MD160" s="22"/>
      <c r="ME160" s="22"/>
      <c r="MF160" s="22"/>
      <c r="MG160" s="22"/>
      <c r="MH160" s="22"/>
      <c r="MI160" s="22"/>
      <c r="MJ160" s="22"/>
      <c r="MK160" s="22"/>
      <c r="ML160" s="22"/>
      <c r="MM160" s="22"/>
      <c r="MN160" s="22"/>
      <c r="MO160" s="22"/>
      <c r="MP160" s="22"/>
      <c r="MQ160" s="22"/>
      <c r="MR160" s="22"/>
      <c r="MS160" s="22"/>
      <c r="MT160" s="22"/>
      <c r="MU160" s="22"/>
      <c r="MV160" s="22"/>
      <c r="MW160" s="22"/>
      <c r="MX160" s="22"/>
      <c r="MY160" s="22"/>
      <c r="MZ160" s="22"/>
      <c r="NA160" s="22"/>
      <c r="NB160" s="22"/>
      <c r="NC160" s="22"/>
      <c r="ND160" s="22"/>
      <c r="NE160" s="22"/>
      <c r="NF160" s="22"/>
    </row>
    <row r="161" ht="15.75" hidden="1" customHeight="1">
      <c r="A161" s="237"/>
      <c r="B161" s="267"/>
      <c r="C161" s="239">
        <v>46167.0</v>
      </c>
      <c r="D161" s="245" t="s">
        <v>341</v>
      </c>
      <c r="E161" s="242" t="s">
        <v>47</v>
      </c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0"/>
      <c r="AJ161" s="20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0"/>
      <c r="AW161" s="20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0"/>
      <c r="BJ161" s="20"/>
      <c r="BK161" s="20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0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  <c r="IZ161" s="22"/>
      <c r="JA161" s="22"/>
      <c r="JB161" s="22"/>
      <c r="JC161" s="22"/>
      <c r="JD161" s="22"/>
      <c r="JE161" s="22"/>
      <c r="JF161" s="22"/>
      <c r="JG161" s="22"/>
      <c r="JH161" s="22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2"/>
      <c r="LK161" s="22"/>
      <c r="LL161" s="22"/>
      <c r="LM161" s="22"/>
      <c r="LN161" s="22"/>
      <c r="LO161" s="22"/>
      <c r="LP161" s="22"/>
      <c r="LQ161" s="22"/>
      <c r="LR161" s="22"/>
      <c r="LS161" s="22"/>
      <c r="LT161" s="22"/>
      <c r="LU161" s="22"/>
      <c r="LV161" s="22"/>
      <c r="LW161" s="22"/>
      <c r="LX161" s="22"/>
      <c r="LY161" s="22"/>
      <c r="LZ161" s="22"/>
      <c r="MA161" s="22"/>
      <c r="MB161" s="22"/>
      <c r="MC161" s="22"/>
      <c r="MD161" s="22"/>
      <c r="ME161" s="22"/>
      <c r="MF161" s="22"/>
      <c r="MG161" s="22"/>
      <c r="MH161" s="22"/>
      <c r="MI161" s="22"/>
      <c r="MJ161" s="22"/>
      <c r="MK161" s="22"/>
      <c r="ML161" s="22"/>
      <c r="MM161" s="22"/>
      <c r="MN161" s="22"/>
      <c r="MO161" s="22"/>
      <c r="MP161" s="22"/>
      <c r="MQ161" s="22"/>
      <c r="MR161" s="22"/>
      <c r="MS161" s="22"/>
      <c r="MT161" s="22"/>
      <c r="MU161" s="22"/>
      <c r="MV161" s="22"/>
      <c r="MW161" s="22"/>
      <c r="MX161" s="22"/>
      <c r="MY161" s="22"/>
      <c r="MZ161" s="22"/>
      <c r="NA161" s="22"/>
      <c r="NB161" s="22"/>
      <c r="NC161" s="22"/>
      <c r="ND161" s="22"/>
      <c r="NE161" s="22"/>
      <c r="NF161" s="22"/>
    </row>
    <row r="162" ht="15.75" hidden="1" customHeight="1">
      <c r="A162" s="237"/>
      <c r="B162" s="267"/>
      <c r="C162" s="239">
        <v>46168.0</v>
      </c>
      <c r="D162" s="245" t="s">
        <v>342</v>
      </c>
      <c r="E162" s="242" t="s">
        <v>47</v>
      </c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0"/>
      <c r="AJ162" s="20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0"/>
      <c r="AW162" s="20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0"/>
      <c r="BJ162" s="20"/>
      <c r="BK162" s="20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0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  <c r="IZ162" s="22"/>
      <c r="JA162" s="22"/>
      <c r="JB162" s="22"/>
      <c r="JC162" s="22"/>
      <c r="JD162" s="22"/>
      <c r="JE162" s="22"/>
      <c r="JF162" s="22"/>
      <c r="JG162" s="22"/>
      <c r="JH162" s="22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2"/>
      <c r="LK162" s="22"/>
      <c r="LL162" s="22"/>
      <c r="LM162" s="22"/>
      <c r="LN162" s="22"/>
      <c r="LO162" s="22"/>
      <c r="LP162" s="22"/>
      <c r="LQ162" s="22"/>
      <c r="LR162" s="22"/>
      <c r="LS162" s="22"/>
      <c r="LT162" s="22"/>
      <c r="LU162" s="22"/>
      <c r="LV162" s="22"/>
      <c r="LW162" s="22"/>
      <c r="LX162" s="22"/>
      <c r="LY162" s="22"/>
      <c r="LZ162" s="22"/>
      <c r="MA162" s="22"/>
      <c r="MB162" s="22"/>
      <c r="MC162" s="22"/>
      <c r="MD162" s="22"/>
      <c r="ME162" s="22"/>
      <c r="MF162" s="22"/>
      <c r="MG162" s="22"/>
      <c r="MH162" s="22"/>
      <c r="MI162" s="22"/>
      <c r="MJ162" s="22"/>
      <c r="MK162" s="22"/>
      <c r="ML162" s="22"/>
      <c r="MM162" s="22"/>
      <c r="MN162" s="22"/>
      <c r="MO162" s="22"/>
      <c r="MP162" s="22"/>
      <c r="MQ162" s="22"/>
      <c r="MR162" s="22"/>
      <c r="MS162" s="22"/>
      <c r="MT162" s="22"/>
      <c r="MU162" s="22"/>
      <c r="MV162" s="22"/>
      <c r="MW162" s="22"/>
      <c r="MX162" s="22"/>
      <c r="MY162" s="22"/>
      <c r="MZ162" s="22"/>
      <c r="NA162" s="22"/>
      <c r="NB162" s="22"/>
      <c r="NC162" s="22"/>
      <c r="ND162" s="22"/>
      <c r="NE162" s="22"/>
      <c r="NF162" s="22"/>
    </row>
    <row r="163" ht="15.75" hidden="1" customHeight="1">
      <c r="A163" s="237"/>
      <c r="B163" s="267"/>
      <c r="C163" s="239">
        <v>46170.0</v>
      </c>
      <c r="D163" s="245" t="s">
        <v>343</v>
      </c>
      <c r="E163" s="242" t="s">
        <v>47</v>
      </c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0"/>
      <c r="AJ163" s="20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0"/>
      <c r="AW163" s="20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0"/>
      <c r="BJ163" s="20"/>
      <c r="BK163" s="20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0">
        <v>4.0</v>
      </c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  <c r="IZ163" s="22"/>
      <c r="JA163" s="22"/>
      <c r="JB163" s="22"/>
      <c r="JC163" s="22"/>
      <c r="JD163" s="22"/>
      <c r="JE163" s="22"/>
      <c r="JF163" s="22"/>
      <c r="JG163" s="22"/>
      <c r="JH163" s="22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2"/>
      <c r="LK163" s="22"/>
      <c r="LL163" s="22"/>
      <c r="LM163" s="22"/>
      <c r="LN163" s="22"/>
      <c r="LO163" s="22"/>
      <c r="LP163" s="22"/>
      <c r="LQ163" s="22"/>
      <c r="LR163" s="22"/>
      <c r="LS163" s="22"/>
      <c r="LT163" s="22"/>
      <c r="LU163" s="22"/>
      <c r="LV163" s="22"/>
      <c r="LW163" s="22"/>
      <c r="LX163" s="22"/>
      <c r="LY163" s="22"/>
      <c r="LZ163" s="22"/>
      <c r="MA163" s="22"/>
      <c r="MB163" s="22"/>
      <c r="MC163" s="22"/>
      <c r="MD163" s="22"/>
      <c r="ME163" s="22"/>
      <c r="MF163" s="22"/>
      <c r="MG163" s="22"/>
      <c r="MH163" s="22"/>
      <c r="MI163" s="22"/>
      <c r="MJ163" s="22"/>
      <c r="MK163" s="22"/>
      <c r="ML163" s="22"/>
      <c r="MM163" s="22"/>
      <c r="MN163" s="22"/>
      <c r="MO163" s="22"/>
      <c r="MP163" s="22"/>
      <c r="MQ163" s="22"/>
      <c r="MR163" s="22"/>
      <c r="MS163" s="22"/>
      <c r="MT163" s="22"/>
      <c r="MU163" s="22"/>
      <c r="MV163" s="22"/>
      <c r="MW163" s="22"/>
      <c r="MX163" s="22"/>
      <c r="MY163" s="22"/>
      <c r="MZ163" s="22"/>
      <c r="NA163" s="22"/>
      <c r="NB163" s="22"/>
      <c r="NC163" s="22"/>
      <c r="ND163" s="22"/>
      <c r="NE163" s="22"/>
      <c r="NF163" s="22"/>
    </row>
    <row r="164" ht="15.75" hidden="1" customHeight="1">
      <c r="A164" s="237"/>
      <c r="B164" s="267"/>
      <c r="C164" s="239">
        <v>46169.0</v>
      </c>
      <c r="D164" s="245" t="s">
        <v>344</v>
      </c>
      <c r="E164" s="242" t="s">
        <v>47</v>
      </c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0"/>
      <c r="AJ164" s="20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0"/>
      <c r="AW164" s="20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0"/>
      <c r="BJ164" s="20"/>
      <c r="BK164" s="20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0">
        <v>4.0</v>
      </c>
      <c r="EV164" s="20">
        <v>1.0</v>
      </c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  <c r="IZ164" s="22"/>
      <c r="JA164" s="22"/>
      <c r="JB164" s="22"/>
      <c r="JC164" s="22"/>
      <c r="JD164" s="22"/>
      <c r="JE164" s="22"/>
      <c r="JF164" s="22"/>
      <c r="JG164" s="22"/>
      <c r="JH164" s="22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2"/>
      <c r="LK164" s="22"/>
      <c r="LL164" s="22"/>
      <c r="LM164" s="22"/>
      <c r="LN164" s="22"/>
      <c r="LO164" s="22"/>
      <c r="LP164" s="22"/>
      <c r="LQ164" s="22"/>
      <c r="LR164" s="22"/>
      <c r="LS164" s="22"/>
      <c r="LT164" s="22"/>
      <c r="LU164" s="22"/>
      <c r="LV164" s="22"/>
      <c r="LW164" s="22"/>
      <c r="LX164" s="22"/>
      <c r="LY164" s="22"/>
      <c r="LZ164" s="22"/>
      <c r="MA164" s="22"/>
      <c r="MB164" s="22"/>
      <c r="MC164" s="22"/>
      <c r="MD164" s="22"/>
      <c r="ME164" s="22"/>
      <c r="MF164" s="22"/>
      <c r="MG164" s="22"/>
      <c r="MH164" s="22"/>
      <c r="MI164" s="22"/>
      <c r="MJ164" s="22"/>
      <c r="MK164" s="22"/>
      <c r="ML164" s="22"/>
      <c r="MM164" s="22"/>
      <c r="MN164" s="22"/>
      <c r="MO164" s="22"/>
      <c r="MP164" s="22"/>
      <c r="MQ164" s="22"/>
      <c r="MR164" s="22"/>
      <c r="MS164" s="22"/>
      <c r="MT164" s="22"/>
      <c r="MU164" s="22"/>
      <c r="MV164" s="22"/>
      <c r="MW164" s="22"/>
      <c r="MX164" s="22"/>
      <c r="MY164" s="22"/>
      <c r="MZ164" s="22"/>
      <c r="NA164" s="22"/>
      <c r="NB164" s="22"/>
      <c r="NC164" s="22"/>
      <c r="ND164" s="22"/>
      <c r="NE164" s="22"/>
      <c r="NF164" s="22"/>
    </row>
    <row r="165" ht="15.75" hidden="1" customHeight="1">
      <c r="A165" s="237"/>
      <c r="B165" s="267"/>
      <c r="C165" s="239">
        <v>46169.0</v>
      </c>
      <c r="D165" s="245" t="s">
        <v>345</v>
      </c>
      <c r="E165" s="242" t="s">
        <v>47</v>
      </c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0"/>
      <c r="AJ165" s="20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0"/>
      <c r="AW165" s="20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0"/>
      <c r="BJ165" s="20"/>
      <c r="BK165" s="20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0">
        <v>1.0</v>
      </c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  <c r="IZ165" s="22"/>
      <c r="JA165" s="22"/>
      <c r="JB165" s="22"/>
      <c r="JC165" s="22"/>
      <c r="JD165" s="22"/>
      <c r="JE165" s="22"/>
      <c r="JF165" s="22"/>
      <c r="JG165" s="22"/>
      <c r="JH165" s="22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2"/>
      <c r="LK165" s="22"/>
      <c r="LL165" s="22"/>
      <c r="LM165" s="22"/>
      <c r="LN165" s="22"/>
      <c r="LO165" s="22"/>
      <c r="LP165" s="22"/>
      <c r="LQ165" s="22"/>
      <c r="LR165" s="22"/>
      <c r="LS165" s="22"/>
      <c r="LT165" s="22"/>
      <c r="LU165" s="22"/>
      <c r="LV165" s="22"/>
      <c r="LW165" s="22"/>
      <c r="LX165" s="22"/>
      <c r="LY165" s="22"/>
      <c r="LZ165" s="22"/>
      <c r="MA165" s="22"/>
      <c r="MB165" s="22"/>
      <c r="MC165" s="22"/>
      <c r="MD165" s="22"/>
      <c r="ME165" s="22"/>
      <c r="MF165" s="22"/>
      <c r="MG165" s="22"/>
      <c r="MH165" s="22"/>
      <c r="MI165" s="22"/>
      <c r="MJ165" s="22"/>
      <c r="MK165" s="22"/>
      <c r="ML165" s="22"/>
      <c r="MM165" s="22"/>
      <c r="MN165" s="22"/>
      <c r="MO165" s="22"/>
      <c r="MP165" s="22"/>
      <c r="MQ165" s="22"/>
      <c r="MR165" s="22"/>
      <c r="MS165" s="22"/>
      <c r="MT165" s="22"/>
      <c r="MU165" s="22"/>
      <c r="MV165" s="22"/>
      <c r="MW165" s="22"/>
      <c r="MX165" s="22"/>
      <c r="MY165" s="22"/>
      <c r="MZ165" s="22"/>
      <c r="NA165" s="22"/>
      <c r="NB165" s="22"/>
      <c r="NC165" s="22"/>
      <c r="ND165" s="22"/>
      <c r="NE165" s="22"/>
      <c r="NF165" s="22"/>
    </row>
    <row r="166" ht="15.75" hidden="1" customHeight="1">
      <c r="A166" s="237"/>
      <c r="B166" s="267"/>
      <c r="C166" s="239">
        <v>46169.0</v>
      </c>
      <c r="D166" s="245" t="s">
        <v>346</v>
      </c>
      <c r="E166" s="242" t="s">
        <v>47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0"/>
      <c r="AJ166" s="20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0"/>
      <c r="AW166" s="20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0"/>
      <c r="BJ166" s="20"/>
      <c r="BK166" s="20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>
        <v>1.0</v>
      </c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  <c r="IZ166" s="22"/>
      <c r="JA166" s="22"/>
      <c r="JB166" s="22"/>
      <c r="JC166" s="22"/>
      <c r="JD166" s="22"/>
      <c r="JE166" s="22"/>
      <c r="JF166" s="22"/>
      <c r="JG166" s="22"/>
      <c r="JH166" s="22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2"/>
      <c r="LK166" s="22"/>
      <c r="LL166" s="22"/>
      <c r="LM166" s="22"/>
      <c r="LN166" s="22"/>
      <c r="LO166" s="22"/>
      <c r="LP166" s="22"/>
      <c r="LQ166" s="22"/>
      <c r="LR166" s="22"/>
      <c r="LS166" s="22"/>
      <c r="LT166" s="22"/>
      <c r="LU166" s="22"/>
      <c r="LV166" s="22"/>
      <c r="LW166" s="22"/>
      <c r="LX166" s="22"/>
      <c r="LY166" s="22"/>
      <c r="LZ166" s="22"/>
      <c r="MA166" s="22"/>
      <c r="MB166" s="22"/>
      <c r="MC166" s="22"/>
      <c r="MD166" s="22"/>
      <c r="ME166" s="22"/>
      <c r="MF166" s="22"/>
      <c r="MG166" s="22"/>
      <c r="MH166" s="22"/>
      <c r="MI166" s="22"/>
      <c r="MJ166" s="22"/>
      <c r="MK166" s="22"/>
      <c r="ML166" s="22"/>
      <c r="MM166" s="22"/>
      <c r="MN166" s="22"/>
      <c r="MO166" s="22"/>
      <c r="MP166" s="22"/>
      <c r="MQ166" s="22"/>
      <c r="MR166" s="22"/>
      <c r="MS166" s="22"/>
      <c r="MT166" s="22"/>
      <c r="MU166" s="22"/>
      <c r="MV166" s="22"/>
      <c r="MW166" s="22"/>
      <c r="MX166" s="22"/>
      <c r="MY166" s="22"/>
      <c r="MZ166" s="22"/>
      <c r="NA166" s="22"/>
      <c r="NB166" s="22"/>
      <c r="NC166" s="22"/>
      <c r="ND166" s="22"/>
      <c r="NE166" s="22"/>
      <c r="NF166" s="22"/>
    </row>
    <row r="167" ht="15.75" hidden="1" customHeight="1">
      <c r="A167" s="237"/>
      <c r="B167" s="267"/>
      <c r="C167" s="239">
        <v>46170.0</v>
      </c>
      <c r="D167" s="245" t="s">
        <v>347</v>
      </c>
      <c r="E167" s="242" t="s">
        <v>47</v>
      </c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0"/>
      <c r="AJ167" s="20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0"/>
      <c r="AW167" s="20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0"/>
      <c r="BJ167" s="20"/>
      <c r="BK167" s="20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>
        <v>1.0</v>
      </c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  <c r="IX167" s="20"/>
      <c r="IY167" s="20"/>
      <c r="IZ167" s="20"/>
      <c r="JA167" s="20"/>
      <c r="JB167" s="20"/>
      <c r="JC167" s="20"/>
      <c r="JD167" s="20"/>
      <c r="JE167" s="20"/>
      <c r="JF167" s="20"/>
      <c r="JG167" s="20"/>
      <c r="JH167" s="20"/>
      <c r="JI167" s="20"/>
      <c r="JJ167" s="20"/>
      <c r="JK167" s="20"/>
      <c r="JL167" s="20"/>
      <c r="JM167" s="20"/>
      <c r="JN167" s="20"/>
      <c r="JO167" s="20"/>
      <c r="JP167" s="20"/>
      <c r="JQ167" s="20"/>
      <c r="JR167" s="20"/>
      <c r="JS167" s="20"/>
      <c r="JT167" s="20"/>
      <c r="JU167" s="20"/>
      <c r="JV167" s="20"/>
      <c r="JW167" s="20"/>
      <c r="JX167" s="20"/>
      <c r="JY167" s="20"/>
      <c r="JZ167" s="20"/>
      <c r="KA167" s="20"/>
      <c r="KB167" s="20"/>
      <c r="KC167" s="20"/>
      <c r="KD167" s="20"/>
      <c r="KE167" s="20"/>
      <c r="KF167" s="20"/>
      <c r="KG167" s="20"/>
      <c r="KH167" s="20"/>
      <c r="KI167" s="20"/>
      <c r="KJ167" s="20"/>
      <c r="KK167" s="20"/>
      <c r="KL167" s="20"/>
      <c r="KM167" s="20"/>
      <c r="KN167" s="20"/>
      <c r="KO167" s="20"/>
      <c r="KP167" s="20"/>
      <c r="KQ167" s="20"/>
      <c r="KR167" s="20"/>
      <c r="KS167" s="20"/>
      <c r="KT167" s="20"/>
      <c r="KU167" s="20"/>
      <c r="KV167" s="20"/>
      <c r="KW167" s="20"/>
      <c r="KX167" s="20"/>
      <c r="KY167" s="20"/>
      <c r="KZ167" s="20"/>
      <c r="LA167" s="20"/>
      <c r="LB167" s="20"/>
      <c r="LC167" s="20"/>
      <c r="LD167" s="20"/>
      <c r="LE167" s="20"/>
      <c r="LF167" s="20"/>
      <c r="LG167" s="20"/>
      <c r="LH167" s="20"/>
      <c r="LI167" s="20"/>
      <c r="LJ167" s="20"/>
      <c r="LK167" s="20"/>
      <c r="LL167" s="20"/>
      <c r="LM167" s="20"/>
      <c r="LN167" s="20"/>
      <c r="LO167" s="20"/>
      <c r="LP167" s="20"/>
      <c r="LQ167" s="20"/>
      <c r="LR167" s="20"/>
      <c r="LS167" s="20"/>
      <c r="LT167" s="20"/>
      <c r="LU167" s="20"/>
      <c r="LV167" s="20"/>
      <c r="LW167" s="20"/>
      <c r="LX167" s="20"/>
      <c r="LY167" s="20"/>
      <c r="LZ167" s="20"/>
      <c r="MA167" s="20"/>
      <c r="MB167" s="20"/>
      <c r="MC167" s="20"/>
      <c r="MD167" s="20"/>
      <c r="ME167" s="20"/>
      <c r="MF167" s="20"/>
      <c r="MG167" s="20"/>
      <c r="MH167" s="20"/>
      <c r="MI167" s="20"/>
      <c r="MJ167" s="20"/>
      <c r="MK167" s="20"/>
      <c r="ML167" s="20"/>
      <c r="MM167" s="20"/>
      <c r="MN167" s="20"/>
      <c r="MO167" s="20"/>
      <c r="MP167" s="20"/>
      <c r="MQ167" s="20"/>
      <c r="MR167" s="20"/>
      <c r="MS167" s="20"/>
      <c r="MT167" s="20"/>
      <c r="MU167" s="20"/>
      <c r="MV167" s="20"/>
      <c r="MW167" s="20"/>
      <c r="MX167" s="20"/>
      <c r="MY167" s="20"/>
      <c r="MZ167" s="20"/>
      <c r="NA167" s="20"/>
      <c r="NB167" s="20"/>
      <c r="NC167" s="20"/>
      <c r="ND167" s="20"/>
      <c r="NE167" s="20"/>
      <c r="NF167" s="22"/>
    </row>
    <row r="168" ht="15.75" hidden="1" customHeight="1">
      <c r="A168" s="237"/>
      <c r="B168" s="267"/>
      <c r="C168" s="239">
        <v>46171.0</v>
      </c>
      <c r="D168" s="245" t="s">
        <v>348</v>
      </c>
      <c r="E168" s="242" t="s">
        <v>47</v>
      </c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0"/>
      <c r="AJ168" s="20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0"/>
      <c r="AW168" s="20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0"/>
      <c r="BJ168" s="20"/>
      <c r="BK168" s="20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0"/>
      <c r="DW168" s="22"/>
      <c r="DX168" s="20"/>
      <c r="DY168" s="22"/>
      <c r="DZ168" s="20"/>
      <c r="EA168" s="22"/>
      <c r="EB168" s="20"/>
      <c r="EC168" s="22"/>
      <c r="ED168" s="20"/>
      <c r="EE168" s="22"/>
      <c r="EF168" s="20"/>
      <c r="EG168" s="22"/>
      <c r="EH168" s="20"/>
      <c r="EI168" s="22"/>
      <c r="EJ168" s="20"/>
      <c r="EK168" s="22"/>
      <c r="EL168" s="20"/>
      <c r="EM168" s="22"/>
      <c r="EN168" s="20"/>
      <c r="EO168" s="22"/>
      <c r="EP168" s="20"/>
      <c r="EQ168" s="22"/>
      <c r="ER168" s="20"/>
      <c r="ES168" s="22"/>
      <c r="ET168" s="20"/>
      <c r="EU168" s="22"/>
      <c r="EV168" s="20"/>
      <c r="EW168" s="20">
        <v>1.0</v>
      </c>
      <c r="EX168" s="20">
        <v>3.0</v>
      </c>
      <c r="EY168" s="22"/>
      <c r="EZ168" s="20"/>
      <c r="FA168" s="22"/>
      <c r="FB168" s="20"/>
      <c r="FC168" s="22"/>
      <c r="FD168" s="20"/>
      <c r="FE168" s="22"/>
      <c r="FF168" s="20"/>
      <c r="FG168" s="22"/>
      <c r="FH168" s="20"/>
      <c r="FI168" s="22"/>
      <c r="FJ168" s="20"/>
      <c r="FK168" s="22"/>
      <c r="FL168" s="20"/>
      <c r="FM168" s="22"/>
      <c r="FN168" s="20"/>
      <c r="FO168" s="22"/>
      <c r="FP168" s="20"/>
      <c r="FQ168" s="22"/>
      <c r="FR168" s="20"/>
      <c r="FS168" s="22"/>
      <c r="FT168" s="20"/>
      <c r="FU168" s="22"/>
      <c r="FV168" s="20"/>
      <c r="FW168" s="22"/>
      <c r="FX168" s="20"/>
      <c r="FY168" s="22"/>
      <c r="FZ168" s="20"/>
      <c r="GA168" s="22"/>
      <c r="GB168" s="20"/>
      <c r="GC168" s="22"/>
      <c r="GD168" s="20"/>
      <c r="GE168" s="22"/>
      <c r="GF168" s="20"/>
      <c r="GG168" s="22"/>
      <c r="GH168" s="20"/>
      <c r="GI168" s="22"/>
      <c r="GJ168" s="20"/>
      <c r="GK168" s="22"/>
      <c r="GL168" s="20"/>
      <c r="GM168" s="22"/>
      <c r="GN168" s="20"/>
      <c r="GO168" s="22"/>
      <c r="GP168" s="20"/>
      <c r="GQ168" s="22"/>
      <c r="GR168" s="20"/>
      <c r="GS168" s="22"/>
      <c r="GT168" s="20"/>
      <c r="GU168" s="22"/>
      <c r="GV168" s="20"/>
      <c r="GW168" s="22"/>
      <c r="GX168" s="20"/>
      <c r="GY168" s="22"/>
      <c r="GZ168" s="20"/>
      <c r="HA168" s="22"/>
      <c r="HB168" s="20"/>
      <c r="HC168" s="22"/>
      <c r="HD168" s="20"/>
      <c r="HE168" s="22"/>
      <c r="HF168" s="20"/>
      <c r="HG168" s="22"/>
      <c r="HH168" s="20"/>
      <c r="HI168" s="22"/>
      <c r="HJ168" s="20"/>
      <c r="HK168" s="22"/>
      <c r="HL168" s="20"/>
      <c r="HM168" s="22"/>
      <c r="HN168" s="20"/>
      <c r="HO168" s="22"/>
      <c r="HP168" s="20"/>
      <c r="HQ168" s="22"/>
      <c r="HR168" s="20"/>
      <c r="HS168" s="22"/>
      <c r="HT168" s="20"/>
      <c r="HU168" s="22"/>
      <c r="HV168" s="20"/>
      <c r="HW168" s="22"/>
      <c r="HX168" s="20"/>
      <c r="HY168" s="22"/>
      <c r="HZ168" s="20"/>
      <c r="IA168" s="22"/>
      <c r="IB168" s="20"/>
      <c r="IC168" s="22"/>
      <c r="ID168" s="20"/>
      <c r="IE168" s="22"/>
      <c r="IF168" s="20"/>
      <c r="IG168" s="22"/>
      <c r="IH168" s="20"/>
      <c r="II168" s="22"/>
      <c r="IJ168" s="20"/>
      <c r="IK168" s="22"/>
      <c r="IL168" s="20"/>
      <c r="IM168" s="22"/>
      <c r="IN168" s="20"/>
      <c r="IO168" s="22"/>
      <c r="IP168" s="20"/>
      <c r="IQ168" s="22"/>
      <c r="IR168" s="20"/>
      <c r="IS168" s="22"/>
      <c r="IT168" s="20"/>
      <c r="IU168" s="22"/>
      <c r="IV168" s="20"/>
      <c r="IW168" s="22"/>
      <c r="IX168" s="20"/>
      <c r="IY168" s="22"/>
      <c r="IZ168" s="20"/>
      <c r="JA168" s="22"/>
      <c r="JB168" s="20"/>
      <c r="JC168" s="22"/>
      <c r="JD168" s="20"/>
      <c r="JE168" s="22"/>
      <c r="JF168" s="20"/>
      <c r="JG168" s="22"/>
      <c r="JH168" s="20"/>
      <c r="JI168" s="22"/>
      <c r="JJ168" s="20"/>
      <c r="JK168" s="22"/>
      <c r="JL168" s="20"/>
      <c r="JM168" s="22"/>
      <c r="JN168" s="20"/>
      <c r="JO168" s="22"/>
      <c r="JP168" s="20"/>
      <c r="JQ168" s="22"/>
      <c r="JR168" s="20"/>
      <c r="JS168" s="22"/>
      <c r="JT168" s="20"/>
      <c r="JU168" s="22"/>
      <c r="JV168" s="20"/>
      <c r="JW168" s="22"/>
      <c r="JX168" s="20"/>
      <c r="JY168" s="22"/>
      <c r="JZ168" s="20"/>
      <c r="KA168" s="22"/>
      <c r="KB168" s="20"/>
      <c r="KC168" s="22"/>
      <c r="KD168" s="20"/>
      <c r="KE168" s="22"/>
      <c r="KF168" s="20"/>
      <c r="KG168" s="22"/>
      <c r="KH168" s="20"/>
      <c r="KI168" s="22"/>
      <c r="KJ168" s="20"/>
      <c r="KK168" s="22"/>
      <c r="KL168" s="20"/>
      <c r="KM168" s="22"/>
      <c r="KN168" s="20"/>
      <c r="KO168" s="22"/>
      <c r="KP168" s="20"/>
      <c r="KQ168" s="22"/>
      <c r="KR168" s="20"/>
      <c r="KS168" s="22"/>
      <c r="KT168" s="20"/>
      <c r="KU168" s="22"/>
      <c r="KV168" s="20"/>
      <c r="KW168" s="22"/>
      <c r="KX168" s="20"/>
      <c r="KY168" s="22"/>
      <c r="KZ168" s="20"/>
      <c r="LA168" s="22"/>
      <c r="LB168" s="20"/>
      <c r="LC168" s="22"/>
      <c r="LD168" s="20"/>
      <c r="LE168" s="22"/>
      <c r="LF168" s="20"/>
      <c r="LG168" s="22"/>
      <c r="LH168" s="20"/>
      <c r="LI168" s="22"/>
      <c r="LJ168" s="20"/>
      <c r="LK168" s="22"/>
      <c r="LL168" s="20"/>
      <c r="LM168" s="22"/>
      <c r="LN168" s="20"/>
      <c r="LO168" s="22"/>
      <c r="LP168" s="20"/>
      <c r="LQ168" s="22"/>
      <c r="LR168" s="20"/>
      <c r="LS168" s="22"/>
      <c r="LT168" s="20"/>
      <c r="LU168" s="22"/>
      <c r="LV168" s="20"/>
      <c r="LW168" s="22"/>
      <c r="LX168" s="20"/>
      <c r="LY168" s="22"/>
      <c r="LZ168" s="20"/>
      <c r="MA168" s="22"/>
      <c r="MB168" s="20"/>
      <c r="MC168" s="22"/>
      <c r="MD168" s="20"/>
      <c r="ME168" s="22"/>
      <c r="MF168" s="20"/>
      <c r="MG168" s="22"/>
      <c r="MH168" s="20"/>
      <c r="MI168" s="22"/>
      <c r="MJ168" s="20"/>
      <c r="MK168" s="22"/>
      <c r="ML168" s="20"/>
      <c r="MM168" s="22"/>
      <c r="MN168" s="20"/>
      <c r="MO168" s="22"/>
      <c r="MP168" s="20"/>
      <c r="MQ168" s="22"/>
      <c r="MR168" s="20"/>
      <c r="MS168" s="22"/>
      <c r="MT168" s="20"/>
      <c r="MU168" s="22"/>
      <c r="MV168" s="20"/>
      <c r="MW168" s="22"/>
      <c r="MX168" s="20"/>
      <c r="MY168" s="22"/>
      <c r="MZ168" s="20"/>
      <c r="NA168" s="22"/>
      <c r="NB168" s="20"/>
      <c r="NC168" s="22"/>
      <c r="ND168" s="20"/>
      <c r="NE168" s="22"/>
      <c r="NF168" s="22"/>
    </row>
    <row r="169" hidden="1">
      <c r="A169" s="237"/>
      <c r="B169" s="267"/>
      <c r="C169" s="239">
        <v>46170.0</v>
      </c>
      <c r="D169" s="245" t="s">
        <v>349</v>
      </c>
      <c r="E169" s="242" t="s">
        <v>47</v>
      </c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73"/>
      <c r="DD169" s="73"/>
      <c r="DE169" s="73"/>
      <c r="DF169" s="73"/>
      <c r="DG169" s="73"/>
      <c r="DH169" s="73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  <c r="DT169" s="73"/>
      <c r="DU169" s="73"/>
      <c r="DV169" s="22"/>
      <c r="DW169" s="20"/>
      <c r="DX169" s="22"/>
      <c r="DY169" s="20"/>
      <c r="DZ169" s="22"/>
      <c r="EA169" s="20"/>
      <c r="EB169" s="22"/>
      <c r="EC169" s="20"/>
      <c r="ED169" s="22"/>
      <c r="EE169" s="20"/>
      <c r="EF169" s="22"/>
      <c r="EG169" s="20"/>
      <c r="EH169" s="22"/>
      <c r="EI169" s="20"/>
      <c r="EJ169" s="22"/>
      <c r="EK169" s="20"/>
      <c r="EL169" s="22"/>
      <c r="EM169" s="20"/>
      <c r="EN169" s="22"/>
      <c r="EO169" s="20"/>
      <c r="EP169" s="22"/>
      <c r="EQ169" s="20"/>
      <c r="ER169" s="22"/>
      <c r="ES169" s="20"/>
      <c r="ET169" s="22"/>
      <c r="EU169" s="20"/>
      <c r="EV169" s="20">
        <v>6.0</v>
      </c>
      <c r="EW169" s="20">
        <v>1.0</v>
      </c>
      <c r="EX169" s="22"/>
      <c r="EY169" s="20"/>
      <c r="EZ169" s="22"/>
      <c r="FA169" s="20"/>
      <c r="FB169" s="22"/>
      <c r="FC169" s="20"/>
      <c r="FD169" s="22"/>
      <c r="FE169" s="20"/>
      <c r="FF169" s="22"/>
      <c r="FG169" s="20"/>
      <c r="FH169" s="22"/>
      <c r="FI169" s="20"/>
      <c r="FJ169" s="22"/>
      <c r="FK169" s="20"/>
      <c r="FL169" s="22"/>
      <c r="FM169" s="20"/>
      <c r="FN169" s="22"/>
      <c r="FO169" s="20"/>
      <c r="FP169" s="22"/>
      <c r="FQ169" s="20"/>
      <c r="FR169" s="22"/>
      <c r="FS169" s="20"/>
      <c r="FT169" s="22"/>
      <c r="FU169" s="20"/>
      <c r="FV169" s="22"/>
      <c r="FW169" s="20"/>
      <c r="FX169" s="22"/>
      <c r="FY169" s="20"/>
      <c r="FZ169" s="22"/>
      <c r="GA169" s="20"/>
      <c r="GB169" s="22"/>
      <c r="GC169" s="20"/>
      <c r="GD169" s="22"/>
      <c r="GE169" s="20"/>
      <c r="GF169" s="22"/>
      <c r="GG169" s="20"/>
      <c r="GH169" s="22"/>
      <c r="GI169" s="20"/>
      <c r="GJ169" s="22"/>
      <c r="GK169" s="20"/>
      <c r="GL169" s="22"/>
      <c r="GM169" s="20"/>
      <c r="GN169" s="22"/>
      <c r="GO169" s="20"/>
      <c r="GP169" s="22"/>
      <c r="GQ169" s="20"/>
      <c r="GR169" s="22"/>
      <c r="GS169" s="20"/>
      <c r="GT169" s="22"/>
      <c r="GU169" s="20"/>
      <c r="GV169" s="22"/>
      <c r="GW169" s="20"/>
      <c r="GX169" s="22"/>
      <c r="GY169" s="20"/>
      <c r="GZ169" s="22"/>
      <c r="HA169" s="20"/>
      <c r="HB169" s="22"/>
      <c r="HC169" s="20"/>
      <c r="HD169" s="22"/>
      <c r="HE169" s="20"/>
      <c r="HF169" s="22"/>
      <c r="HG169" s="20"/>
      <c r="HH169" s="22"/>
      <c r="HI169" s="20"/>
      <c r="HJ169" s="22"/>
      <c r="HK169" s="20"/>
      <c r="HL169" s="22"/>
      <c r="HM169" s="20"/>
      <c r="HN169" s="22"/>
      <c r="HO169" s="20"/>
      <c r="HP169" s="22"/>
      <c r="HQ169" s="20"/>
      <c r="HR169" s="22"/>
      <c r="HS169" s="20"/>
      <c r="HT169" s="22"/>
      <c r="HU169" s="20"/>
      <c r="HV169" s="22"/>
      <c r="HW169" s="20"/>
      <c r="HX169" s="22"/>
      <c r="HY169" s="20"/>
      <c r="HZ169" s="22"/>
      <c r="IA169" s="20"/>
      <c r="IB169" s="22"/>
      <c r="IC169" s="20"/>
      <c r="ID169" s="22"/>
      <c r="IE169" s="20"/>
      <c r="IF169" s="22"/>
      <c r="IG169" s="20"/>
      <c r="IH169" s="22"/>
      <c r="II169" s="20"/>
      <c r="IJ169" s="22"/>
      <c r="IK169" s="20"/>
      <c r="IL169" s="22"/>
      <c r="IM169" s="20"/>
      <c r="IN169" s="22"/>
      <c r="IO169" s="20"/>
      <c r="IP169" s="22"/>
      <c r="IQ169" s="20"/>
      <c r="IR169" s="22"/>
      <c r="IS169" s="20"/>
      <c r="IT169" s="22"/>
      <c r="IU169" s="20"/>
      <c r="IV169" s="22"/>
      <c r="IW169" s="20"/>
      <c r="IX169" s="22"/>
      <c r="IY169" s="20"/>
      <c r="IZ169" s="22"/>
      <c r="JA169" s="20"/>
      <c r="JB169" s="22"/>
      <c r="JC169" s="20"/>
      <c r="JD169" s="22"/>
      <c r="JE169" s="20"/>
      <c r="JF169" s="22"/>
      <c r="JG169" s="20"/>
      <c r="JH169" s="22"/>
      <c r="JI169" s="20"/>
      <c r="JJ169" s="22"/>
      <c r="JK169" s="20"/>
      <c r="JL169" s="22"/>
      <c r="JM169" s="20"/>
      <c r="JN169" s="22"/>
      <c r="JO169" s="20"/>
      <c r="JP169" s="22"/>
      <c r="JQ169" s="20"/>
      <c r="JR169" s="22"/>
      <c r="JS169" s="20"/>
      <c r="JT169" s="22"/>
      <c r="JU169" s="20"/>
      <c r="JV169" s="22"/>
      <c r="JW169" s="20"/>
      <c r="JX169" s="22"/>
      <c r="JY169" s="20"/>
      <c r="JZ169" s="22"/>
      <c r="KA169" s="20"/>
      <c r="KB169" s="22"/>
      <c r="KC169" s="20"/>
      <c r="KD169" s="22"/>
      <c r="KE169" s="20"/>
      <c r="KF169" s="22"/>
      <c r="KG169" s="20"/>
      <c r="KH169" s="22"/>
      <c r="KI169" s="20"/>
      <c r="KJ169" s="22"/>
      <c r="KK169" s="20"/>
      <c r="KL169" s="22"/>
      <c r="KM169" s="20"/>
      <c r="KN169" s="22"/>
      <c r="KO169" s="20"/>
      <c r="KP169" s="22"/>
      <c r="KQ169" s="20"/>
      <c r="KR169" s="22"/>
      <c r="KS169" s="20"/>
      <c r="KT169" s="22"/>
      <c r="KU169" s="20"/>
      <c r="KV169" s="22"/>
      <c r="KW169" s="20"/>
      <c r="KX169" s="22"/>
      <c r="KY169" s="20"/>
      <c r="KZ169" s="22"/>
      <c r="LA169" s="20"/>
      <c r="LB169" s="22"/>
      <c r="LC169" s="20"/>
      <c r="LD169" s="22"/>
      <c r="LE169" s="20"/>
      <c r="LF169" s="22"/>
      <c r="LG169" s="20"/>
      <c r="LH169" s="22"/>
      <c r="LI169" s="20"/>
      <c r="LJ169" s="22"/>
      <c r="LK169" s="20"/>
      <c r="LL169" s="22"/>
      <c r="LM169" s="20"/>
      <c r="LN169" s="22"/>
      <c r="LO169" s="20"/>
      <c r="LP169" s="22"/>
      <c r="LQ169" s="20"/>
      <c r="LR169" s="22"/>
      <c r="LS169" s="20"/>
      <c r="LT169" s="22"/>
      <c r="LU169" s="20"/>
      <c r="LV169" s="22"/>
      <c r="LW169" s="20"/>
      <c r="LX169" s="22"/>
      <c r="LY169" s="20"/>
      <c r="LZ169" s="22"/>
      <c r="MA169" s="20"/>
      <c r="MB169" s="22"/>
      <c r="MC169" s="20"/>
      <c r="MD169" s="22"/>
      <c r="ME169" s="20"/>
      <c r="MF169" s="22"/>
      <c r="MG169" s="20"/>
      <c r="MH169" s="22"/>
      <c r="MI169" s="20"/>
      <c r="MJ169" s="22"/>
      <c r="MK169" s="20"/>
      <c r="ML169" s="22"/>
      <c r="MM169" s="20"/>
      <c r="MN169" s="22"/>
      <c r="MO169" s="20"/>
      <c r="MP169" s="22"/>
      <c r="MQ169" s="20"/>
      <c r="MR169" s="22"/>
      <c r="MS169" s="20"/>
      <c r="MT169" s="22"/>
      <c r="MU169" s="20"/>
      <c r="MV169" s="22"/>
      <c r="MW169" s="20"/>
      <c r="MX169" s="22"/>
      <c r="MY169" s="20"/>
      <c r="MZ169" s="22"/>
      <c r="NA169" s="20"/>
      <c r="NB169" s="22"/>
      <c r="NC169" s="20"/>
      <c r="ND169" s="22"/>
      <c r="NE169" s="20"/>
      <c r="NF169" s="73"/>
    </row>
    <row r="170" hidden="1">
      <c r="A170" s="237"/>
      <c r="B170" s="267"/>
      <c r="C170" s="239">
        <v>46171.0</v>
      </c>
      <c r="D170" s="245" t="s">
        <v>350</v>
      </c>
      <c r="E170" s="242" t="s">
        <v>47</v>
      </c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3"/>
      <c r="CO170" s="73"/>
      <c r="CP170" s="73"/>
      <c r="CQ170" s="73"/>
      <c r="CR170" s="73"/>
      <c r="CS170" s="73"/>
      <c r="CT170" s="73"/>
      <c r="CU170" s="73"/>
      <c r="CV170" s="73"/>
      <c r="CW170" s="73"/>
      <c r="CX170" s="73"/>
      <c r="CY170" s="73"/>
      <c r="CZ170" s="73"/>
      <c r="DA170" s="73"/>
      <c r="DB170" s="73"/>
      <c r="DC170" s="73"/>
      <c r="DD170" s="73"/>
      <c r="DE170" s="73"/>
      <c r="DF170" s="73"/>
      <c r="DG170" s="73"/>
      <c r="DH170" s="73"/>
      <c r="DI170" s="73"/>
      <c r="DJ170" s="73"/>
      <c r="DK170" s="73"/>
      <c r="DL170" s="73"/>
      <c r="DM170" s="73"/>
      <c r="DN170" s="73"/>
      <c r="DO170" s="73"/>
      <c r="DP170" s="73"/>
      <c r="DQ170" s="73"/>
      <c r="DR170" s="73"/>
      <c r="DS170" s="73"/>
      <c r="DT170" s="73"/>
      <c r="DU170" s="73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0"/>
      <c r="EW170" s="20">
        <v>1.0</v>
      </c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  <c r="IZ170" s="22"/>
      <c r="JA170" s="22"/>
      <c r="JB170" s="22"/>
      <c r="JC170" s="22"/>
      <c r="JD170" s="22"/>
      <c r="JE170" s="22"/>
      <c r="JF170" s="22"/>
      <c r="JG170" s="22"/>
      <c r="JH170" s="22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2"/>
      <c r="LK170" s="22"/>
      <c r="LL170" s="22"/>
      <c r="LM170" s="22"/>
      <c r="LN170" s="22"/>
      <c r="LO170" s="22"/>
      <c r="LP170" s="22"/>
      <c r="LQ170" s="22"/>
      <c r="LR170" s="22"/>
      <c r="LS170" s="22"/>
      <c r="LT170" s="22"/>
      <c r="LU170" s="22"/>
      <c r="LV170" s="22"/>
      <c r="LW170" s="22"/>
      <c r="LX170" s="22"/>
      <c r="LY170" s="22"/>
      <c r="LZ170" s="22"/>
      <c r="MA170" s="22"/>
      <c r="MB170" s="22"/>
      <c r="MC170" s="22"/>
      <c r="MD170" s="22"/>
      <c r="ME170" s="22"/>
      <c r="MF170" s="22"/>
      <c r="MG170" s="22"/>
      <c r="MH170" s="22"/>
      <c r="MI170" s="22"/>
      <c r="MJ170" s="22"/>
      <c r="MK170" s="22"/>
      <c r="ML170" s="22"/>
      <c r="MM170" s="22"/>
      <c r="MN170" s="22"/>
      <c r="MO170" s="22"/>
      <c r="MP170" s="22"/>
      <c r="MQ170" s="22"/>
      <c r="MR170" s="22"/>
      <c r="MS170" s="22"/>
      <c r="MT170" s="22"/>
      <c r="MU170" s="22"/>
      <c r="MV170" s="22"/>
      <c r="MW170" s="22"/>
      <c r="MX170" s="22"/>
      <c r="MY170" s="22"/>
      <c r="MZ170" s="22"/>
      <c r="NA170" s="22"/>
      <c r="NB170" s="22"/>
      <c r="NC170" s="22"/>
      <c r="ND170" s="22"/>
      <c r="NE170" s="22"/>
      <c r="NF170" s="73"/>
    </row>
    <row r="171" hidden="1">
      <c r="A171" s="237"/>
      <c r="B171" s="267"/>
      <c r="C171" s="239">
        <v>46171.0</v>
      </c>
      <c r="D171" s="245" t="s">
        <v>351</v>
      </c>
      <c r="E171" s="242" t="s">
        <v>47</v>
      </c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/>
      <c r="DA171" s="73"/>
      <c r="DB171" s="73"/>
      <c r="DC171" s="73"/>
      <c r="DD171" s="73"/>
      <c r="DE171" s="73"/>
      <c r="DF171" s="73"/>
      <c r="DG171" s="73"/>
      <c r="DH171" s="73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/>
      <c r="DT171" s="73"/>
      <c r="DU171" s="73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>
        <v>1.0</v>
      </c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  <c r="IX171" s="20"/>
      <c r="IY171" s="20"/>
      <c r="IZ171" s="20"/>
      <c r="JA171" s="20"/>
      <c r="JB171" s="20"/>
      <c r="JC171" s="20"/>
      <c r="JD171" s="20"/>
      <c r="JE171" s="20"/>
      <c r="JF171" s="20"/>
      <c r="JG171" s="20"/>
      <c r="JH171" s="20"/>
      <c r="JI171" s="20"/>
      <c r="JJ171" s="20"/>
      <c r="JK171" s="20"/>
      <c r="JL171" s="20"/>
      <c r="JM171" s="20"/>
      <c r="JN171" s="20"/>
      <c r="JO171" s="20"/>
      <c r="JP171" s="20"/>
      <c r="JQ171" s="20"/>
      <c r="JR171" s="20"/>
      <c r="JS171" s="20"/>
      <c r="JT171" s="20"/>
      <c r="JU171" s="20"/>
      <c r="JV171" s="20"/>
      <c r="JW171" s="20"/>
      <c r="JX171" s="20"/>
      <c r="JY171" s="20"/>
      <c r="JZ171" s="20"/>
      <c r="KA171" s="20"/>
      <c r="KB171" s="20"/>
      <c r="KC171" s="20"/>
      <c r="KD171" s="20"/>
      <c r="KE171" s="20"/>
      <c r="KF171" s="20"/>
      <c r="KG171" s="20"/>
      <c r="KH171" s="20"/>
      <c r="KI171" s="20"/>
      <c r="KJ171" s="20"/>
      <c r="KK171" s="20"/>
      <c r="KL171" s="20"/>
      <c r="KM171" s="20"/>
      <c r="KN171" s="20"/>
      <c r="KO171" s="20"/>
      <c r="KP171" s="20"/>
      <c r="KQ171" s="20"/>
      <c r="KR171" s="20"/>
      <c r="KS171" s="20"/>
      <c r="KT171" s="20"/>
      <c r="KU171" s="20"/>
      <c r="KV171" s="20"/>
      <c r="KW171" s="20"/>
      <c r="KX171" s="20"/>
      <c r="KY171" s="20"/>
      <c r="KZ171" s="20"/>
      <c r="LA171" s="20"/>
      <c r="LB171" s="20"/>
      <c r="LC171" s="20"/>
      <c r="LD171" s="20"/>
      <c r="LE171" s="20"/>
      <c r="LF171" s="20"/>
      <c r="LG171" s="20"/>
      <c r="LH171" s="20"/>
      <c r="LI171" s="20"/>
      <c r="LJ171" s="20"/>
      <c r="LK171" s="20"/>
      <c r="LL171" s="20"/>
      <c r="LM171" s="20"/>
      <c r="LN171" s="20"/>
      <c r="LO171" s="20"/>
      <c r="LP171" s="20"/>
      <c r="LQ171" s="20"/>
      <c r="LR171" s="20"/>
      <c r="LS171" s="20"/>
      <c r="LT171" s="20"/>
      <c r="LU171" s="20"/>
      <c r="LV171" s="20"/>
      <c r="LW171" s="20"/>
      <c r="LX171" s="20"/>
      <c r="LY171" s="20"/>
      <c r="LZ171" s="20"/>
      <c r="MA171" s="20"/>
      <c r="MB171" s="20"/>
      <c r="MC171" s="20"/>
      <c r="MD171" s="20"/>
      <c r="ME171" s="20"/>
      <c r="MF171" s="20"/>
      <c r="MG171" s="20"/>
      <c r="MH171" s="20"/>
      <c r="MI171" s="20"/>
      <c r="MJ171" s="20"/>
      <c r="MK171" s="20"/>
      <c r="ML171" s="20"/>
      <c r="MM171" s="20"/>
      <c r="MN171" s="20"/>
      <c r="MO171" s="20"/>
      <c r="MP171" s="20"/>
      <c r="MQ171" s="20"/>
      <c r="MR171" s="20"/>
      <c r="MS171" s="20"/>
      <c r="MT171" s="20"/>
      <c r="MU171" s="20"/>
      <c r="MV171" s="20"/>
      <c r="MW171" s="20"/>
      <c r="MX171" s="20"/>
      <c r="MY171" s="20"/>
      <c r="MZ171" s="20"/>
      <c r="NA171" s="20"/>
      <c r="NB171" s="20"/>
      <c r="NC171" s="20"/>
      <c r="ND171" s="20"/>
      <c r="NE171" s="20"/>
      <c r="NF171" s="73"/>
    </row>
    <row r="172" hidden="1">
      <c r="A172" s="237"/>
      <c r="B172" s="267"/>
      <c r="C172" s="239">
        <v>46172.0</v>
      </c>
      <c r="D172" s="245" t="s">
        <v>352</v>
      </c>
      <c r="E172" s="242" t="s">
        <v>47</v>
      </c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  <c r="CK172" s="73"/>
      <c r="CL172" s="73"/>
      <c r="CM172" s="73"/>
      <c r="CN172" s="73"/>
      <c r="CO172" s="73"/>
      <c r="CP172" s="73"/>
      <c r="CQ172" s="73"/>
      <c r="CR172" s="73"/>
      <c r="CS172" s="73"/>
      <c r="CT172" s="73"/>
      <c r="CU172" s="73"/>
      <c r="CV172" s="73"/>
      <c r="CW172" s="73"/>
      <c r="CX172" s="73"/>
      <c r="CY172" s="73"/>
      <c r="CZ172" s="73"/>
      <c r="DA172" s="73"/>
      <c r="DB172" s="73"/>
      <c r="DC172" s="73"/>
      <c r="DD172" s="73"/>
      <c r="DE172" s="73"/>
      <c r="DF172" s="73"/>
      <c r="DG172" s="73"/>
      <c r="DH172" s="73"/>
      <c r="DI172" s="73"/>
      <c r="DJ172" s="73"/>
      <c r="DK172" s="73"/>
      <c r="DL172" s="73"/>
      <c r="DM172" s="73"/>
      <c r="DN172" s="73"/>
      <c r="DO172" s="73"/>
      <c r="DP172" s="73"/>
      <c r="DQ172" s="73"/>
      <c r="DR172" s="73"/>
      <c r="DS172" s="73"/>
      <c r="DT172" s="73"/>
      <c r="DU172" s="73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>
        <v>1.0</v>
      </c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  <c r="IX172" s="20"/>
      <c r="IY172" s="20"/>
      <c r="IZ172" s="20"/>
      <c r="JA172" s="20"/>
      <c r="JB172" s="20"/>
      <c r="JC172" s="20"/>
      <c r="JD172" s="20"/>
      <c r="JE172" s="20"/>
      <c r="JF172" s="20"/>
      <c r="JG172" s="20"/>
      <c r="JH172" s="20"/>
      <c r="JI172" s="20"/>
      <c r="JJ172" s="20"/>
      <c r="JK172" s="20"/>
      <c r="JL172" s="20"/>
      <c r="JM172" s="20"/>
      <c r="JN172" s="20"/>
      <c r="JO172" s="20"/>
      <c r="JP172" s="20"/>
      <c r="JQ172" s="20"/>
      <c r="JR172" s="20"/>
      <c r="JS172" s="20"/>
      <c r="JT172" s="20"/>
      <c r="JU172" s="20"/>
      <c r="JV172" s="20"/>
      <c r="JW172" s="20"/>
      <c r="JX172" s="20"/>
      <c r="JY172" s="20"/>
      <c r="JZ172" s="20"/>
      <c r="KA172" s="20"/>
      <c r="KB172" s="20"/>
      <c r="KC172" s="20"/>
      <c r="KD172" s="20"/>
      <c r="KE172" s="20"/>
      <c r="KF172" s="20"/>
      <c r="KG172" s="20"/>
      <c r="KH172" s="20"/>
      <c r="KI172" s="20"/>
      <c r="KJ172" s="20"/>
      <c r="KK172" s="20"/>
      <c r="KL172" s="20"/>
      <c r="KM172" s="20"/>
      <c r="KN172" s="20"/>
      <c r="KO172" s="20"/>
      <c r="KP172" s="20"/>
      <c r="KQ172" s="20"/>
      <c r="KR172" s="20"/>
      <c r="KS172" s="20"/>
      <c r="KT172" s="20"/>
      <c r="KU172" s="20"/>
      <c r="KV172" s="20"/>
      <c r="KW172" s="20"/>
      <c r="KX172" s="20"/>
      <c r="KY172" s="20"/>
      <c r="KZ172" s="20"/>
      <c r="LA172" s="20"/>
      <c r="LB172" s="20"/>
      <c r="LC172" s="20"/>
      <c r="LD172" s="20"/>
      <c r="LE172" s="20"/>
      <c r="LF172" s="20"/>
      <c r="LG172" s="20"/>
      <c r="LH172" s="20"/>
      <c r="LI172" s="20"/>
      <c r="LJ172" s="20"/>
      <c r="LK172" s="20"/>
      <c r="LL172" s="20"/>
      <c r="LM172" s="20"/>
      <c r="LN172" s="20"/>
      <c r="LO172" s="20"/>
      <c r="LP172" s="20"/>
      <c r="LQ172" s="20"/>
      <c r="LR172" s="20"/>
      <c r="LS172" s="20"/>
      <c r="LT172" s="20"/>
      <c r="LU172" s="20"/>
      <c r="LV172" s="20"/>
      <c r="LW172" s="20"/>
      <c r="LX172" s="20"/>
      <c r="LY172" s="20"/>
      <c r="LZ172" s="20"/>
      <c r="MA172" s="20"/>
      <c r="MB172" s="20"/>
      <c r="MC172" s="20"/>
      <c r="MD172" s="20"/>
      <c r="ME172" s="20"/>
      <c r="MF172" s="20"/>
      <c r="MG172" s="20"/>
      <c r="MH172" s="20"/>
      <c r="MI172" s="20"/>
      <c r="MJ172" s="20"/>
      <c r="MK172" s="20"/>
      <c r="ML172" s="20"/>
      <c r="MM172" s="20"/>
      <c r="MN172" s="20"/>
      <c r="MO172" s="20"/>
      <c r="MP172" s="20"/>
      <c r="MQ172" s="20"/>
      <c r="MR172" s="20"/>
      <c r="MS172" s="20"/>
      <c r="MT172" s="20"/>
      <c r="MU172" s="20"/>
      <c r="MV172" s="20"/>
      <c r="MW172" s="20"/>
      <c r="MX172" s="20"/>
      <c r="MY172" s="20"/>
      <c r="MZ172" s="20"/>
      <c r="NA172" s="20"/>
      <c r="NB172" s="20"/>
      <c r="NC172" s="20"/>
      <c r="ND172" s="20"/>
      <c r="NE172" s="20"/>
      <c r="NF172" s="73"/>
    </row>
    <row r="173" hidden="1">
      <c r="A173" s="237"/>
      <c r="B173" s="267"/>
      <c r="C173" s="239">
        <v>46173.0</v>
      </c>
      <c r="D173" s="245" t="s">
        <v>353</v>
      </c>
      <c r="E173" s="242" t="s">
        <v>47</v>
      </c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3"/>
      <c r="CO173" s="73"/>
      <c r="CP173" s="73"/>
      <c r="CQ173" s="73"/>
      <c r="CR173" s="73"/>
      <c r="CS173" s="73"/>
      <c r="CT173" s="73"/>
      <c r="CU173" s="73"/>
      <c r="CV173" s="73"/>
      <c r="CW173" s="73"/>
      <c r="CX173" s="73"/>
      <c r="CY173" s="73"/>
      <c r="CZ173" s="73"/>
      <c r="DA173" s="73"/>
      <c r="DB173" s="73"/>
      <c r="DC173" s="73"/>
      <c r="DD173" s="73"/>
      <c r="DE173" s="73"/>
      <c r="DF173" s="73"/>
      <c r="DG173" s="73"/>
      <c r="DH173" s="73"/>
      <c r="DI173" s="73"/>
      <c r="DJ173" s="73"/>
      <c r="DK173" s="73"/>
      <c r="DL173" s="73"/>
      <c r="DM173" s="73"/>
      <c r="DN173" s="73"/>
      <c r="DO173" s="73"/>
      <c r="DP173" s="73"/>
      <c r="DQ173" s="73"/>
      <c r="DR173" s="73"/>
      <c r="DS173" s="73"/>
      <c r="DT173" s="73"/>
      <c r="DU173" s="73"/>
      <c r="DV173" s="20"/>
      <c r="DW173" s="22"/>
      <c r="DX173" s="20"/>
      <c r="DY173" s="22"/>
      <c r="DZ173" s="20"/>
      <c r="EA173" s="22"/>
      <c r="EB173" s="20"/>
      <c r="EC173" s="22"/>
      <c r="ED173" s="20"/>
      <c r="EE173" s="22"/>
      <c r="EF173" s="20"/>
      <c r="EG173" s="22"/>
      <c r="EH173" s="20"/>
      <c r="EI173" s="22"/>
      <c r="EJ173" s="20"/>
      <c r="EK173" s="22"/>
      <c r="EL173" s="20"/>
      <c r="EM173" s="22"/>
      <c r="EN173" s="20"/>
      <c r="EO173" s="22"/>
      <c r="EP173" s="20"/>
      <c r="EQ173" s="22"/>
      <c r="ER173" s="20"/>
      <c r="ES173" s="22"/>
      <c r="ET173" s="20"/>
      <c r="EU173" s="22"/>
      <c r="EV173" s="20"/>
      <c r="EW173" s="22"/>
      <c r="EX173" s="20">
        <v>1.0</v>
      </c>
      <c r="EY173" s="22"/>
      <c r="EZ173" s="20"/>
      <c r="FA173" s="22"/>
      <c r="FB173" s="20"/>
      <c r="FC173" s="22"/>
      <c r="FD173" s="20"/>
      <c r="FE173" s="22"/>
      <c r="FF173" s="20"/>
      <c r="FG173" s="22"/>
      <c r="FH173" s="20"/>
      <c r="FI173" s="22"/>
      <c r="FJ173" s="20"/>
      <c r="FK173" s="22"/>
      <c r="FL173" s="20"/>
      <c r="FM173" s="22"/>
      <c r="FN173" s="20"/>
      <c r="FO173" s="22"/>
      <c r="FP173" s="20"/>
      <c r="FQ173" s="22"/>
      <c r="FR173" s="20"/>
      <c r="FS173" s="22"/>
      <c r="FT173" s="20"/>
      <c r="FU173" s="22"/>
      <c r="FV173" s="20"/>
      <c r="FW173" s="22"/>
      <c r="FX173" s="20"/>
      <c r="FY173" s="22"/>
      <c r="FZ173" s="20"/>
      <c r="GA173" s="22"/>
      <c r="GB173" s="20"/>
      <c r="GC173" s="22"/>
      <c r="GD173" s="20"/>
      <c r="GE173" s="22"/>
      <c r="GF173" s="20"/>
      <c r="GG173" s="22"/>
      <c r="GH173" s="20"/>
      <c r="GI173" s="22"/>
      <c r="GJ173" s="20"/>
      <c r="GK173" s="22"/>
      <c r="GL173" s="20"/>
      <c r="GM173" s="22"/>
      <c r="GN173" s="20"/>
      <c r="GO173" s="22"/>
      <c r="GP173" s="20"/>
      <c r="GQ173" s="22"/>
      <c r="GR173" s="20"/>
      <c r="GS173" s="22"/>
      <c r="GT173" s="20"/>
      <c r="GU173" s="22"/>
      <c r="GV173" s="20"/>
      <c r="GW173" s="22"/>
      <c r="GX173" s="20"/>
      <c r="GY173" s="22"/>
      <c r="GZ173" s="20"/>
      <c r="HA173" s="22"/>
      <c r="HB173" s="20"/>
      <c r="HC173" s="22"/>
      <c r="HD173" s="20"/>
      <c r="HE173" s="22"/>
      <c r="HF173" s="20"/>
      <c r="HG173" s="22"/>
      <c r="HH173" s="20"/>
      <c r="HI173" s="22"/>
      <c r="HJ173" s="20"/>
      <c r="HK173" s="22"/>
      <c r="HL173" s="20"/>
      <c r="HM173" s="22"/>
      <c r="HN173" s="20"/>
      <c r="HO173" s="22"/>
      <c r="HP173" s="20"/>
      <c r="HQ173" s="22"/>
      <c r="HR173" s="20"/>
      <c r="HS173" s="22"/>
      <c r="HT173" s="20"/>
      <c r="HU173" s="22"/>
      <c r="HV173" s="20"/>
      <c r="HW173" s="22"/>
      <c r="HX173" s="20"/>
      <c r="HY173" s="22"/>
      <c r="HZ173" s="20"/>
      <c r="IA173" s="22"/>
      <c r="IB173" s="20"/>
      <c r="IC173" s="22"/>
      <c r="ID173" s="20"/>
      <c r="IE173" s="22"/>
      <c r="IF173" s="20"/>
      <c r="IG173" s="22"/>
      <c r="IH173" s="20"/>
      <c r="II173" s="22"/>
      <c r="IJ173" s="20"/>
      <c r="IK173" s="22"/>
      <c r="IL173" s="20"/>
      <c r="IM173" s="22"/>
      <c r="IN173" s="20"/>
      <c r="IO173" s="22"/>
      <c r="IP173" s="20"/>
      <c r="IQ173" s="22"/>
      <c r="IR173" s="20"/>
      <c r="IS173" s="22"/>
      <c r="IT173" s="20"/>
      <c r="IU173" s="22"/>
      <c r="IV173" s="20"/>
      <c r="IW173" s="22"/>
      <c r="IX173" s="20"/>
      <c r="IY173" s="22"/>
      <c r="IZ173" s="20"/>
      <c r="JA173" s="22"/>
      <c r="JB173" s="20"/>
      <c r="JC173" s="22"/>
      <c r="JD173" s="20"/>
      <c r="JE173" s="22"/>
      <c r="JF173" s="20"/>
      <c r="JG173" s="22"/>
      <c r="JH173" s="20"/>
      <c r="JI173" s="22"/>
      <c r="JJ173" s="20"/>
      <c r="JK173" s="22"/>
      <c r="JL173" s="20"/>
      <c r="JM173" s="22"/>
      <c r="JN173" s="20"/>
      <c r="JO173" s="22"/>
      <c r="JP173" s="20"/>
      <c r="JQ173" s="22"/>
      <c r="JR173" s="20"/>
      <c r="JS173" s="22"/>
      <c r="JT173" s="20"/>
      <c r="JU173" s="22"/>
      <c r="JV173" s="20"/>
      <c r="JW173" s="22"/>
      <c r="JX173" s="20"/>
      <c r="JY173" s="22"/>
      <c r="JZ173" s="20"/>
      <c r="KA173" s="22"/>
      <c r="KB173" s="20"/>
      <c r="KC173" s="22"/>
      <c r="KD173" s="20"/>
      <c r="KE173" s="22"/>
      <c r="KF173" s="20"/>
      <c r="KG173" s="22"/>
      <c r="KH173" s="20"/>
      <c r="KI173" s="22"/>
      <c r="KJ173" s="20"/>
      <c r="KK173" s="22"/>
      <c r="KL173" s="20"/>
      <c r="KM173" s="22"/>
      <c r="KN173" s="20"/>
      <c r="KO173" s="22"/>
      <c r="KP173" s="20"/>
      <c r="KQ173" s="22"/>
      <c r="KR173" s="20"/>
      <c r="KS173" s="22"/>
      <c r="KT173" s="20"/>
      <c r="KU173" s="22"/>
      <c r="KV173" s="20"/>
      <c r="KW173" s="22"/>
      <c r="KX173" s="20"/>
      <c r="KY173" s="22"/>
      <c r="KZ173" s="20"/>
      <c r="LA173" s="22"/>
      <c r="LB173" s="20"/>
      <c r="LC173" s="22"/>
      <c r="LD173" s="20"/>
      <c r="LE173" s="22"/>
      <c r="LF173" s="20"/>
      <c r="LG173" s="22"/>
      <c r="LH173" s="20"/>
      <c r="LI173" s="22"/>
      <c r="LJ173" s="20"/>
      <c r="LK173" s="22"/>
      <c r="LL173" s="20"/>
      <c r="LM173" s="22"/>
      <c r="LN173" s="20"/>
      <c r="LO173" s="22"/>
      <c r="LP173" s="20"/>
      <c r="LQ173" s="22"/>
      <c r="LR173" s="20"/>
      <c r="LS173" s="22"/>
      <c r="LT173" s="20"/>
      <c r="LU173" s="22"/>
      <c r="LV173" s="20"/>
      <c r="LW173" s="22"/>
      <c r="LX173" s="20"/>
      <c r="LY173" s="22"/>
      <c r="LZ173" s="20"/>
      <c r="MA173" s="22"/>
      <c r="MB173" s="20"/>
      <c r="MC173" s="22"/>
      <c r="MD173" s="20"/>
      <c r="ME173" s="22"/>
      <c r="MF173" s="20"/>
      <c r="MG173" s="22"/>
      <c r="MH173" s="20"/>
      <c r="MI173" s="22"/>
      <c r="MJ173" s="20"/>
      <c r="MK173" s="22"/>
      <c r="ML173" s="20"/>
      <c r="MM173" s="22"/>
      <c r="MN173" s="20"/>
      <c r="MO173" s="22"/>
      <c r="MP173" s="20"/>
      <c r="MQ173" s="22"/>
      <c r="MR173" s="20"/>
      <c r="MS173" s="22"/>
      <c r="MT173" s="20"/>
      <c r="MU173" s="22"/>
      <c r="MV173" s="20"/>
      <c r="MW173" s="22"/>
      <c r="MX173" s="20"/>
      <c r="MY173" s="22"/>
      <c r="MZ173" s="20"/>
      <c r="NA173" s="22"/>
      <c r="NB173" s="20"/>
      <c r="NC173" s="22"/>
      <c r="ND173" s="20"/>
      <c r="NE173" s="22"/>
      <c r="NF173" s="73"/>
    </row>
    <row r="174" hidden="1">
      <c r="A174" s="237"/>
      <c r="B174" s="267"/>
      <c r="C174" s="239">
        <v>46171.0</v>
      </c>
      <c r="D174" s="276" t="s">
        <v>354</v>
      </c>
      <c r="E174" s="242" t="s">
        <v>47</v>
      </c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73"/>
      <c r="DD174" s="73"/>
      <c r="DE174" s="73"/>
      <c r="DF174" s="73"/>
      <c r="DG174" s="73"/>
      <c r="DH174" s="73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S174" s="73"/>
      <c r="DT174" s="73"/>
      <c r="DU174" s="73"/>
      <c r="DV174" s="22"/>
      <c r="DW174" s="20"/>
      <c r="DX174" s="22"/>
      <c r="DY174" s="20"/>
      <c r="DZ174" s="22"/>
      <c r="EA174" s="20"/>
      <c r="EB174" s="22"/>
      <c r="EC174" s="20"/>
      <c r="ED174" s="22"/>
      <c r="EE174" s="20"/>
      <c r="EF174" s="22"/>
      <c r="EG174" s="20"/>
      <c r="EH174" s="22"/>
      <c r="EI174" s="20"/>
      <c r="EJ174" s="22"/>
      <c r="EK174" s="20"/>
      <c r="EL174" s="22"/>
      <c r="EM174" s="20"/>
      <c r="EN174" s="22"/>
      <c r="EO174" s="20"/>
      <c r="EP174" s="22"/>
      <c r="EQ174" s="20"/>
      <c r="ER174" s="22"/>
      <c r="ES174" s="20"/>
      <c r="ET174" s="22"/>
      <c r="EU174" s="20"/>
      <c r="EV174" s="22"/>
      <c r="EW174" s="20">
        <v>1.0</v>
      </c>
      <c r="EX174" s="22"/>
      <c r="EY174" s="20"/>
      <c r="EZ174" s="22"/>
      <c r="FA174" s="20"/>
      <c r="FB174" s="22"/>
      <c r="FC174" s="20"/>
      <c r="FD174" s="22"/>
      <c r="FE174" s="20"/>
      <c r="FF174" s="22"/>
      <c r="FG174" s="20"/>
      <c r="FH174" s="22"/>
      <c r="FI174" s="20"/>
      <c r="FJ174" s="22"/>
      <c r="FK174" s="20"/>
      <c r="FL174" s="22"/>
      <c r="FM174" s="20"/>
      <c r="FN174" s="22"/>
      <c r="FO174" s="20"/>
      <c r="FP174" s="22"/>
      <c r="FQ174" s="20"/>
      <c r="FR174" s="22"/>
      <c r="FS174" s="20"/>
      <c r="FT174" s="22"/>
      <c r="FU174" s="20"/>
      <c r="FV174" s="22"/>
      <c r="FW174" s="20"/>
      <c r="FX174" s="22"/>
      <c r="FY174" s="20"/>
      <c r="FZ174" s="22"/>
      <c r="GA174" s="20"/>
      <c r="GB174" s="22"/>
      <c r="GC174" s="20"/>
      <c r="GD174" s="22"/>
      <c r="GE174" s="20"/>
      <c r="GF174" s="22"/>
      <c r="GG174" s="20"/>
      <c r="GH174" s="22"/>
      <c r="GI174" s="20"/>
      <c r="GJ174" s="22"/>
      <c r="GK174" s="20"/>
      <c r="GL174" s="22"/>
      <c r="GM174" s="20"/>
      <c r="GN174" s="22"/>
      <c r="GO174" s="20"/>
      <c r="GP174" s="22"/>
      <c r="GQ174" s="20"/>
      <c r="GR174" s="22"/>
      <c r="GS174" s="20"/>
      <c r="GT174" s="22"/>
      <c r="GU174" s="20"/>
      <c r="GV174" s="22"/>
      <c r="GW174" s="20"/>
      <c r="GX174" s="22"/>
      <c r="GY174" s="20"/>
      <c r="GZ174" s="22"/>
      <c r="HA174" s="20"/>
      <c r="HB174" s="22"/>
      <c r="HC174" s="20"/>
      <c r="HD174" s="22"/>
      <c r="HE174" s="20"/>
      <c r="HF174" s="22"/>
      <c r="HG174" s="20"/>
      <c r="HH174" s="22"/>
      <c r="HI174" s="20"/>
      <c r="HJ174" s="22"/>
      <c r="HK174" s="20"/>
      <c r="HL174" s="22"/>
      <c r="HM174" s="20"/>
      <c r="HN174" s="22"/>
      <c r="HO174" s="20"/>
      <c r="HP174" s="22"/>
      <c r="HQ174" s="20"/>
      <c r="HR174" s="22"/>
      <c r="HS174" s="20"/>
      <c r="HT174" s="22"/>
      <c r="HU174" s="20"/>
      <c r="HV174" s="22"/>
      <c r="HW174" s="20"/>
      <c r="HX174" s="22"/>
      <c r="HY174" s="20"/>
      <c r="HZ174" s="22"/>
      <c r="IA174" s="20"/>
      <c r="IB174" s="22"/>
      <c r="IC174" s="20"/>
      <c r="ID174" s="22"/>
      <c r="IE174" s="20"/>
      <c r="IF174" s="22"/>
      <c r="IG174" s="20"/>
      <c r="IH174" s="22"/>
      <c r="II174" s="20"/>
      <c r="IJ174" s="22"/>
      <c r="IK174" s="20"/>
      <c r="IL174" s="22"/>
      <c r="IM174" s="20"/>
      <c r="IN174" s="22"/>
      <c r="IO174" s="20"/>
      <c r="IP174" s="22"/>
      <c r="IQ174" s="20"/>
      <c r="IR174" s="22"/>
      <c r="IS174" s="20"/>
      <c r="IT174" s="22"/>
      <c r="IU174" s="20"/>
      <c r="IV174" s="22"/>
      <c r="IW174" s="20"/>
      <c r="IX174" s="22"/>
      <c r="IY174" s="20"/>
      <c r="IZ174" s="22"/>
      <c r="JA174" s="20"/>
      <c r="JB174" s="22"/>
      <c r="JC174" s="20"/>
      <c r="JD174" s="22"/>
      <c r="JE174" s="20"/>
      <c r="JF174" s="22"/>
      <c r="JG174" s="20"/>
      <c r="JH174" s="22"/>
      <c r="JI174" s="20"/>
      <c r="JJ174" s="22"/>
      <c r="JK174" s="20"/>
      <c r="JL174" s="22"/>
      <c r="JM174" s="20"/>
      <c r="JN174" s="22"/>
      <c r="JO174" s="20"/>
      <c r="JP174" s="22"/>
      <c r="JQ174" s="20"/>
      <c r="JR174" s="22"/>
      <c r="JS174" s="20"/>
      <c r="JT174" s="22"/>
      <c r="JU174" s="20"/>
      <c r="JV174" s="22"/>
      <c r="JW174" s="20"/>
      <c r="JX174" s="22"/>
      <c r="JY174" s="20"/>
      <c r="JZ174" s="22"/>
      <c r="KA174" s="20"/>
      <c r="KB174" s="22"/>
      <c r="KC174" s="20"/>
      <c r="KD174" s="22"/>
      <c r="KE174" s="20"/>
      <c r="KF174" s="22"/>
      <c r="KG174" s="20"/>
      <c r="KH174" s="22"/>
      <c r="KI174" s="20"/>
      <c r="KJ174" s="22"/>
      <c r="KK174" s="20"/>
      <c r="KL174" s="22"/>
      <c r="KM174" s="20"/>
      <c r="KN174" s="22"/>
      <c r="KO174" s="20"/>
      <c r="KP174" s="22"/>
      <c r="KQ174" s="20"/>
      <c r="KR174" s="22"/>
      <c r="KS174" s="20"/>
      <c r="KT174" s="22"/>
      <c r="KU174" s="20"/>
      <c r="KV174" s="22"/>
      <c r="KW174" s="20"/>
      <c r="KX174" s="22"/>
      <c r="KY174" s="20"/>
      <c r="KZ174" s="22"/>
      <c r="LA174" s="20"/>
      <c r="LB174" s="22"/>
      <c r="LC174" s="20"/>
      <c r="LD174" s="22"/>
      <c r="LE174" s="20"/>
      <c r="LF174" s="22"/>
      <c r="LG174" s="20"/>
      <c r="LH174" s="22"/>
      <c r="LI174" s="20"/>
      <c r="LJ174" s="22"/>
      <c r="LK174" s="20"/>
      <c r="LL174" s="22"/>
      <c r="LM174" s="20"/>
      <c r="LN174" s="22"/>
      <c r="LO174" s="20"/>
      <c r="LP174" s="22"/>
      <c r="LQ174" s="20"/>
      <c r="LR174" s="22"/>
      <c r="LS174" s="20"/>
      <c r="LT174" s="22"/>
      <c r="LU174" s="20"/>
      <c r="LV174" s="22"/>
      <c r="LW174" s="20"/>
      <c r="LX174" s="22"/>
      <c r="LY174" s="20"/>
      <c r="LZ174" s="22"/>
      <c r="MA174" s="20"/>
      <c r="MB174" s="22"/>
      <c r="MC174" s="20"/>
      <c r="MD174" s="22"/>
      <c r="ME174" s="20"/>
      <c r="MF174" s="22"/>
      <c r="MG174" s="20"/>
      <c r="MH174" s="22"/>
      <c r="MI174" s="20"/>
      <c r="MJ174" s="22"/>
      <c r="MK174" s="20"/>
      <c r="ML174" s="22"/>
      <c r="MM174" s="20"/>
      <c r="MN174" s="22"/>
      <c r="MO174" s="20"/>
      <c r="MP174" s="22"/>
      <c r="MQ174" s="20"/>
      <c r="MR174" s="22"/>
      <c r="MS174" s="20"/>
      <c r="MT174" s="22"/>
      <c r="MU174" s="20"/>
      <c r="MV174" s="22"/>
      <c r="MW174" s="20"/>
      <c r="MX174" s="22"/>
      <c r="MY174" s="20"/>
      <c r="MZ174" s="22"/>
      <c r="NA174" s="20"/>
      <c r="NB174" s="22"/>
      <c r="NC174" s="20"/>
      <c r="ND174" s="22"/>
      <c r="NE174" s="20"/>
      <c r="NF174" s="73"/>
    </row>
    <row r="175" hidden="1">
      <c r="A175" s="237"/>
      <c r="B175" s="248">
        <v>85263.0</v>
      </c>
      <c r="C175" s="277">
        <v>46174.0</v>
      </c>
      <c r="D175" s="278" t="s">
        <v>355</v>
      </c>
      <c r="E175" s="279" t="s">
        <v>47</v>
      </c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73"/>
      <c r="CQ175" s="73"/>
      <c r="CR175" s="73"/>
      <c r="CS175" s="73"/>
      <c r="CT175" s="73"/>
      <c r="CU175" s="73"/>
      <c r="CV175" s="73"/>
      <c r="CW175" s="73"/>
      <c r="CX175" s="73"/>
      <c r="CY175" s="73"/>
      <c r="CZ175" s="73"/>
      <c r="DA175" s="73"/>
      <c r="DB175" s="73"/>
      <c r="DC175" s="73"/>
      <c r="DD175" s="73"/>
      <c r="DE175" s="73"/>
      <c r="DF175" s="73"/>
      <c r="DG175" s="73"/>
      <c r="DH175" s="73"/>
      <c r="DI175" s="73"/>
      <c r="DJ175" s="73"/>
      <c r="DK175" s="73"/>
      <c r="DL175" s="73"/>
      <c r="DM175" s="73"/>
      <c r="DN175" s="73"/>
      <c r="DO175" s="73"/>
      <c r="DP175" s="73"/>
      <c r="DQ175" s="73"/>
      <c r="DR175" s="73"/>
      <c r="DS175" s="73"/>
      <c r="DT175" s="73"/>
      <c r="DU175" s="73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0">
        <v>1.0</v>
      </c>
      <c r="EY175" s="22"/>
      <c r="EZ175" s="22"/>
      <c r="FA175" s="20">
        <v>1.0</v>
      </c>
      <c r="FB175" s="20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0">
        <v>1.0</v>
      </c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  <c r="IZ175" s="22"/>
      <c r="JA175" s="22"/>
      <c r="JB175" s="22"/>
      <c r="JC175" s="22"/>
      <c r="JD175" s="22"/>
      <c r="JE175" s="22"/>
      <c r="JF175" s="22"/>
      <c r="JG175" s="22"/>
      <c r="JH175" s="22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2"/>
      <c r="LK175" s="22"/>
      <c r="LL175" s="22"/>
      <c r="LM175" s="22"/>
      <c r="LN175" s="22"/>
      <c r="LO175" s="22"/>
      <c r="LP175" s="22"/>
      <c r="LQ175" s="22"/>
      <c r="LR175" s="22"/>
      <c r="LS175" s="22"/>
      <c r="LT175" s="22"/>
      <c r="LU175" s="22"/>
      <c r="LV175" s="22"/>
      <c r="LW175" s="22"/>
      <c r="LX175" s="22"/>
      <c r="LY175" s="22"/>
      <c r="LZ175" s="22"/>
      <c r="MA175" s="22"/>
      <c r="MB175" s="22"/>
      <c r="MC175" s="22"/>
      <c r="MD175" s="22"/>
      <c r="ME175" s="22"/>
      <c r="MF175" s="22"/>
      <c r="MG175" s="22"/>
      <c r="MH175" s="22"/>
      <c r="MI175" s="22"/>
      <c r="MJ175" s="22"/>
      <c r="MK175" s="22"/>
      <c r="ML175" s="22"/>
      <c r="MM175" s="22"/>
      <c r="MN175" s="22"/>
      <c r="MO175" s="22"/>
      <c r="MP175" s="22"/>
      <c r="MQ175" s="22"/>
      <c r="MR175" s="22"/>
      <c r="MS175" s="22"/>
      <c r="MT175" s="22"/>
      <c r="MU175" s="22"/>
      <c r="MV175" s="22"/>
      <c r="MW175" s="22"/>
      <c r="MX175" s="22"/>
      <c r="MY175" s="22"/>
      <c r="MZ175" s="22"/>
      <c r="NA175" s="22"/>
      <c r="NB175" s="22"/>
      <c r="NC175" s="22"/>
      <c r="ND175" s="22"/>
      <c r="NE175" s="22"/>
      <c r="NF175" s="73"/>
    </row>
    <row r="176" hidden="1">
      <c r="A176" s="237"/>
      <c r="B176" s="267"/>
      <c r="C176" s="277">
        <v>46174.0</v>
      </c>
      <c r="D176" s="280" t="s">
        <v>356</v>
      </c>
      <c r="E176" s="279" t="s">
        <v>47</v>
      </c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  <c r="CU176" s="73"/>
      <c r="CV176" s="73"/>
      <c r="CW176" s="73"/>
      <c r="CX176" s="73"/>
      <c r="CY176" s="73"/>
      <c r="CZ176" s="73"/>
      <c r="DA176" s="73"/>
      <c r="DB176" s="73"/>
      <c r="DC176" s="73"/>
      <c r="DD176" s="73"/>
      <c r="DE176" s="73"/>
      <c r="DF176" s="73"/>
      <c r="DG176" s="73"/>
      <c r="DH176" s="73"/>
      <c r="DI176" s="73"/>
      <c r="DJ176" s="73"/>
      <c r="DK176" s="73"/>
      <c r="DL176" s="73"/>
      <c r="DM176" s="73"/>
      <c r="DN176" s="73"/>
      <c r="DO176" s="73"/>
      <c r="DP176" s="73"/>
      <c r="DQ176" s="73"/>
      <c r="DR176" s="73"/>
      <c r="DS176" s="73"/>
      <c r="DT176" s="73"/>
      <c r="DU176" s="73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>
        <v>1.0</v>
      </c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  <c r="JB176" s="20"/>
      <c r="JC176" s="20"/>
      <c r="JD176" s="20"/>
      <c r="JE176" s="20"/>
      <c r="JF176" s="20"/>
      <c r="JG176" s="20"/>
      <c r="JH176" s="20"/>
      <c r="JI176" s="20"/>
      <c r="JJ176" s="20"/>
      <c r="JK176" s="20"/>
      <c r="JL176" s="20"/>
      <c r="JM176" s="20"/>
      <c r="JN176" s="20"/>
      <c r="JO176" s="20"/>
      <c r="JP176" s="20"/>
      <c r="JQ176" s="20"/>
      <c r="JR176" s="20"/>
      <c r="JS176" s="20"/>
      <c r="JT176" s="20"/>
      <c r="JU176" s="20"/>
      <c r="JV176" s="20"/>
      <c r="JW176" s="20"/>
      <c r="JX176" s="20"/>
      <c r="JY176" s="20"/>
      <c r="JZ176" s="20"/>
      <c r="KA176" s="20"/>
      <c r="KB176" s="20"/>
      <c r="KC176" s="20"/>
      <c r="KD176" s="20"/>
      <c r="KE176" s="20"/>
      <c r="KF176" s="20"/>
      <c r="KG176" s="20"/>
      <c r="KH176" s="20"/>
      <c r="KI176" s="20"/>
      <c r="KJ176" s="20"/>
      <c r="KK176" s="20"/>
      <c r="KL176" s="20"/>
      <c r="KM176" s="20"/>
      <c r="KN176" s="20"/>
      <c r="KO176" s="20"/>
      <c r="KP176" s="20"/>
      <c r="KQ176" s="20"/>
      <c r="KR176" s="20"/>
      <c r="KS176" s="20"/>
      <c r="KT176" s="20"/>
      <c r="KU176" s="20"/>
      <c r="KV176" s="20"/>
      <c r="KW176" s="20"/>
      <c r="KX176" s="20"/>
      <c r="KY176" s="20"/>
      <c r="KZ176" s="20"/>
      <c r="LA176" s="20"/>
      <c r="LB176" s="20"/>
      <c r="LC176" s="20"/>
      <c r="LD176" s="20"/>
      <c r="LE176" s="20"/>
      <c r="LF176" s="20"/>
      <c r="LG176" s="20"/>
      <c r="LH176" s="20"/>
      <c r="LI176" s="20"/>
      <c r="LJ176" s="20"/>
      <c r="LK176" s="20"/>
      <c r="LL176" s="20"/>
      <c r="LM176" s="20"/>
      <c r="LN176" s="20"/>
      <c r="LO176" s="20"/>
      <c r="LP176" s="20"/>
      <c r="LQ176" s="20"/>
      <c r="LR176" s="20"/>
      <c r="LS176" s="20"/>
      <c r="LT176" s="20"/>
      <c r="LU176" s="20"/>
      <c r="LV176" s="20"/>
      <c r="LW176" s="20"/>
      <c r="LX176" s="20"/>
      <c r="LY176" s="20"/>
      <c r="LZ176" s="20"/>
      <c r="MA176" s="20"/>
      <c r="MB176" s="20"/>
      <c r="MC176" s="20"/>
      <c r="MD176" s="20"/>
      <c r="ME176" s="20"/>
      <c r="MF176" s="20"/>
      <c r="MG176" s="20"/>
      <c r="MH176" s="20"/>
      <c r="MI176" s="20"/>
      <c r="MJ176" s="20"/>
      <c r="MK176" s="20"/>
      <c r="ML176" s="20"/>
      <c r="MM176" s="20"/>
      <c r="MN176" s="20"/>
      <c r="MO176" s="20"/>
      <c r="MP176" s="20"/>
      <c r="MQ176" s="20"/>
      <c r="MR176" s="20"/>
      <c r="MS176" s="20"/>
      <c r="MT176" s="20"/>
      <c r="MU176" s="20"/>
      <c r="MV176" s="20"/>
      <c r="MW176" s="20"/>
      <c r="MX176" s="20"/>
      <c r="MY176" s="20"/>
      <c r="MZ176" s="20"/>
      <c r="NA176" s="20"/>
      <c r="NB176" s="20"/>
      <c r="NC176" s="20"/>
      <c r="ND176" s="20"/>
      <c r="NE176" s="20"/>
      <c r="NF176" s="73"/>
    </row>
    <row r="177" hidden="1">
      <c r="A177" s="237"/>
      <c r="B177" s="267"/>
      <c r="C177" s="277">
        <v>46174.0</v>
      </c>
      <c r="D177" s="280" t="s">
        <v>357</v>
      </c>
      <c r="E177" s="279" t="s">
        <v>47</v>
      </c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3"/>
      <c r="CQ177" s="73"/>
      <c r="CR177" s="73"/>
      <c r="CS177" s="73"/>
      <c r="CT177" s="73"/>
      <c r="CU177" s="73"/>
      <c r="CV177" s="73"/>
      <c r="CW177" s="73"/>
      <c r="CX177" s="73"/>
      <c r="CY177" s="73"/>
      <c r="CZ177" s="73"/>
      <c r="DA177" s="73"/>
      <c r="DB177" s="73"/>
      <c r="DC177" s="73"/>
      <c r="DD177" s="73"/>
      <c r="DE177" s="73"/>
      <c r="DF177" s="73"/>
      <c r="DG177" s="73"/>
      <c r="DH177" s="73"/>
      <c r="DI177" s="73"/>
      <c r="DJ177" s="73"/>
      <c r="DK177" s="73"/>
      <c r="DL177" s="73"/>
      <c r="DM177" s="73"/>
      <c r="DN177" s="73"/>
      <c r="DO177" s="73"/>
      <c r="DP177" s="73"/>
      <c r="DQ177" s="73"/>
      <c r="DR177" s="73"/>
      <c r="DS177" s="73"/>
      <c r="DT177" s="73"/>
      <c r="DU177" s="73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>
        <v>4.0</v>
      </c>
      <c r="FB177" s="20"/>
      <c r="FC177" s="20"/>
      <c r="FD177" s="20">
        <v>2.0</v>
      </c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  <c r="JB177" s="20"/>
      <c r="JC177" s="20"/>
      <c r="JD177" s="20"/>
      <c r="JE177" s="20"/>
      <c r="JF177" s="20"/>
      <c r="JG177" s="20"/>
      <c r="JH177" s="20"/>
      <c r="JI177" s="20"/>
      <c r="JJ177" s="20"/>
      <c r="JK177" s="20"/>
      <c r="JL177" s="20"/>
      <c r="JM177" s="20"/>
      <c r="JN177" s="20"/>
      <c r="JO177" s="20"/>
      <c r="JP177" s="20"/>
      <c r="JQ177" s="20"/>
      <c r="JR177" s="20"/>
      <c r="JS177" s="20"/>
      <c r="JT177" s="20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20"/>
      <c r="KH177" s="20"/>
      <c r="KI177" s="20"/>
      <c r="KJ177" s="20"/>
      <c r="KK177" s="20"/>
      <c r="KL177" s="20"/>
      <c r="KM177" s="20"/>
      <c r="KN177" s="20"/>
      <c r="KO177" s="20"/>
      <c r="KP177" s="20"/>
      <c r="KQ177" s="20"/>
      <c r="KR177" s="20"/>
      <c r="KS177" s="20"/>
      <c r="KT177" s="20"/>
      <c r="KU177" s="20"/>
      <c r="KV177" s="20"/>
      <c r="KW177" s="20"/>
      <c r="KX177" s="20"/>
      <c r="KY177" s="20"/>
      <c r="KZ177" s="20"/>
      <c r="LA177" s="20"/>
      <c r="LB177" s="20"/>
      <c r="LC177" s="20"/>
      <c r="LD177" s="20"/>
      <c r="LE177" s="20"/>
      <c r="LF177" s="20"/>
      <c r="LG177" s="20"/>
      <c r="LH177" s="20"/>
      <c r="LI177" s="20"/>
      <c r="LJ177" s="20"/>
      <c r="LK177" s="20"/>
      <c r="LL177" s="20"/>
      <c r="LM177" s="20"/>
      <c r="LN177" s="20"/>
      <c r="LO177" s="20"/>
      <c r="LP177" s="20"/>
      <c r="LQ177" s="20"/>
      <c r="LR177" s="20"/>
      <c r="LS177" s="20"/>
      <c r="LT177" s="20"/>
      <c r="LU177" s="20"/>
      <c r="LV177" s="20"/>
      <c r="LW177" s="20"/>
      <c r="LX177" s="20"/>
      <c r="LY177" s="20"/>
      <c r="LZ177" s="20"/>
      <c r="MA177" s="20"/>
      <c r="MB177" s="20"/>
      <c r="MC177" s="20"/>
      <c r="MD177" s="20"/>
      <c r="ME177" s="20"/>
      <c r="MF177" s="20"/>
      <c r="MG177" s="20"/>
      <c r="MH177" s="20"/>
      <c r="MI177" s="20"/>
      <c r="MJ177" s="20"/>
      <c r="MK177" s="20"/>
      <c r="ML177" s="20"/>
      <c r="MM177" s="20"/>
      <c r="MN177" s="20"/>
      <c r="MO177" s="20"/>
      <c r="MP177" s="20"/>
      <c r="MQ177" s="20"/>
      <c r="MR177" s="20"/>
      <c r="MS177" s="20"/>
      <c r="MT177" s="20"/>
      <c r="MU177" s="20"/>
      <c r="MV177" s="20"/>
      <c r="MW177" s="20"/>
      <c r="MX177" s="20"/>
      <c r="MY177" s="20"/>
      <c r="MZ177" s="20"/>
      <c r="NA177" s="20"/>
      <c r="NB177" s="20"/>
      <c r="NC177" s="20"/>
      <c r="ND177" s="20"/>
      <c r="NE177" s="20"/>
      <c r="NF177" s="73"/>
    </row>
    <row r="178" hidden="1">
      <c r="A178" s="237"/>
      <c r="B178" s="267"/>
      <c r="C178" s="277">
        <v>46175.0</v>
      </c>
      <c r="D178" s="280" t="s">
        <v>358</v>
      </c>
      <c r="E178" s="279" t="s">
        <v>47</v>
      </c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3"/>
      <c r="CO178" s="73"/>
      <c r="CP178" s="73"/>
      <c r="CQ178" s="73"/>
      <c r="CR178" s="73"/>
      <c r="CS178" s="73"/>
      <c r="CT178" s="73"/>
      <c r="CU178" s="73"/>
      <c r="CV178" s="73"/>
      <c r="CW178" s="73"/>
      <c r="CX178" s="73"/>
      <c r="CY178" s="73"/>
      <c r="CZ178" s="73"/>
      <c r="DA178" s="73"/>
      <c r="DB178" s="73"/>
      <c r="DC178" s="73"/>
      <c r="DD178" s="73"/>
      <c r="DE178" s="73"/>
      <c r="DF178" s="73"/>
      <c r="DG178" s="73"/>
      <c r="DH178" s="73"/>
      <c r="DI178" s="73"/>
      <c r="DJ178" s="73"/>
      <c r="DK178" s="73"/>
      <c r="DL178" s="73"/>
      <c r="DM178" s="73"/>
      <c r="DN178" s="73"/>
      <c r="DO178" s="73"/>
      <c r="DP178" s="73"/>
      <c r="DQ178" s="73"/>
      <c r="DR178" s="73"/>
      <c r="DS178" s="73"/>
      <c r="DT178" s="73"/>
      <c r="DU178" s="73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>
        <v>1.0</v>
      </c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  <c r="JB178" s="20"/>
      <c r="JC178" s="20"/>
      <c r="JD178" s="20"/>
      <c r="JE178" s="20"/>
      <c r="JF178" s="20"/>
      <c r="JG178" s="20"/>
      <c r="JH178" s="20"/>
      <c r="JI178" s="20"/>
      <c r="JJ178" s="20"/>
      <c r="JK178" s="20"/>
      <c r="JL178" s="20"/>
      <c r="JM178" s="20"/>
      <c r="JN178" s="20"/>
      <c r="JO178" s="20"/>
      <c r="JP178" s="20"/>
      <c r="JQ178" s="20"/>
      <c r="JR178" s="20"/>
      <c r="JS178" s="20"/>
      <c r="JT178" s="20"/>
      <c r="JU178" s="20"/>
      <c r="JV178" s="20"/>
      <c r="JW178" s="20"/>
      <c r="JX178" s="20"/>
      <c r="JY178" s="20"/>
      <c r="JZ178" s="20"/>
      <c r="KA178" s="20"/>
      <c r="KB178" s="20"/>
      <c r="KC178" s="20"/>
      <c r="KD178" s="20"/>
      <c r="KE178" s="20"/>
      <c r="KF178" s="20"/>
      <c r="KG178" s="20"/>
      <c r="KH178" s="20"/>
      <c r="KI178" s="20"/>
      <c r="KJ178" s="20"/>
      <c r="KK178" s="20"/>
      <c r="KL178" s="20"/>
      <c r="KM178" s="20"/>
      <c r="KN178" s="20"/>
      <c r="KO178" s="20"/>
      <c r="KP178" s="20"/>
      <c r="KQ178" s="20"/>
      <c r="KR178" s="20"/>
      <c r="KS178" s="20"/>
      <c r="KT178" s="20"/>
      <c r="KU178" s="20"/>
      <c r="KV178" s="20"/>
      <c r="KW178" s="20"/>
      <c r="KX178" s="20"/>
      <c r="KY178" s="20"/>
      <c r="KZ178" s="20"/>
      <c r="LA178" s="20"/>
      <c r="LB178" s="20"/>
      <c r="LC178" s="20"/>
      <c r="LD178" s="20"/>
      <c r="LE178" s="20"/>
      <c r="LF178" s="20"/>
      <c r="LG178" s="20"/>
      <c r="LH178" s="20"/>
      <c r="LI178" s="20"/>
      <c r="LJ178" s="20"/>
      <c r="LK178" s="20"/>
      <c r="LL178" s="20"/>
      <c r="LM178" s="20"/>
      <c r="LN178" s="20"/>
      <c r="LO178" s="20"/>
      <c r="LP178" s="20"/>
      <c r="LQ178" s="20"/>
      <c r="LR178" s="20"/>
      <c r="LS178" s="20"/>
      <c r="LT178" s="20"/>
      <c r="LU178" s="20"/>
      <c r="LV178" s="20"/>
      <c r="LW178" s="20"/>
      <c r="LX178" s="20"/>
      <c r="LY178" s="20"/>
      <c r="LZ178" s="20"/>
      <c r="MA178" s="20"/>
      <c r="MB178" s="20"/>
      <c r="MC178" s="20"/>
      <c r="MD178" s="20"/>
      <c r="ME178" s="20"/>
      <c r="MF178" s="20"/>
      <c r="MG178" s="20"/>
      <c r="MH178" s="20"/>
      <c r="MI178" s="20"/>
      <c r="MJ178" s="20"/>
      <c r="MK178" s="20"/>
      <c r="ML178" s="20"/>
      <c r="MM178" s="20"/>
      <c r="MN178" s="20"/>
      <c r="MO178" s="20"/>
      <c r="MP178" s="20"/>
      <c r="MQ178" s="20"/>
      <c r="MR178" s="20"/>
      <c r="MS178" s="20"/>
      <c r="MT178" s="20"/>
      <c r="MU178" s="20"/>
      <c r="MV178" s="20"/>
      <c r="MW178" s="20"/>
      <c r="MX178" s="20"/>
      <c r="MY178" s="20"/>
      <c r="MZ178" s="20"/>
      <c r="NA178" s="20"/>
      <c r="NB178" s="20"/>
      <c r="NC178" s="20"/>
      <c r="ND178" s="20"/>
      <c r="NE178" s="20"/>
      <c r="NF178" s="73"/>
    </row>
    <row r="179" hidden="1">
      <c r="A179" s="237"/>
      <c r="B179" s="267"/>
      <c r="C179" s="277">
        <v>46174.0</v>
      </c>
      <c r="D179" s="280" t="s">
        <v>359</v>
      </c>
      <c r="E179" s="279" t="s">
        <v>47</v>
      </c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73"/>
      <c r="DD179" s="73"/>
      <c r="DE179" s="73"/>
      <c r="DF179" s="73"/>
      <c r="DG179" s="73"/>
      <c r="DH179" s="73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  <c r="DT179" s="73"/>
      <c r="DU179" s="73"/>
      <c r="DV179" s="20"/>
      <c r="DW179" s="22"/>
      <c r="DX179" s="20"/>
      <c r="DY179" s="22"/>
      <c r="DZ179" s="20"/>
      <c r="EA179" s="22"/>
      <c r="EB179" s="20"/>
      <c r="EC179" s="22"/>
      <c r="ED179" s="20"/>
      <c r="EE179" s="22"/>
      <c r="EF179" s="20"/>
      <c r="EG179" s="22"/>
      <c r="EH179" s="20"/>
      <c r="EI179" s="22"/>
      <c r="EJ179" s="20"/>
      <c r="EK179" s="22"/>
      <c r="EL179" s="20"/>
      <c r="EM179" s="22"/>
      <c r="EN179" s="20"/>
      <c r="EO179" s="22"/>
      <c r="EP179" s="20"/>
      <c r="EQ179" s="22"/>
      <c r="ER179" s="20"/>
      <c r="ES179" s="22"/>
      <c r="ET179" s="20"/>
      <c r="EU179" s="22"/>
      <c r="EV179" s="20"/>
      <c r="EW179" s="22"/>
      <c r="EX179" s="20"/>
      <c r="EY179" s="22"/>
      <c r="EZ179" s="20"/>
      <c r="FA179" s="20">
        <v>1.0</v>
      </c>
      <c r="FB179" s="20"/>
      <c r="FC179" s="22"/>
      <c r="FD179" s="20"/>
      <c r="FE179" s="22"/>
      <c r="FF179" s="20"/>
      <c r="FG179" s="22"/>
      <c r="FH179" s="20"/>
      <c r="FI179" s="22"/>
      <c r="FJ179" s="20"/>
      <c r="FK179" s="22"/>
      <c r="FL179" s="20"/>
      <c r="FM179" s="22"/>
      <c r="FN179" s="20"/>
      <c r="FO179" s="22"/>
      <c r="FP179" s="20"/>
      <c r="FQ179" s="22"/>
      <c r="FR179" s="20"/>
      <c r="FS179" s="22"/>
      <c r="FT179" s="20"/>
      <c r="FU179" s="22"/>
      <c r="FV179" s="20"/>
      <c r="FW179" s="22"/>
      <c r="FX179" s="20"/>
      <c r="FY179" s="22"/>
      <c r="FZ179" s="20"/>
      <c r="GA179" s="22"/>
      <c r="GB179" s="20"/>
      <c r="GC179" s="22"/>
      <c r="GD179" s="20"/>
      <c r="GE179" s="22"/>
      <c r="GF179" s="20"/>
      <c r="GG179" s="22"/>
      <c r="GH179" s="20"/>
      <c r="GI179" s="22"/>
      <c r="GJ179" s="20"/>
      <c r="GK179" s="22"/>
      <c r="GL179" s="20"/>
      <c r="GM179" s="22"/>
      <c r="GN179" s="20"/>
      <c r="GO179" s="22"/>
      <c r="GP179" s="20"/>
      <c r="GQ179" s="22"/>
      <c r="GR179" s="20"/>
      <c r="GS179" s="22"/>
      <c r="GT179" s="20"/>
      <c r="GU179" s="22"/>
      <c r="GV179" s="20"/>
      <c r="GW179" s="22"/>
      <c r="GX179" s="20"/>
      <c r="GY179" s="22"/>
      <c r="GZ179" s="20"/>
      <c r="HA179" s="22"/>
      <c r="HB179" s="20"/>
      <c r="HC179" s="22"/>
      <c r="HD179" s="20"/>
      <c r="HE179" s="22"/>
      <c r="HF179" s="20"/>
      <c r="HG179" s="22"/>
      <c r="HH179" s="20"/>
      <c r="HI179" s="22"/>
      <c r="HJ179" s="20"/>
      <c r="HK179" s="22"/>
      <c r="HL179" s="20"/>
      <c r="HM179" s="22"/>
      <c r="HN179" s="20"/>
      <c r="HO179" s="22"/>
      <c r="HP179" s="20"/>
      <c r="HQ179" s="22"/>
      <c r="HR179" s="20"/>
      <c r="HS179" s="22"/>
      <c r="HT179" s="20"/>
      <c r="HU179" s="22"/>
      <c r="HV179" s="20"/>
      <c r="HW179" s="22"/>
      <c r="HX179" s="20"/>
      <c r="HY179" s="22"/>
      <c r="HZ179" s="20"/>
      <c r="IA179" s="22"/>
      <c r="IB179" s="20"/>
      <c r="IC179" s="22"/>
      <c r="ID179" s="20"/>
      <c r="IE179" s="22"/>
      <c r="IF179" s="20"/>
      <c r="IG179" s="22"/>
      <c r="IH179" s="20"/>
      <c r="II179" s="22"/>
      <c r="IJ179" s="20"/>
      <c r="IK179" s="22"/>
      <c r="IL179" s="20"/>
      <c r="IM179" s="22"/>
      <c r="IN179" s="20"/>
      <c r="IO179" s="22"/>
      <c r="IP179" s="20"/>
      <c r="IQ179" s="22"/>
      <c r="IR179" s="20"/>
      <c r="IS179" s="22"/>
      <c r="IT179" s="20"/>
      <c r="IU179" s="22"/>
      <c r="IV179" s="20"/>
      <c r="IW179" s="22"/>
      <c r="IX179" s="20"/>
      <c r="IY179" s="22"/>
      <c r="IZ179" s="20"/>
      <c r="JA179" s="22"/>
      <c r="JB179" s="20"/>
      <c r="JC179" s="22"/>
      <c r="JD179" s="20"/>
      <c r="JE179" s="22"/>
      <c r="JF179" s="20"/>
      <c r="JG179" s="22"/>
      <c r="JH179" s="20"/>
      <c r="JI179" s="22"/>
      <c r="JJ179" s="20"/>
      <c r="JK179" s="22"/>
      <c r="JL179" s="20"/>
      <c r="JM179" s="22"/>
      <c r="JN179" s="20"/>
      <c r="JO179" s="22"/>
      <c r="JP179" s="20"/>
      <c r="JQ179" s="22"/>
      <c r="JR179" s="20"/>
      <c r="JS179" s="22"/>
      <c r="JT179" s="20"/>
      <c r="JU179" s="22"/>
      <c r="JV179" s="20"/>
      <c r="JW179" s="22"/>
      <c r="JX179" s="20"/>
      <c r="JY179" s="22"/>
      <c r="JZ179" s="20"/>
      <c r="KA179" s="22"/>
      <c r="KB179" s="20"/>
      <c r="KC179" s="22"/>
      <c r="KD179" s="20"/>
      <c r="KE179" s="22"/>
      <c r="KF179" s="20"/>
      <c r="KG179" s="22"/>
      <c r="KH179" s="20"/>
      <c r="KI179" s="22"/>
      <c r="KJ179" s="20"/>
      <c r="KK179" s="22"/>
      <c r="KL179" s="20"/>
      <c r="KM179" s="22"/>
      <c r="KN179" s="20"/>
      <c r="KO179" s="22"/>
      <c r="KP179" s="20"/>
      <c r="KQ179" s="22"/>
      <c r="KR179" s="20"/>
      <c r="KS179" s="22"/>
      <c r="KT179" s="20"/>
      <c r="KU179" s="22"/>
      <c r="KV179" s="20"/>
      <c r="KW179" s="22"/>
      <c r="KX179" s="20"/>
      <c r="KY179" s="22"/>
      <c r="KZ179" s="20"/>
      <c r="LA179" s="22"/>
      <c r="LB179" s="20"/>
      <c r="LC179" s="22"/>
      <c r="LD179" s="20"/>
      <c r="LE179" s="22"/>
      <c r="LF179" s="20"/>
      <c r="LG179" s="22"/>
      <c r="LH179" s="20"/>
      <c r="LI179" s="22"/>
      <c r="LJ179" s="20"/>
      <c r="LK179" s="22"/>
      <c r="LL179" s="20"/>
      <c r="LM179" s="22"/>
      <c r="LN179" s="20"/>
      <c r="LO179" s="22"/>
      <c r="LP179" s="20"/>
      <c r="LQ179" s="22"/>
      <c r="LR179" s="20"/>
      <c r="LS179" s="22"/>
      <c r="LT179" s="20"/>
      <c r="LU179" s="22"/>
      <c r="LV179" s="20"/>
      <c r="LW179" s="22"/>
      <c r="LX179" s="20"/>
      <c r="LY179" s="22"/>
      <c r="LZ179" s="20"/>
      <c r="MA179" s="22"/>
      <c r="MB179" s="20"/>
      <c r="MC179" s="22"/>
      <c r="MD179" s="20"/>
      <c r="ME179" s="22"/>
      <c r="MF179" s="20"/>
      <c r="MG179" s="22"/>
      <c r="MH179" s="20"/>
      <c r="MI179" s="22"/>
      <c r="MJ179" s="20"/>
      <c r="MK179" s="22"/>
      <c r="ML179" s="20"/>
      <c r="MM179" s="22"/>
      <c r="MN179" s="20"/>
      <c r="MO179" s="22"/>
      <c r="MP179" s="20"/>
      <c r="MQ179" s="22"/>
      <c r="MR179" s="20"/>
      <c r="MS179" s="22"/>
      <c r="MT179" s="20"/>
      <c r="MU179" s="22"/>
      <c r="MV179" s="20"/>
      <c r="MW179" s="22"/>
      <c r="MX179" s="20"/>
      <c r="MY179" s="22"/>
      <c r="MZ179" s="20"/>
      <c r="NA179" s="22"/>
      <c r="NB179" s="20"/>
      <c r="NC179" s="22"/>
      <c r="ND179" s="20"/>
      <c r="NE179" s="22"/>
      <c r="NF179" s="73"/>
    </row>
    <row r="180" hidden="1">
      <c r="A180" s="237"/>
      <c r="B180" s="267"/>
      <c r="C180" s="277">
        <v>46181.0</v>
      </c>
      <c r="D180" s="280" t="s">
        <v>360</v>
      </c>
      <c r="E180" s="279" t="s">
        <v>47</v>
      </c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/>
      <c r="CO180" s="73"/>
      <c r="CP180" s="73"/>
      <c r="CQ180" s="73"/>
      <c r="CR180" s="73"/>
      <c r="CS180" s="73"/>
      <c r="CT180" s="73"/>
      <c r="CU180" s="73"/>
      <c r="CV180" s="73"/>
      <c r="CW180" s="73"/>
      <c r="CX180" s="73"/>
      <c r="CY180" s="73"/>
      <c r="CZ180" s="73"/>
      <c r="DA180" s="73"/>
      <c r="DB180" s="73"/>
      <c r="DC180" s="73"/>
      <c r="DD180" s="73"/>
      <c r="DE180" s="73"/>
      <c r="DF180" s="73"/>
      <c r="DG180" s="73"/>
      <c r="DH180" s="73"/>
      <c r="DI180" s="73"/>
      <c r="DJ180" s="73"/>
      <c r="DK180" s="73"/>
      <c r="DL180" s="73"/>
      <c r="DM180" s="73"/>
      <c r="DN180" s="73"/>
      <c r="DO180" s="73"/>
      <c r="DP180" s="73"/>
      <c r="DQ180" s="73"/>
      <c r="DR180" s="73"/>
      <c r="DS180" s="73"/>
      <c r="DT180" s="73"/>
      <c r="DU180" s="73"/>
      <c r="DV180" s="22"/>
      <c r="DW180" s="20"/>
      <c r="DX180" s="22"/>
      <c r="DY180" s="20"/>
      <c r="DZ180" s="22"/>
      <c r="EA180" s="20"/>
      <c r="EB180" s="22"/>
      <c r="EC180" s="20"/>
      <c r="ED180" s="22"/>
      <c r="EE180" s="20"/>
      <c r="EF180" s="22"/>
      <c r="EG180" s="20"/>
      <c r="EH180" s="22"/>
      <c r="EI180" s="20"/>
      <c r="EJ180" s="22"/>
      <c r="EK180" s="20"/>
      <c r="EL180" s="22"/>
      <c r="EM180" s="20"/>
      <c r="EN180" s="22"/>
      <c r="EO180" s="20"/>
      <c r="EP180" s="22"/>
      <c r="EQ180" s="20"/>
      <c r="ER180" s="22"/>
      <c r="ES180" s="20"/>
      <c r="ET180" s="22"/>
      <c r="EU180" s="20"/>
      <c r="EV180" s="22"/>
      <c r="EW180" s="20"/>
      <c r="EX180" s="22"/>
      <c r="EY180" s="20"/>
      <c r="EZ180" s="22"/>
      <c r="FA180" s="20"/>
      <c r="FB180" s="20">
        <v>3.0</v>
      </c>
      <c r="FC180" s="20"/>
      <c r="FD180" s="20">
        <v>2.0</v>
      </c>
      <c r="FE180" s="20">
        <v>1.0</v>
      </c>
      <c r="FF180" s="22"/>
      <c r="FG180" s="20"/>
      <c r="FH180" s="20">
        <v>2.0</v>
      </c>
      <c r="FI180" s="20"/>
      <c r="FJ180" s="22"/>
      <c r="FK180" s="20"/>
      <c r="FL180" s="22"/>
      <c r="FM180" s="20"/>
      <c r="FN180" s="22"/>
      <c r="FO180" s="20"/>
      <c r="FP180" s="22"/>
      <c r="FQ180" s="20"/>
      <c r="FR180" s="22"/>
      <c r="FS180" s="20"/>
      <c r="FT180" s="22"/>
      <c r="FU180" s="20"/>
      <c r="FV180" s="22"/>
      <c r="FW180" s="20"/>
      <c r="FX180" s="22"/>
      <c r="FY180" s="20"/>
      <c r="FZ180" s="22"/>
      <c r="GA180" s="20"/>
      <c r="GB180" s="22"/>
      <c r="GC180" s="20"/>
      <c r="GD180" s="22"/>
      <c r="GE180" s="20"/>
      <c r="GF180" s="22"/>
      <c r="GG180" s="20"/>
      <c r="GH180" s="22"/>
      <c r="GI180" s="20"/>
      <c r="GJ180" s="22"/>
      <c r="GK180" s="20"/>
      <c r="GL180" s="22"/>
      <c r="GM180" s="20"/>
      <c r="GN180" s="22"/>
      <c r="GO180" s="20"/>
      <c r="GP180" s="22"/>
      <c r="GQ180" s="20"/>
      <c r="GR180" s="22"/>
      <c r="GS180" s="20"/>
      <c r="GT180" s="22"/>
      <c r="GU180" s="20"/>
      <c r="GV180" s="22"/>
      <c r="GW180" s="20"/>
      <c r="GX180" s="22"/>
      <c r="GY180" s="20"/>
      <c r="GZ180" s="22"/>
      <c r="HA180" s="20"/>
      <c r="HB180" s="22"/>
      <c r="HC180" s="20"/>
      <c r="HD180" s="22"/>
      <c r="HE180" s="20"/>
      <c r="HF180" s="22"/>
      <c r="HG180" s="20"/>
      <c r="HH180" s="22"/>
      <c r="HI180" s="20"/>
      <c r="HJ180" s="22"/>
      <c r="HK180" s="20"/>
      <c r="HL180" s="22"/>
      <c r="HM180" s="20"/>
      <c r="HN180" s="22"/>
      <c r="HO180" s="20"/>
      <c r="HP180" s="22"/>
      <c r="HQ180" s="20"/>
      <c r="HR180" s="22"/>
      <c r="HS180" s="20"/>
      <c r="HT180" s="22"/>
      <c r="HU180" s="20"/>
      <c r="HV180" s="22"/>
      <c r="HW180" s="20"/>
      <c r="HX180" s="22"/>
      <c r="HY180" s="20"/>
      <c r="HZ180" s="22"/>
      <c r="IA180" s="20"/>
      <c r="IB180" s="22"/>
      <c r="IC180" s="20"/>
      <c r="ID180" s="22"/>
      <c r="IE180" s="20"/>
      <c r="IF180" s="22"/>
      <c r="IG180" s="20"/>
      <c r="IH180" s="22"/>
      <c r="II180" s="20"/>
      <c r="IJ180" s="22"/>
      <c r="IK180" s="20"/>
      <c r="IL180" s="22"/>
      <c r="IM180" s="20"/>
      <c r="IN180" s="22"/>
      <c r="IO180" s="20"/>
      <c r="IP180" s="22"/>
      <c r="IQ180" s="20"/>
      <c r="IR180" s="22"/>
      <c r="IS180" s="20"/>
      <c r="IT180" s="22"/>
      <c r="IU180" s="20"/>
      <c r="IV180" s="22"/>
      <c r="IW180" s="20"/>
      <c r="IX180" s="22"/>
      <c r="IY180" s="20"/>
      <c r="IZ180" s="22"/>
      <c r="JA180" s="20"/>
      <c r="JB180" s="22"/>
      <c r="JC180" s="20"/>
      <c r="JD180" s="22"/>
      <c r="JE180" s="20"/>
      <c r="JF180" s="22"/>
      <c r="JG180" s="20"/>
      <c r="JH180" s="22"/>
      <c r="JI180" s="20"/>
      <c r="JJ180" s="22"/>
      <c r="JK180" s="20"/>
      <c r="JL180" s="22"/>
      <c r="JM180" s="20"/>
      <c r="JN180" s="22"/>
      <c r="JO180" s="20"/>
      <c r="JP180" s="22"/>
      <c r="JQ180" s="20"/>
      <c r="JR180" s="22"/>
      <c r="JS180" s="20"/>
      <c r="JT180" s="22"/>
      <c r="JU180" s="20"/>
      <c r="JV180" s="22"/>
      <c r="JW180" s="20"/>
      <c r="JX180" s="22"/>
      <c r="JY180" s="20"/>
      <c r="JZ180" s="22"/>
      <c r="KA180" s="20"/>
      <c r="KB180" s="22"/>
      <c r="KC180" s="20"/>
      <c r="KD180" s="22"/>
      <c r="KE180" s="20"/>
      <c r="KF180" s="22"/>
      <c r="KG180" s="20"/>
      <c r="KH180" s="22"/>
      <c r="KI180" s="20"/>
      <c r="KJ180" s="22"/>
      <c r="KK180" s="20"/>
      <c r="KL180" s="22"/>
      <c r="KM180" s="20"/>
      <c r="KN180" s="22"/>
      <c r="KO180" s="20"/>
      <c r="KP180" s="22"/>
      <c r="KQ180" s="20"/>
      <c r="KR180" s="22"/>
      <c r="KS180" s="20"/>
      <c r="KT180" s="22"/>
      <c r="KU180" s="20"/>
      <c r="KV180" s="22"/>
      <c r="KW180" s="20"/>
      <c r="KX180" s="22"/>
      <c r="KY180" s="20"/>
      <c r="KZ180" s="22"/>
      <c r="LA180" s="20"/>
      <c r="LB180" s="22"/>
      <c r="LC180" s="20"/>
      <c r="LD180" s="22"/>
      <c r="LE180" s="20"/>
      <c r="LF180" s="22"/>
      <c r="LG180" s="20"/>
      <c r="LH180" s="22"/>
      <c r="LI180" s="20"/>
      <c r="LJ180" s="22"/>
      <c r="LK180" s="20"/>
      <c r="LL180" s="22"/>
      <c r="LM180" s="20"/>
      <c r="LN180" s="22"/>
      <c r="LO180" s="20"/>
      <c r="LP180" s="22"/>
      <c r="LQ180" s="20"/>
      <c r="LR180" s="22"/>
      <c r="LS180" s="20"/>
      <c r="LT180" s="22"/>
      <c r="LU180" s="20"/>
      <c r="LV180" s="22"/>
      <c r="LW180" s="20"/>
      <c r="LX180" s="22"/>
      <c r="LY180" s="20"/>
      <c r="LZ180" s="22"/>
      <c r="MA180" s="20"/>
      <c r="MB180" s="22"/>
      <c r="MC180" s="20"/>
      <c r="MD180" s="22"/>
      <c r="ME180" s="20"/>
      <c r="MF180" s="22"/>
      <c r="MG180" s="20"/>
      <c r="MH180" s="22"/>
      <c r="MI180" s="20"/>
      <c r="MJ180" s="22"/>
      <c r="MK180" s="20"/>
      <c r="ML180" s="22"/>
      <c r="MM180" s="20"/>
      <c r="MN180" s="22"/>
      <c r="MO180" s="20"/>
      <c r="MP180" s="22"/>
      <c r="MQ180" s="20"/>
      <c r="MR180" s="22"/>
      <c r="MS180" s="20"/>
      <c r="MT180" s="22"/>
      <c r="MU180" s="20"/>
      <c r="MV180" s="22"/>
      <c r="MW180" s="20"/>
      <c r="MX180" s="22"/>
      <c r="MY180" s="20"/>
      <c r="MZ180" s="22"/>
      <c r="NA180" s="20"/>
      <c r="NB180" s="22"/>
      <c r="NC180" s="20"/>
      <c r="ND180" s="22"/>
      <c r="NE180" s="20"/>
      <c r="NF180" s="73"/>
    </row>
    <row r="181" hidden="1">
      <c r="A181" s="237"/>
      <c r="B181" s="267"/>
      <c r="C181" s="277">
        <v>46178.0</v>
      </c>
      <c r="D181" s="280" t="s">
        <v>361</v>
      </c>
      <c r="E181" s="279" t="s">
        <v>47</v>
      </c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73"/>
      <c r="DD181" s="73"/>
      <c r="DE181" s="73"/>
      <c r="DF181" s="73"/>
      <c r="DG181" s="73"/>
      <c r="DH181" s="73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  <c r="DT181" s="73"/>
      <c r="DU181" s="73"/>
      <c r="DV181" s="22"/>
      <c r="DW181" s="20"/>
      <c r="DX181" s="22"/>
      <c r="DY181" s="20"/>
      <c r="DZ181" s="22"/>
      <c r="EA181" s="20"/>
      <c r="EB181" s="22"/>
      <c r="EC181" s="20"/>
      <c r="ED181" s="22"/>
      <c r="EE181" s="20"/>
      <c r="EF181" s="22"/>
      <c r="EG181" s="20"/>
      <c r="EH181" s="22"/>
      <c r="EI181" s="20"/>
      <c r="EJ181" s="22"/>
      <c r="EK181" s="20"/>
      <c r="EL181" s="22"/>
      <c r="EM181" s="20"/>
      <c r="EN181" s="22"/>
      <c r="EO181" s="20"/>
      <c r="EP181" s="22"/>
      <c r="EQ181" s="20"/>
      <c r="ER181" s="22"/>
      <c r="ES181" s="20"/>
      <c r="ET181" s="22"/>
      <c r="EU181" s="20"/>
      <c r="EV181" s="22"/>
      <c r="EW181" s="20"/>
      <c r="EX181" s="22"/>
      <c r="EY181" s="20"/>
      <c r="EZ181" s="22"/>
      <c r="FA181" s="20"/>
      <c r="FB181" s="20">
        <v>2.0</v>
      </c>
      <c r="FC181" s="20"/>
      <c r="FD181" s="22"/>
      <c r="FE181" s="20">
        <v>1.0</v>
      </c>
      <c r="FF181" s="22"/>
      <c r="FG181" s="20"/>
      <c r="FH181" s="22"/>
      <c r="FI181" s="20"/>
      <c r="FJ181" s="22"/>
      <c r="FK181" s="20"/>
      <c r="FL181" s="22"/>
      <c r="FM181" s="20"/>
      <c r="FN181" s="22"/>
      <c r="FO181" s="20"/>
      <c r="FP181" s="22"/>
      <c r="FQ181" s="20"/>
      <c r="FR181" s="22"/>
      <c r="FS181" s="20"/>
      <c r="FT181" s="22"/>
      <c r="FU181" s="20"/>
      <c r="FV181" s="22"/>
      <c r="FW181" s="20"/>
      <c r="FX181" s="22"/>
      <c r="FY181" s="20"/>
      <c r="FZ181" s="22"/>
      <c r="GA181" s="20"/>
      <c r="GB181" s="22"/>
      <c r="GC181" s="20"/>
      <c r="GD181" s="22"/>
      <c r="GE181" s="20"/>
      <c r="GF181" s="22"/>
      <c r="GG181" s="20"/>
      <c r="GH181" s="22"/>
      <c r="GI181" s="20"/>
      <c r="GJ181" s="22"/>
      <c r="GK181" s="20"/>
      <c r="GL181" s="22"/>
      <c r="GM181" s="20"/>
      <c r="GN181" s="22"/>
      <c r="GO181" s="20"/>
      <c r="GP181" s="22"/>
      <c r="GQ181" s="20"/>
      <c r="GR181" s="22"/>
      <c r="GS181" s="20"/>
      <c r="GT181" s="22"/>
      <c r="GU181" s="20"/>
      <c r="GV181" s="22"/>
      <c r="GW181" s="20"/>
      <c r="GX181" s="22"/>
      <c r="GY181" s="20"/>
      <c r="GZ181" s="22"/>
      <c r="HA181" s="20"/>
      <c r="HB181" s="22"/>
      <c r="HC181" s="20"/>
      <c r="HD181" s="22"/>
      <c r="HE181" s="20"/>
      <c r="HF181" s="22"/>
      <c r="HG181" s="20"/>
      <c r="HH181" s="22"/>
      <c r="HI181" s="20"/>
      <c r="HJ181" s="22"/>
      <c r="HK181" s="20"/>
      <c r="HL181" s="22"/>
      <c r="HM181" s="20"/>
      <c r="HN181" s="22"/>
      <c r="HO181" s="20"/>
      <c r="HP181" s="22"/>
      <c r="HQ181" s="20"/>
      <c r="HR181" s="22"/>
      <c r="HS181" s="20"/>
      <c r="HT181" s="22"/>
      <c r="HU181" s="20"/>
      <c r="HV181" s="22"/>
      <c r="HW181" s="20"/>
      <c r="HX181" s="22"/>
      <c r="HY181" s="20"/>
      <c r="HZ181" s="22"/>
      <c r="IA181" s="20"/>
      <c r="IB181" s="22"/>
      <c r="IC181" s="20"/>
      <c r="ID181" s="22"/>
      <c r="IE181" s="20"/>
      <c r="IF181" s="22"/>
      <c r="IG181" s="20"/>
      <c r="IH181" s="22"/>
      <c r="II181" s="20"/>
      <c r="IJ181" s="22"/>
      <c r="IK181" s="20"/>
      <c r="IL181" s="22"/>
      <c r="IM181" s="20"/>
      <c r="IN181" s="22"/>
      <c r="IO181" s="20"/>
      <c r="IP181" s="22"/>
      <c r="IQ181" s="20"/>
      <c r="IR181" s="22"/>
      <c r="IS181" s="20"/>
      <c r="IT181" s="22"/>
      <c r="IU181" s="20"/>
      <c r="IV181" s="22"/>
      <c r="IW181" s="20"/>
      <c r="IX181" s="22"/>
      <c r="IY181" s="20"/>
      <c r="IZ181" s="22"/>
      <c r="JA181" s="20"/>
      <c r="JB181" s="22"/>
      <c r="JC181" s="20"/>
      <c r="JD181" s="22"/>
      <c r="JE181" s="20"/>
      <c r="JF181" s="22"/>
      <c r="JG181" s="20"/>
      <c r="JH181" s="22"/>
      <c r="JI181" s="20"/>
      <c r="JJ181" s="22"/>
      <c r="JK181" s="20"/>
      <c r="JL181" s="22"/>
      <c r="JM181" s="20"/>
      <c r="JN181" s="22"/>
      <c r="JO181" s="20"/>
      <c r="JP181" s="22"/>
      <c r="JQ181" s="20"/>
      <c r="JR181" s="22"/>
      <c r="JS181" s="20"/>
      <c r="JT181" s="22"/>
      <c r="JU181" s="20"/>
      <c r="JV181" s="22"/>
      <c r="JW181" s="20"/>
      <c r="JX181" s="22"/>
      <c r="JY181" s="20"/>
      <c r="JZ181" s="22"/>
      <c r="KA181" s="20"/>
      <c r="KB181" s="22"/>
      <c r="KC181" s="20"/>
      <c r="KD181" s="22"/>
      <c r="KE181" s="20"/>
      <c r="KF181" s="22"/>
      <c r="KG181" s="20"/>
      <c r="KH181" s="22"/>
      <c r="KI181" s="20"/>
      <c r="KJ181" s="22"/>
      <c r="KK181" s="20"/>
      <c r="KL181" s="22"/>
      <c r="KM181" s="20"/>
      <c r="KN181" s="22"/>
      <c r="KO181" s="20"/>
      <c r="KP181" s="22"/>
      <c r="KQ181" s="20"/>
      <c r="KR181" s="22"/>
      <c r="KS181" s="20"/>
      <c r="KT181" s="22"/>
      <c r="KU181" s="20"/>
      <c r="KV181" s="22"/>
      <c r="KW181" s="20"/>
      <c r="KX181" s="22"/>
      <c r="KY181" s="20"/>
      <c r="KZ181" s="22"/>
      <c r="LA181" s="20"/>
      <c r="LB181" s="22"/>
      <c r="LC181" s="20"/>
      <c r="LD181" s="22"/>
      <c r="LE181" s="20"/>
      <c r="LF181" s="22"/>
      <c r="LG181" s="20"/>
      <c r="LH181" s="22"/>
      <c r="LI181" s="20"/>
      <c r="LJ181" s="22"/>
      <c r="LK181" s="20"/>
      <c r="LL181" s="22"/>
      <c r="LM181" s="20"/>
      <c r="LN181" s="22"/>
      <c r="LO181" s="20"/>
      <c r="LP181" s="22"/>
      <c r="LQ181" s="20"/>
      <c r="LR181" s="22"/>
      <c r="LS181" s="20"/>
      <c r="LT181" s="22"/>
      <c r="LU181" s="20"/>
      <c r="LV181" s="22"/>
      <c r="LW181" s="20"/>
      <c r="LX181" s="22"/>
      <c r="LY181" s="20"/>
      <c r="LZ181" s="22"/>
      <c r="MA181" s="20"/>
      <c r="MB181" s="22"/>
      <c r="MC181" s="20"/>
      <c r="MD181" s="22"/>
      <c r="ME181" s="20"/>
      <c r="MF181" s="22"/>
      <c r="MG181" s="20"/>
      <c r="MH181" s="22"/>
      <c r="MI181" s="20"/>
      <c r="MJ181" s="22"/>
      <c r="MK181" s="20"/>
      <c r="ML181" s="22"/>
      <c r="MM181" s="20"/>
      <c r="MN181" s="22"/>
      <c r="MO181" s="20"/>
      <c r="MP181" s="22"/>
      <c r="MQ181" s="20"/>
      <c r="MR181" s="22"/>
      <c r="MS181" s="20"/>
      <c r="MT181" s="22"/>
      <c r="MU181" s="20"/>
      <c r="MV181" s="22"/>
      <c r="MW181" s="20"/>
      <c r="MX181" s="22"/>
      <c r="MY181" s="20"/>
      <c r="MZ181" s="22"/>
      <c r="NA181" s="20"/>
      <c r="NB181" s="22"/>
      <c r="NC181" s="20"/>
      <c r="ND181" s="22"/>
      <c r="NE181" s="20"/>
      <c r="NF181" s="73"/>
    </row>
    <row r="182" hidden="1">
      <c r="A182" s="237"/>
      <c r="B182" s="267"/>
      <c r="C182" s="277">
        <v>46175.0</v>
      </c>
      <c r="D182" s="280" t="s">
        <v>362</v>
      </c>
      <c r="E182" s="279" t="s">
        <v>47</v>
      </c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73"/>
      <c r="DD182" s="73"/>
      <c r="DE182" s="73"/>
      <c r="DF182" s="73"/>
      <c r="DG182" s="73"/>
      <c r="DH182" s="73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  <c r="DT182" s="73"/>
      <c r="DU182" s="73"/>
      <c r="DV182" s="22"/>
      <c r="DW182" s="20"/>
      <c r="DX182" s="22"/>
      <c r="DY182" s="20"/>
      <c r="DZ182" s="22"/>
      <c r="EA182" s="20"/>
      <c r="EB182" s="22"/>
      <c r="EC182" s="20"/>
      <c r="ED182" s="22"/>
      <c r="EE182" s="20"/>
      <c r="EF182" s="22"/>
      <c r="EG182" s="20"/>
      <c r="EH182" s="22"/>
      <c r="EI182" s="20"/>
      <c r="EJ182" s="22"/>
      <c r="EK182" s="20"/>
      <c r="EL182" s="22"/>
      <c r="EM182" s="20"/>
      <c r="EN182" s="22"/>
      <c r="EO182" s="20"/>
      <c r="EP182" s="22"/>
      <c r="EQ182" s="20"/>
      <c r="ER182" s="22"/>
      <c r="ES182" s="20"/>
      <c r="ET182" s="22"/>
      <c r="EU182" s="20"/>
      <c r="EV182" s="22"/>
      <c r="EW182" s="20"/>
      <c r="EX182" s="22"/>
      <c r="EY182" s="20"/>
      <c r="EZ182" s="22"/>
      <c r="FA182" s="20">
        <v>1.0</v>
      </c>
      <c r="FB182" s="20">
        <v>1.0</v>
      </c>
      <c r="FC182" s="20"/>
      <c r="FD182" s="22"/>
      <c r="FE182" s="20"/>
      <c r="FF182" s="22"/>
      <c r="FG182" s="20"/>
      <c r="FH182" s="22"/>
      <c r="FI182" s="20"/>
      <c r="FJ182" s="22"/>
      <c r="FK182" s="20"/>
      <c r="FL182" s="22"/>
      <c r="FM182" s="20"/>
      <c r="FN182" s="22"/>
      <c r="FO182" s="20"/>
      <c r="FP182" s="22"/>
      <c r="FQ182" s="20"/>
      <c r="FR182" s="22"/>
      <c r="FS182" s="20"/>
      <c r="FT182" s="22"/>
      <c r="FU182" s="20"/>
      <c r="FV182" s="22"/>
      <c r="FW182" s="20"/>
      <c r="FX182" s="22"/>
      <c r="FY182" s="20"/>
      <c r="FZ182" s="22"/>
      <c r="GA182" s="20"/>
      <c r="GB182" s="22"/>
      <c r="GC182" s="20"/>
      <c r="GD182" s="22"/>
      <c r="GE182" s="20"/>
      <c r="GF182" s="22"/>
      <c r="GG182" s="20"/>
      <c r="GH182" s="22"/>
      <c r="GI182" s="20"/>
      <c r="GJ182" s="22"/>
      <c r="GK182" s="20"/>
      <c r="GL182" s="22"/>
      <c r="GM182" s="20"/>
      <c r="GN182" s="22"/>
      <c r="GO182" s="20"/>
      <c r="GP182" s="22"/>
      <c r="GQ182" s="20"/>
      <c r="GR182" s="22"/>
      <c r="GS182" s="20"/>
      <c r="GT182" s="22"/>
      <c r="GU182" s="20"/>
      <c r="GV182" s="22"/>
      <c r="GW182" s="20"/>
      <c r="GX182" s="22"/>
      <c r="GY182" s="20"/>
      <c r="GZ182" s="22"/>
      <c r="HA182" s="20"/>
      <c r="HB182" s="22"/>
      <c r="HC182" s="20"/>
      <c r="HD182" s="22"/>
      <c r="HE182" s="20"/>
      <c r="HF182" s="22"/>
      <c r="HG182" s="20"/>
      <c r="HH182" s="22"/>
      <c r="HI182" s="20"/>
      <c r="HJ182" s="22"/>
      <c r="HK182" s="20"/>
      <c r="HL182" s="22"/>
      <c r="HM182" s="20"/>
      <c r="HN182" s="22"/>
      <c r="HO182" s="20"/>
      <c r="HP182" s="22"/>
      <c r="HQ182" s="20"/>
      <c r="HR182" s="22"/>
      <c r="HS182" s="20"/>
      <c r="HT182" s="22"/>
      <c r="HU182" s="20"/>
      <c r="HV182" s="22"/>
      <c r="HW182" s="20"/>
      <c r="HX182" s="22"/>
      <c r="HY182" s="20"/>
      <c r="HZ182" s="22"/>
      <c r="IA182" s="20"/>
      <c r="IB182" s="22"/>
      <c r="IC182" s="20"/>
      <c r="ID182" s="22"/>
      <c r="IE182" s="20"/>
      <c r="IF182" s="22"/>
      <c r="IG182" s="20"/>
      <c r="IH182" s="22"/>
      <c r="II182" s="20"/>
      <c r="IJ182" s="22"/>
      <c r="IK182" s="20"/>
      <c r="IL182" s="22"/>
      <c r="IM182" s="20"/>
      <c r="IN182" s="22"/>
      <c r="IO182" s="20"/>
      <c r="IP182" s="22"/>
      <c r="IQ182" s="20"/>
      <c r="IR182" s="22"/>
      <c r="IS182" s="20"/>
      <c r="IT182" s="22"/>
      <c r="IU182" s="20"/>
      <c r="IV182" s="22"/>
      <c r="IW182" s="20"/>
      <c r="IX182" s="22"/>
      <c r="IY182" s="20"/>
      <c r="IZ182" s="22"/>
      <c r="JA182" s="20"/>
      <c r="JB182" s="22"/>
      <c r="JC182" s="20"/>
      <c r="JD182" s="22"/>
      <c r="JE182" s="20"/>
      <c r="JF182" s="22"/>
      <c r="JG182" s="20"/>
      <c r="JH182" s="22"/>
      <c r="JI182" s="20"/>
      <c r="JJ182" s="22"/>
      <c r="JK182" s="20"/>
      <c r="JL182" s="22"/>
      <c r="JM182" s="20"/>
      <c r="JN182" s="22"/>
      <c r="JO182" s="20"/>
      <c r="JP182" s="22"/>
      <c r="JQ182" s="20"/>
      <c r="JR182" s="22"/>
      <c r="JS182" s="20"/>
      <c r="JT182" s="22"/>
      <c r="JU182" s="20"/>
      <c r="JV182" s="22"/>
      <c r="JW182" s="20"/>
      <c r="JX182" s="22"/>
      <c r="JY182" s="20"/>
      <c r="JZ182" s="22"/>
      <c r="KA182" s="20"/>
      <c r="KB182" s="22"/>
      <c r="KC182" s="20"/>
      <c r="KD182" s="22"/>
      <c r="KE182" s="20"/>
      <c r="KF182" s="22"/>
      <c r="KG182" s="20"/>
      <c r="KH182" s="22"/>
      <c r="KI182" s="20"/>
      <c r="KJ182" s="22"/>
      <c r="KK182" s="20"/>
      <c r="KL182" s="22"/>
      <c r="KM182" s="20"/>
      <c r="KN182" s="22"/>
      <c r="KO182" s="20"/>
      <c r="KP182" s="22"/>
      <c r="KQ182" s="20"/>
      <c r="KR182" s="22"/>
      <c r="KS182" s="20"/>
      <c r="KT182" s="22"/>
      <c r="KU182" s="20"/>
      <c r="KV182" s="22"/>
      <c r="KW182" s="20"/>
      <c r="KX182" s="22"/>
      <c r="KY182" s="20"/>
      <c r="KZ182" s="22"/>
      <c r="LA182" s="20"/>
      <c r="LB182" s="22"/>
      <c r="LC182" s="20"/>
      <c r="LD182" s="22"/>
      <c r="LE182" s="20"/>
      <c r="LF182" s="22"/>
      <c r="LG182" s="20"/>
      <c r="LH182" s="22"/>
      <c r="LI182" s="20"/>
      <c r="LJ182" s="22"/>
      <c r="LK182" s="20"/>
      <c r="LL182" s="22"/>
      <c r="LM182" s="20"/>
      <c r="LN182" s="22"/>
      <c r="LO182" s="20"/>
      <c r="LP182" s="22"/>
      <c r="LQ182" s="20"/>
      <c r="LR182" s="22"/>
      <c r="LS182" s="20"/>
      <c r="LT182" s="22"/>
      <c r="LU182" s="20"/>
      <c r="LV182" s="22"/>
      <c r="LW182" s="20"/>
      <c r="LX182" s="22"/>
      <c r="LY182" s="20"/>
      <c r="LZ182" s="22"/>
      <c r="MA182" s="20"/>
      <c r="MB182" s="22"/>
      <c r="MC182" s="20"/>
      <c r="MD182" s="22"/>
      <c r="ME182" s="20"/>
      <c r="MF182" s="22"/>
      <c r="MG182" s="20"/>
      <c r="MH182" s="22"/>
      <c r="MI182" s="20"/>
      <c r="MJ182" s="22"/>
      <c r="MK182" s="20"/>
      <c r="ML182" s="22"/>
      <c r="MM182" s="20"/>
      <c r="MN182" s="22"/>
      <c r="MO182" s="20"/>
      <c r="MP182" s="22"/>
      <c r="MQ182" s="20"/>
      <c r="MR182" s="22"/>
      <c r="MS182" s="20"/>
      <c r="MT182" s="22"/>
      <c r="MU182" s="20"/>
      <c r="MV182" s="22"/>
      <c r="MW182" s="20"/>
      <c r="MX182" s="22"/>
      <c r="MY182" s="20"/>
      <c r="MZ182" s="22"/>
      <c r="NA182" s="20"/>
      <c r="NB182" s="22"/>
      <c r="NC182" s="20"/>
      <c r="ND182" s="22"/>
      <c r="NE182" s="20"/>
      <c r="NF182" s="73"/>
    </row>
    <row r="183" hidden="1">
      <c r="A183" s="237"/>
      <c r="B183" s="267"/>
      <c r="C183" s="277">
        <v>46181.0</v>
      </c>
      <c r="D183" s="281" t="s">
        <v>363</v>
      </c>
      <c r="E183" s="279" t="s">
        <v>47</v>
      </c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  <c r="CK183" s="73"/>
      <c r="CL183" s="73"/>
      <c r="CM183" s="73"/>
      <c r="CN183" s="73"/>
      <c r="CO183" s="73"/>
      <c r="CP183" s="73"/>
      <c r="CQ183" s="73"/>
      <c r="CR183" s="73"/>
      <c r="CS183" s="73"/>
      <c r="CT183" s="73"/>
      <c r="CU183" s="73"/>
      <c r="CV183" s="73"/>
      <c r="CW183" s="73"/>
      <c r="CX183" s="73"/>
      <c r="CY183" s="73"/>
      <c r="CZ183" s="73"/>
      <c r="DA183" s="73"/>
      <c r="DB183" s="73"/>
      <c r="DC183" s="73"/>
      <c r="DD183" s="73"/>
      <c r="DE183" s="73"/>
      <c r="DF183" s="73"/>
      <c r="DG183" s="73"/>
      <c r="DH183" s="73"/>
      <c r="DI183" s="73"/>
      <c r="DJ183" s="73"/>
      <c r="DK183" s="73"/>
      <c r="DL183" s="73"/>
      <c r="DM183" s="73"/>
      <c r="DN183" s="73"/>
      <c r="DO183" s="73"/>
      <c r="DP183" s="73"/>
      <c r="DQ183" s="73"/>
      <c r="DR183" s="73"/>
      <c r="DS183" s="73"/>
      <c r="DT183" s="73"/>
      <c r="DU183" s="73"/>
      <c r="DV183" s="22"/>
      <c r="DW183" s="20"/>
      <c r="DX183" s="22"/>
      <c r="DY183" s="20"/>
      <c r="DZ183" s="22"/>
      <c r="EA183" s="20"/>
      <c r="EB183" s="22"/>
      <c r="EC183" s="20"/>
      <c r="ED183" s="22"/>
      <c r="EE183" s="20"/>
      <c r="EF183" s="22"/>
      <c r="EG183" s="20"/>
      <c r="EH183" s="22"/>
      <c r="EI183" s="20"/>
      <c r="EJ183" s="22"/>
      <c r="EK183" s="20"/>
      <c r="EL183" s="22"/>
      <c r="EM183" s="20"/>
      <c r="EN183" s="22"/>
      <c r="EO183" s="20"/>
      <c r="EP183" s="22"/>
      <c r="EQ183" s="20"/>
      <c r="ER183" s="22"/>
      <c r="ES183" s="20"/>
      <c r="ET183" s="22"/>
      <c r="EU183" s="20"/>
      <c r="EV183" s="22"/>
      <c r="EW183" s="20"/>
      <c r="EX183" s="22"/>
      <c r="EY183" s="20"/>
      <c r="EZ183" s="22"/>
      <c r="FA183" s="20"/>
      <c r="FB183" s="20">
        <v>1.0</v>
      </c>
      <c r="FC183" s="20"/>
      <c r="FD183" s="20">
        <v>1.0</v>
      </c>
      <c r="FE183" s="20">
        <v>2.0</v>
      </c>
      <c r="FF183" s="22"/>
      <c r="FG183" s="20"/>
      <c r="FH183" s="22"/>
      <c r="FI183" s="20"/>
      <c r="FJ183" s="22"/>
      <c r="FK183" s="20"/>
      <c r="FL183" s="22"/>
      <c r="FM183" s="20"/>
      <c r="FN183" s="22"/>
      <c r="FO183" s="20"/>
      <c r="FP183" s="22"/>
      <c r="FQ183" s="20"/>
      <c r="FR183" s="22"/>
      <c r="FS183" s="20"/>
      <c r="FT183" s="22"/>
      <c r="FU183" s="20"/>
      <c r="FV183" s="22"/>
      <c r="FW183" s="20"/>
      <c r="FX183" s="22"/>
      <c r="FY183" s="20"/>
      <c r="FZ183" s="22"/>
      <c r="GA183" s="20"/>
      <c r="GB183" s="22"/>
      <c r="GC183" s="20"/>
      <c r="GD183" s="22"/>
      <c r="GE183" s="20"/>
      <c r="GF183" s="22"/>
      <c r="GG183" s="20"/>
      <c r="GH183" s="22"/>
      <c r="GI183" s="20"/>
      <c r="GJ183" s="22"/>
      <c r="GK183" s="20"/>
      <c r="GL183" s="22"/>
      <c r="GM183" s="20"/>
      <c r="GN183" s="22"/>
      <c r="GO183" s="20"/>
      <c r="GP183" s="22"/>
      <c r="GQ183" s="20"/>
      <c r="GR183" s="22"/>
      <c r="GS183" s="20"/>
      <c r="GT183" s="22"/>
      <c r="GU183" s="20"/>
      <c r="GV183" s="22"/>
      <c r="GW183" s="20"/>
      <c r="GX183" s="22"/>
      <c r="GY183" s="20"/>
      <c r="GZ183" s="22"/>
      <c r="HA183" s="20"/>
      <c r="HB183" s="22"/>
      <c r="HC183" s="20"/>
      <c r="HD183" s="22"/>
      <c r="HE183" s="20"/>
      <c r="HF183" s="22"/>
      <c r="HG183" s="20"/>
      <c r="HH183" s="22"/>
      <c r="HI183" s="20"/>
      <c r="HJ183" s="22"/>
      <c r="HK183" s="20"/>
      <c r="HL183" s="22"/>
      <c r="HM183" s="20"/>
      <c r="HN183" s="22"/>
      <c r="HO183" s="20"/>
      <c r="HP183" s="22"/>
      <c r="HQ183" s="20"/>
      <c r="HR183" s="22"/>
      <c r="HS183" s="20"/>
      <c r="HT183" s="22"/>
      <c r="HU183" s="20"/>
      <c r="HV183" s="22"/>
      <c r="HW183" s="20"/>
      <c r="HX183" s="22"/>
      <c r="HY183" s="20"/>
      <c r="HZ183" s="22"/>
      <c r="IA183" s="20"/>
      <c r="IB183" s="22"/>
      <c r="IC183" s="20"/>
      <c r="ID183" s="22"/>
      <c r="IE183" s="20"/>
      <c r="IF183" s="22"/>
      <c r="IG183" s="20"/>
      <c r="IH183" s="22"/>
      <c r="II183" s="20"/>
      <c r="IJ183" s="22"/>
      <c r="IK183" s="20"/>
      <c r="IL183" s="22"/>
      <c r="IM183" s="20"/>
      <c r="IN183" s="22"/>
      <c r="IO183" s="20"/>
      <c r="IP183" s="22"/>
      <c r="IQ183" s="20"/>
      <c r="IR183" s="22"/>
      <c r="IS183" s="20"/>
      <c r="IT183" s="22"/>
      <c r="IU183" s="20"/>
      <c r="IV183" s="22"/>
      <c r="IW183" s="20"/>
      <c r="IX183" s="22"/>
      <c r="IY183" s="20"/>
      <c r="IZ183" s="22"/>
      <c r="JA183" s="20"/>
      <c r="JB183" s="22"/>
      <c r="JC183" s="20"/>
      <c r="JD183" s="22"/>
      <c r="JE183" s="20"/>
      <c r="JF183" s="22"/>
      <c r="JG183" s="20"/>
      <c r="JH183" s="22"/>
      <c r="JI183" s="20"/>
      <c r="JJ183" s="22"/>
      <c r="JK183" s="20"/>
      <c r="JL183" s="22"/>
      <c r="JM183" s="20"/>
      <c r="JN183" s="22"/>
      <c r="JO183" s="20"/>
      <c r="JP183" s="22"/>
      <c r="JQ183" s="20"/>
      <c r="JR183" s="22"/>
      <c r="JS183" s="20"/>
      <c r="JT183" s="22"/>
      <c r="JU183" s="20"/>
      <c r="JV183" s="22"/>
      <c r="JW183" s="20"/>
      <c r="JX183" s="22"/>
      <c r="JY183" s="20"/>
      <c r="JZ183" s="22"/>
      <c r="KA183" s="20"/>
      <c r="KB183" s="22"/>
      <c r="KC183" s="20"/>
      <c r="KD183" s="22"/>
      <c r="KE183" s="20"/>
      <c r="KF183" s="22"/>
      <c r="KG183" s="20"/>
      <c r="KH183" s="22"/>
      <c r="KI183" s="20"/>
      <c r="KJ183" s="22"/>
      <c r="KK183" s="20"/>
      <c r="KL183" s="22"/>
      <c r="KM183" s="20"/>
      <c r="KN183" s="22"/>
      <c r="KO183" s="20"/>
      <c r="KP183" s="22"/>
      <c r="KQ183" s="20"/>
      <c r="KR183" s="22"/>
      <c r="KS183" s="20"/>
      <c r="KT183" s="22"/>
      <c r="KU183" s="20"/>
      <c r="KV183" s="22"/>
      <c r="KW183" s="20"/>
      <c r="KX183" s="22"/>
      <c r="KY183" s="20"/>
      <c r="KZ183" s="22"/>
      <c r="LA183" s="20"/>
      <c r="LB183" s="22"/>
      <c r="LC183" s="20"/>
      <c r="LD183" s="22"/>
      <c r="LE183" s="20"/>
      <c r="LF183" s="22"/>
      <c r="LG183" s="20"/>
      <c r="LH183" s="22"/>
      <c r="LI183" s="20"/>
      <c r="LJ183" s="22"/>
      <c r="LK183" s="20"/>
      <c r="LL183" s="22"/>
      <c r="LM183" s="20"/>
      <c r="LN183" s="22"/>
      <c r="LO183" s="20"/>
      <c r="LP183" s="22"/>
      <c r="LQ183" s="20"/>
      <c r="LR183" s="22"/>
      <c r="LS183" s="20"/>
      <c r="LT183" s="22"/>
      <c r="LU183" s="20"/>
      <c r="LV183" s="22"/>
      <c r="LW183" s="20"/>
      <c r="LX183" s="22"/>
      <c r="LY183" s="20"/>
      <c r="LZ183" s="22"/>
      <c r="MA183" s="20"/>
      <c r="MB183" s="22"/>
      <c r="MC183" s="20"/>
      <c r="MD183" s="22"/>
      <c r="ME183" s="20"/>
      <c r="MF183" s="22"/>
      <c r="MG183" s="20"/>
      <c r="MH183" s="22"/>
      <c r="MI183" s="20"/>
      <c r="MJ183" s="22"/>
      <c r="MK183" s="20"/>
      <c r="ML183" s="22"/>
      <c r="MM183" s="20"/>
      <c r="MN183" s="22"/>
      <c r="MO183" s="20"/>
      <c r="MP183" s="22"/>
      <c r="MQ183" s="20"/>
      <c r="MR183" s="22"/>
      <c r="MS183" s="20"/>
      <c r="MT183" s="22"/>
      <c r="MU183" s="20"/>
      <c r="MV183" s="22"/>
      <c r="MW183" s="20"/>
      <c r="MX183" s="22"/>
      <c r="MY183" s="20"/>
      <c r="MZ183" s="22"/>
      <c r="NA183" s="20"/>
      <c r="NB183" s="22"/>
      <c r="NC183" s="20"/>
      <c r="ND183" s="22"/>
      <c r="NE183" s="20"/>
      <c r="NF183" s="73"/>
    </row>
    <row r="184" hidden="1">
      <c r="A184" s="237"/>
      <c r="B184" s="267"/>
      <c r="C184" s="277">
        <v>46177.0</v>
      </c>
      <c r="D184" s="280" t="s">
        <v>364</v>
      </c>
      <c r="E184" s="279" t="s">
        <v>47</v>
      </c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73"/>
      <c r="CT184" s="73"/>
      <c r="CU184" s="73"/>
      <c r="CV184" s="73"/>
      <c r="CW184" s="73"/>
      <c r="CX184" s="73"/>
      <c r="CY184" s="73"/>
      <c r="CZ184" s="73"/>
      <c r="DA184" s="73"/>
      <c r="DB184" s="73"/>
      <c r="DC184" s="73"/>
      <c r="DD184" s="73"/>
      <c r="DE184" s="73"/>
      <c r="DF184" s="73"/>
      <c r="DG184" s="73"/>
      <c r="DH184" s="73"/>
      <c r="DI184" s="73"/>
      <c r="DJ184" s="73"/>
      <c r="DK184" s="73"/>
      <c r="DL184" s="73"/>
      <c r="DM184" s="73"/>
      <c r="DN184" s="73"/>
      <c r="DO184" s="73"/>
      <c r="DP184" s="73"/>
      <c r="DQ184" s="73"/>
      <c r="DR184" s="73"/>
      <c r="DS184" s="73"/>
      <c r="DT184" s="73"/>
      <c r="DU184" s="73"/>
      <c r="DV184" s="22"/>
      <c r="DW184" s="20"/>
      <c r="DX184" s="22"/>
      <c r="DY184" s="20"/>
      <c r="DZ184" s="22"/>
      <c r="EA184" s="20"/>
      <c r="EB184" s="22"/>
      <c r="EC184" s="20"/>
      <c r="ED184" s="22"/>
      <c r="EE184" s="20"/>
      <c r="EF184" s="22"/>
      <c r="EG184" s="20"/>
      <c r="EH184" s="22"/>
      <c r="EI184" s="20"/>
      <c r="EJ184" s="22"/>
      <c r="EK184" s="20"/>
      <c r="EL184" s="22"/>
      <c r="EM184" s="20"/>
      <c r="EN184" s="22"/>
      <c r="EO184" s="20"/>
      <c r="EP184" s="22"/>
      <c r="EQ184" s="20"/>
      <c r="ER184" s="22"/>
      <c r="ES184" s="20"/>
      <c r="ET184" s="22"/>
      <c r="EU184" s="20"/>
      <c r="EV184" s="22"/>
      <c r="EW184" s="20"/>
      <c r="EX184" s="22"/>
      <c r="EY184" s="20"/>
      <c r="EZ184" s="22"/>
      <c r="FA184" s="20"/>
      <c r="FB184" s="22"/>
      <c r="FC184" s="20"/>
      <c r="FD184" s="20">
        <v>3.0</v>
      </c>
      <c r="FE184" s="20"/>
      <c r="FF184" s="22"/>
      <c r="FG184" s="20"/>
      <c r="FH184" s="22"/>
      <c r="FI184" s="20"/>
      <c r="FJ184" s="22"/>
      <c r="FK184" s="20"/>
      <c r="FL184" s="22"/>
      <c r="FM184" s="20"/>
      <c r="FN184" s="22"/>
      <c r="FO184" s="20"/>
      <c r="FP184" s="22"/>
      <c r="FQ184" s="20"/>
      <c r="FR184" s="22"/>
      <c r="FS184" s="20"/>
      <c r="FT184" s="22"/>
      <c r="FU184" s="20"/>
      <c r="FV184" s="22"/>
      <c r="FW184" s="20"/>
      <c r="FX184" s="22"/>
      <c r="FY184" s="20"/>
      <c r="FZ184" s="22"/>
      <c r="GA184" s="20"/>
      <c r="GB184" s="22"/>
      <c r="GC184" s="20"/>
      <c r="GD184" s="22"/>
      <c r="GE184" s="20"/>
      <c r="GF184" s="22"/>
      <c r="GG184" s="20"/>
      <c r="GH184" s="22"/>
      <c r="GI184" s="20"/>
      <c r="GJ184" s="22"/>
      <c r="GK184" s="20"/>
      <c r="GL184" s="22"/>
      <c r="GM184" s="20"/>
      <c r="GN184" s="22"/>
      <c r="GO184" s="20"/>
      <c r="GP184" s="22"/>
      <c r="GQ184" s="20"/>
      <c r="GR184" s="22"/>
      <c r="GS184" s="20"/>
      <c r="GT184" s="22"/>
      <c r="GU184" s="20"/>
      <c r="GV184" s="22"/>
      <c r="GW184" s="20"/>
      <c r="GX184" s="22"/>
      <c r="GY184" s="20"/>
      <c r="GZ184" s="22"/>
      <c r="HA184" s="20"/>
      <c r="HB184" s="22"/>
      <c r="HC184" s="20"/>
      <c r="HD184" s="22"/>
      <c r="HE184" s="20"/>
      <c r="HF184" s="22"/>
      <c r="HG184" s="20"/>
      <c r="HH184" s="22"/>
      <c r="HI184" s="20"/>
      <c r="HJ184" s="22"/>
      <c r="HK184" s="20"/>
      <c r="HL184" s="22"/>
      <c r="HM184" s="20"/>
      <c r="HN184" s="22"/>
      <c r="HO184" s="20"/>
      <c r="HP184" s="22"/>
      <c r="HQ184" s="20"/>
      <c r="HR184" s="22"/>
      <c r="HS184" s="20"/>
      <c r="HT184" s="22"/>
      <c r="HU184" s="20"/>
      <c r="HV184" s="22"/>
      <c r="HW184" s="20"/>
      <c r="HX184" s="22"/>
      <c r="HY184" s="20"/>
      <c r="HZ184" s="22"/>
      <c r="IA184" s="20"/>
      <c r="IB184" s="22"/>
      <c r="IC184" s="20"/>
      <c r="ID184" s="22"/>
      <c r="IE184" s="20"/>
      <c r="IF184" s="22"/>
      <c r="IG184" s="20"/>
      <c r="IH184" s="22"/>
      <c r="II184" s="20"/>
      <c r="IJ184" s="22"/>
      <c r="IK184" s="20"/>
      <c r="IL184" s="22"/>
      <c r="IM184" s="20"/>
      <c r="IN184" s="22"/>
      <c r="IO184" s="20"/>
      <c r="IP184" s="22"/>
      <c r="IQ184" s="20"/>
      <c r="IR184" s="22"/>
      <c r="IS184" s="20"/>
      <c r="IT184" s="22"/>
      <c r="IU184" s="20"/>
      <c r="IV184" s="22"/>
      <c r="IW184" s="20"/>
      <c r="IX184" s="22"/>
      <c r="IY184" s="20"/>
      <c r="IZ184" s="22"/>
      <c r="JA184" s="20"/>
      <c r="JB184" s="22"/>
      <c r="JC184" s="20"/>
      <c r="JD184" s="22"/>
      <c r="JE184" s="20"/>
      <c r="JF184" s="22"/>
      <c r="JG184" s="20"/>
      <c r="JH184" s="22"/>
      <c r="JI184" s="20"/>
      <c r="JJ184" s="22"/>
      <c r="JK184" s="20"/>
      <c r="JL184" s="22"/>
      <c r="JM184" s="20"/>
      <c r="JN184" s="22"/>
      <c r="JO184" s="20"/>
      <c r="JP184" s="22"/>
      <c r="JQ184" s="20"/>
      <c r="JR184" s="22"/>
      <c r="JS184" s="20"/>
      <c r="JT184" s="22"/>
      <c r="JU184" s="20"/>
      <c r="JV184" s="22"/>
      <c r="JW184" s="20"/>
      <c r="JX184" s="22"/>
      <c r="JY184" s="20"/>
      <c r="JZ184" s="22"/>
      <c r="KA184" s="20"/>
      <c r="KB184" s="22"/>
      <c r="KC184" s="20"/>
      <c r="KD184" s="22"/>
      <c r="KE184" s="20"/>
      <c r="KF184" s="22"/>
      <c r="KG184" s="20"/>
      <c r="KH184" s="22"/>
      <c r="KI184" s="20"/>
      <c r="KJ184" s="22"/>
      <c r="KK184" s="20"/>
      <c r="KL184" s="22"/>
      <c r="KM184" s="20"/>
      <c r="KN184" s="22"/>
      <c r="KO184" s="20"/>
      <c r="KP184" s="22"/>
      <c r="KQ184" s="20"/>
      <c r="KR184" s="22"/>
      <c r="KS184" s="20"/>
      <c r="KT184" s="22"/>
      <c r="KU184" s="20"/>
      <c r="KV184" s="22"/>
      <c r="KW184" s="20"/>
      <c r="KX184" s="22"/>
      <c r="KY184" s="20"/>
      <c r="KZ184" s="22"/>
      <c r="LA184" s="20"/>
      <c r="LB184" s="22"/>
      <c r="LC184" s="20"/>
      <c r="LD184" s="22"/>
      <c r="LE184" s="20"/>
      <c r="LF184" s="22"/>
      <c r="LG184" s="20"/>
      <c r="LH184" s="22"/>
      <c r="LI184" s="20"/>
      <c r="LJ184" s="22"/>
      <c r="LK184" s="20"/>
      <c r="LL184" s="22"/>
      <c r="LM184" s="20"/>
      <c r="LN184" s="22"/>
      <c r="LO184" s="20"/>
      <c r="LP184" s="22"/>
      <c r="LQ184" s="20"/>
      <c r="LR184" s="22"/>
      <c r="LS184" s="20"/>
      <c r="LT184" s="22"/>
      <c r="LU184" s="20"/>
      <c r="LV184" s="22"/>
      <c r="LW184" s="20"/>
      <c r="LX184" s="22"/>
      <c r="LY184" s="20"/>
      <c r="LZ184" s="22"/>
      <c r="MA184" s="20"/>
      <c r="MB184" s="22"/>
      <c r="MC184" s="20"/>
      <c r="MD184" s="22"/>
      <c r="ME184" s="20"/>
      <c r="MF184" s="22"/>
      <c r="MG184" s="20"/>
      <c r="MH184" s="22"/>
      <c r="MI184" s="20"/>
      <c r="MJ184" s="22"/>
      <c r="MK184" s="20"/>
      <c r="ML184" s="22"/>
      <c r="MM184" s="20"/>
      <c r="MN184" s="22"/>
      <c r="MO184" s="20"/>
      <c r="MP184" s="22"/>
      <c r="MQ184" s="20"/>
      <c r="MR184" s="22"/>
      <c r="MS184" s="20"/>
      <c r="MT184" s="22"/>
      <c r="MU184" s="20"/>
      <c r="MV184" s="22"/>
      <c r="MW184" s="20"/>
      <c r="MX184" s="22"/>
      <c r="MY184" s="20"/>
      <c r="MZ184" s="22"/>
      <c r="NA184" s="20"/>
      <c r="NB184" s="22"/>
      <c r="NC184" s="20"/>
      <c r="ND184" s="22"/>
      <c r="NE184" s="20"/>
      <c r="NF184" s="73"/>
    </row>
    <row r="185" hidden="1">
      <c r="A185" s="237"/>
      <c r="B185" s="267"/>
      <c r="C185" s="277">
        <v>46191.0</v>
      </c>
      <c r="D185" s="280" t="s">
        <v>365</v>
      </c>
      <c r="E185" s="279" t="s">
        <v>47</v>
      </c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73"/>
      <c r="DD185" s="73"/>
      <c r="DE185" s="73"/>
      <c r="DF185" s="73"/>
      <c r="DG185" s="73"/>
      <c r="DH185" s="73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  <c r="DT185" s="73"/>
      <c r="DU185" s="73"/>
      <c r="DV185" s="22"/>
      <c r="DW185" s="20"/>
      <c r="DX185" s="22"/>
      <c r="DY185" s="20"/>
      <c r="DZ185" s="22"/>
      <c r="EA185" s="20"/>
      <c r="EB185" s="22"/>
      <c r="EC185" s="20"/>
      <c r="ED185" s="22"/>
      <c r="EE185" s="20"/>
      <c r="EF185" s="22"/>
      <c r="EG185" s="20"/>
      <c r="EH185" s="22"/>
      <c r="EI185" s="20"/>
      <c r="EJ185" s="22"/>
      <c r="EK185" s="20"/>
      <c r="EL185" s="22"/>
      <c r="EM185" s="20"/>
      <c r="EN185" s="22"/>
      <c r="EO185" s="20"/>
      <c r="EP185" s="22"/>
      <c r="EQ185" s="20"/>
      <c r="ER185" s="22"/>
      <c r="ES185" s="20"/>
      <c r="ET185" s="22"/>
      <c r="EU185" s="20"/>
      <c r="EV185" s="22"/>
      <c r="EW185" s="20"/>
      <c r="EX185" s="22"/>
      <c r="EY185" s="20"/>
      <c r="EZ185" s="22"/>
      <c r="FA185" s="20"/>
      <c r="FB185" s="22"/>
      <c r="FC185" s="20"/>
      <c r="FD185" s="22"/>
      <c r="FE185" s="20"/>
      <c r="FF185" s="22"/>
      <c r="FG185" s="20"/>
      <c r="FH185" s="22"/>
      <c r="FI185" s="20"/>
      <c r="FJ185" s="20">
        <v>1.0</v>
      </c>
      <c r="FK185" s="20"/>
      <c r="FL185" s="20">
        <v>1.0</v>
      </c>
      <c r="FM185" s="20"/>
      <c r="FN185" s="22"/>
      <c r="FO185" s="20">
        <v>3.0</v>
      </c>
      <c r="FP185" s="20">
        <v>1.0</v>
      </c>
      <c r="FQ185" s="20"/>
      <c r="FR185" s="22"/>
      <c r="FS185" s="20"/>
      <c r="FT185" s="22"/>
      <c r="FU185" s="20"/>
      <c r="FV185" s="22"/>
      <c r="FW185" s="20"/>
      <c r="FX185" s="22"/>
      <c r="FY185" s="20"/>
      <c r="FZ185" s="22"/>
      <c r="GA185" s="20"/>
      <c r="GB185" s="22"/>
      <c r="GC185" s="20"/>
      <c r="GD185" s="22"/>
      <c r="GE185" s="20"/>
      <c r="GF185" s="22"/>
      <c r="GG185" s="20"/>
      <c r="GH185" s="22"/>
      <c r="GI185" s="20"/>
      <c r="GJ185" s="22"/>
      <c r="GK185" s="20"/>
      <c r="GL185" s="22"/>
      <c r="GM185" s="20"/>
      <c r="GN185" s="22"/>
      <c r="GO185" s="20"/>
      <c r="GP185" s="22"/>
      <c r="GQ185" s="20"/>
      <c r="GR185" s="22"/>
      <c r="GS185" s="20"/>
      <c r="GT185" s="22"/>
      <c r="GU185" s="20"/>
      <c r="GV185" s="22"/>
      <c r="GW185" s="20"/>
      <c r="GX185" s="22"/>
      <c r="GY185" s="20"/>
      <c r="GZ185" s="22"/>
      <c r="HA185" s="20"/>
      <c r="HB185" s="22"/>
      <c r="HC185" s="20"/>
      <c r="HD185" s="22"/>
      <c r="HE185" s="20"/>
      <c r="HF185" s="22"/>
      <c r="HG185" s="20"/>
      <c r="HH185" s="22"/>
      <c r="HI185" s="20"/>
      <c r="HJ185" s="22"/>
      <c r="HK185" s="20"/>
      <c r="HL185" s="22"/>
      <c r="HM185" s="20"/>
      <c r="HN185" s="22"/>
      <c r="HO185" s="20"/>
      <c r="HP185" s="22"/>
      <c r="HQ185" s="20"/>
      <c r="HR185" s="22"/>
      <c r="HS185" s="20"/>
      <c r="HT185" s="22"/>
      <c r="HU185" s="20"/>
      <c r="HV185" s="22"/>
      <c r="HW185" s="20"/>
      <c r="HX185" s="22"/>
      <c r="HY185" s="20"/>
      <c r="HZ185" s="22"/>
      <c r="IA185" s="20"/>
      <c r="IB185" s="22"/>
      <c r="IC185" s="20"/>
      <c r="ID185" s="22"/>
      <c r="IE185" s="20"/>
      <c r="IF185" s="22"/>
      <c r="IG185" s="20"/>
      <c r="IH185" s="22"/>
      <c r="II185" s="20"/>
      <c r="IJ185" s="22"/>
      <c r="IK185" s="20"/>
      <c r="IL185" s="22"/>
      <c r="IM185" s="20"/>
      <c r="IN185" s="22"/>
      <c r="IO185" s="20"/>
      <c r="IP185" s="22"/>
      <c r="IQ185" s="20"/>
      <c r="IR185" s="22"/>
      <c r="IS185" s="20"/>
      <c r="IT185" s="22"/>
      <c r="IU185" s="20"/>
      <c r="IV185" s="22"/>
      <c r="IW185" s="20"/>
      <c r="IX185" s="22"/>
      <c r="IY185" s="20"/>
      <c r="IZ185" s="22"/>
      <c r="JA185" s="20"/>
      <c r="JB185" s="22"/>
      <c r="JC185" s="20"/>
      <c r="JD185" s="22"/>
      <c r="JE185" s="20"/>
      <c r="JF185" s="22"/>
      <c r="JG185" s="20"/>
      <c r="JH185" s="22"/>
      <c r="JI185" s="20"/>
      <c r="JJ185" s="22"/>
      <c r="JK185" s="20"/>
      <c r="JL185" s="22"/>
      <c r="JM185" s="20"/>
      <c r="JN185" s="22"/>
      <c r="JO185" s="20"/>
      <c r="JP185" s="22"/>
      <c r="JQ185" s="20"/>
      <c r="JR185" s="22"/>
      <c r="JS185" s="20"/>
      <c r="JT185" s="22"/>
      <c r="JU185" s="20"/>
      <c r="JV185" s="22"/>
      <c r="JW185" s="20"/>
      <c r="JX185" s="22"/>
      <c r="JY185" s="20"/>
      <c r="JZ185" s="22"/>
      <c r="KA185" s="20"/>
      <c r="KB185" s="22"/>
      <c r="KC185" s="20"/>
      <c r="KD185" s="22"/>
      <c r="KE185" s="20"/>
      <c r="KF185" s="22"/>
      <c r="KG185" s="20"/>
      <c r="KH185" s="22"/>
      <c r="KI185" s="20"/>
      <c r="KJ185" s="22"/>
      <c r="KK185" s="20"/>
      <c r="KL185" s="22"/>
      <c r="KM185" s="20"/>
      <c r="KN185" s="22"/>
      <c r="KO185" s="20"/>
      <c r="KP185" s="22"/>
      <c r="KQ185" s="20"/>
      <c r="KR185" s="22"/>
      <c r="KS185" s="20"/>
      <c r="KT185" s="22"/>
      <c r="KU185" s="20"/>
      <c r="KV185" s="22"/>
      <c r="KW185" s="20"/>
      <c r="KX185" s="22"/>
      <c r="KY185" s="20"/>
      <c r="KZ185" s="22"/>
      <c r="LA185" s="20"/>
      <c r="LB185" s="22"/>
      <c r="LC185" s="20"/>
      <c r="LD185" s="22"/>
      <c r="LE185" s="20"/>
      <c r="LF185" s="22"/>
      <c r="LG185" s="20"/>
      <c r="LH185" s="22"/>
      <c r="LI185" s="20"/>
      <c r="LJ185" s="22"/>
      <c r="LK185" s="20"/>
      <c r="LL185" s="22"/>
      <c r="LM185" s="20"/>
      <c r="LN185" s="22"/>
      <c r="LO185" s="20"/>
      <c r="LP185" s="22"/>
      <c r="LQ185" s="20"/>
      <c r="LR185" s="22"/>
      <c r="LS185" s="20"/>
      <c r="LT185" s="22"/>
      <c r="LU185" s="20"/>
      <c r="LV185" s="22"/>
      <c r="LW185" s="20"/>
      <c r="LX185" s="22"/>
      <c r="LY185" s="20"/>
      <c r="LZ185" s="22"/>
      <c r="MA185" s="20"/>
      <c r="MB185" s="22"/>
      <c r="MC185" s="20"/>
      <c r="MD185" s="22"/>
      <c r="ME185" s="20"/>
      <c r="MF185" s="22"/>
      <c r="MG185" s="20"/>
      <c r="MH185" s="22"/>
      <c r="MI185" s="20"/>
      <c r="MJ185" s="22"/>
      <c r="MK185" s="20"/>
      <c r="ML185" s="22"/>
      <c r="MM185" s="20"/>
      <c r="MN185" s="22"/>
      <c r="MO185" s="20"/>
      <c r="MP185" s="22"/>
      <c r="MQ185" s="20"/>
      <c r="MR185" s="22"/>
      <c r="MS185" s="20"/>
      <c r="MT185" s="22"/>
      <c r="MU185" s="20"/>
      <c r="MV185" s="22"/>
      <c r="MW185" s="20"/>
      <c r="MX185" s="22"/>
      <c r="MY185" s="20"/>
      <c r="MZ185" s="22"/>
      <c r="NA185" s="20"/>
      <c r="NB185" s="22"/>
      <c r="NC185" s="20"/>
      <c r="ND185" s="22"/>
      <c r="NE185" s="20"/>
      <c r="NF185" s="73"/>
    </row>
    <row r="186" hidden="1">
      <c r="A186" s="237"/>
      <c r="B186" s="267"/>
      <c r="C186" s="277">
        <v>46182.0</v>
      </c>
      <c r="D186" s="280" t="s">
        <v>366</v>
      </c>
      <c r="E186" s="279" t="s">
        <v>47</v>
      </c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  <c r="CS186" s="73"/>
      <c r="CT186" s="73"/>
      <c r="CU186" s="73"/>
      <c r="CV186" s="73"/>
      <c r="CW186" s="73"/>
      <c r="CX186" s="73"/>
      <c r="CY186" s="73"/>
      <c r="CZ186" s="73"/>
      <c r="DA186" s="73"/>
      <c r="DB186" s="73"/>
      <c r="DC186" s="73"/>
      <c r="DD186" s="73"/>
      <c r="DE186" s="73"/>
      <c r="DF186" s="73"/>
      <c r="DG186" s="73"/>
      <c r="DH186" s="73"/>
      <c r="DI186" s="73"/>
      <c r="DJ186" s="73"/>
      <c r="DK186" s="73"/>
      <c r="DL186" s="73"/>
      <c r="DM186" s="73"/>
      <c r="DN186" s="73"/>
      <c r="DO186" s="73"/>
      <c r="DP186" s="73"/>
      <c r="DQ186" s="73"/>
      <c r="DR186" s="73"/>
      <c r="DS186" s="73"/>
      <c r="DT186" s="73"/>
      <c r="DU186" s="73"/>
      <c r="DV186" s="22"/>
      <c r="DW186" s="20"/>
      <c r="DX186" s="22"/>
      <c r="DY186" s="20"/>
      <c r="DZ186" s="22"/>
      <c r="EA186" s="20"/>
      <c r="EB186" s="22"/>
      <c r="EC186" s="20"/>
      <c r="ED186" s="22"/>
      <c r="EE186" s="20"/>
      <c r="EF186" s="22"/>
      <c r="EG186" s="20"/>
      <c r="EH186" s="22"/>
      <c r="EI186" s="20"/>
      <c r="EJ186" s="22"/>
      <c r="EK186" s="20"/>
      <c r="EL186" s="22"/>
      <c r="EM186" s="20"/>
      <c r="EN186" s="22"/>
      <c r="EO186" s="20"/>
      <c r="EP186" s="22"/>
      <c r="EQ186" s="20"/>
      <c r="ER186" s="22"/>
      <c r="ES186" s="20"/>
      <c r="ET186" s="22"/>
      <c r="EU186" s="20"/>
      <c r="EV186" s="22"/>
      <c r="EW186" s="20"/>
      <c r="EX186" s="22"/>
      <c r="EY186" s="20"/>
      <c r="EZ186" s="22"/>
      <c r="FA186" s="20"/>
      <c r="FB186" s="22"/>
      <c r="FC186" s="20"/>
      <c r="FD186" s="22"/>
      <c r="FE186" s="20"/>
      <c r="FF186" s="22"/>
      <c r="FG186" s="20"/>
      <c r="FH186" s="22"/>
      <c r="FI186" s="20">
        <v>1.0</v>
      </c>
      <c r="FJ186" s="22"/>
      <c r="FK186" s="20"/>
      <c r="FL186" s="22"/>
      <c r="FM186" s="20"/>
      <c r="FN186" s="22"/>
      <c r="FO186" s="20"/>
      <c r="FP186" s="22"/>
      <c r="FQ186" s="20"/>
      <c r="FR186" s="22"/>
      <c r="FS186" s="20"/>
      <c r="FT186" s="22"/>
      <c r="FU186" s="20"/>
      <c r="FV186" s="22"/>
      <c r="FW186" s="20"/>
      <c r="FX186" s="22"/>
      <c r="FY186" s="20"/>
      <c r="FZ186" s="22"/>
      <c r="GA186" s="20"/>
      <c r="GB186" s="22"/>
      <c r="GC186" s="20"/>
      <c r="GD186" s="22"/>
      <c r="GE186" s="20"/>
      <c r="GF186" s="22"/>
      <c r="GG186" s="20"/>
      <c r="GH186" s="22"/>
      <c r="GI186" s="20"/>
      <c r="GJ186" s="22"/>
      <c r="GK186" s="20"/>
      <c r="GL186" s="22"/>
      <c r="GM186" s="20"/>
      <c r="GN186" s="22"/>
      <c r="GO186" s="20"/>
      <c r="GP186" s="22"/>
      <c r="GQ186" s="20"/>
      <c r="GR186" s="22"/>
      <c r="GS186" s="20"/>
      <c r="GT186" s="22"/>
      <c r="GU186" s="20"/>
      <c r="GV186" s="22"/>
      <c r="GW186" s="20"/>
      <c r="GX186" s="22"/>
      <c r="GY186" s="20"/>
      <c r="GZ186" s="22"/>
      <c r="HA186" s="20"/>
      <c r="HB186" s="22"/>
      <c r="HC186" s="20"/>
      <c r="HD186" s="22"/>
      <c r="HE186" s="20"/>
      <c r="HF186" s="22"/>
      <c r="HG186" s="20"/>
      <c r="HH186" s="22"/>
      <c r="HI186" s="20"/>
      <c r="HJ186" s="22"/>
      <c r="HK186" s="20"/>
      <c r="HL186" s="22"/>
      <c r="HM186" s="20"/>
      <c r="HN186" s="22"/>
      <c r="HO186" s="20"/>
      <c r="HP186" s="22"/>
      <c r="HQ186" s="20"/>
      <c r="HR186" s="22"/>
      <c r="HS186" s="20"/>
      <c r="HT186" s="22"/>
      <c r="HU186" s="20"/>
      <c r="HV186" s="22"/>
      <c r="HW186" s="20"/>
      <c r="HX186" s="22"/>
      <c r="HY186" s="20"/>
      <c r="HZ186" s="22"/>
      <c r="IA186" s="20"/>
      <c r="IB186" s="22"/>
      <c r="IC186" s="20"/>
      <c r="ID186" s="22"/>
      <c r="IE186" s="20"/>
      <c r="IF186" s="22"/>
      <c r="IG186" s="20"/>
      <c r="IH186" s="22"/>
      <c r="II186" s="20"/>
      <c r="IJ186" s="22"/>
      <c r="IK186" s="20"/>
      <c r="IL186" s="22"/>
      <c r="IM186" s="20"/>
      <c r="IN186" s="22"/>
      <c r="IO186" s="20"/>
      <c r="IP186" s="22"/>
      <c r="IQ186" s="20"/>
      <c r="IR186" s="22"/>
      <c r="IS186" s="20"/>
      <c r="IT186" s="22"/>
      <c r="IU186" s="20"/>
      <c r="IV186" s="22"/>
      <c r="IW186" s="20"/>
      <c r="IX186" s="22"/>
      <c r="IY186" s="20"/>
      <c r="IZ186" s="22"/>
      <c r="JA186" s="20"/>
      <c r="JB186" s="22"/>
      <c r="JC186" s="20"/>
      <c r="JD186" s="22"/>
      <c r="JE186" s="20"/>
      <c r="JF186" s="22"/>
      <c r="JG186" s="20"/>
      <c r="JH186" s="22"/>
      <c r="JI186" s="20"/>
      <c r="JJ186" s="22"/>
      <c r="JK186" s="20"/>
      <c r="JL186" s="22"/>
      <c r="JM186" s="20"/>
      <c r="JN186" s="22"/>
      <c r="JO186" s="20"/>
      <c r="JP186" s="22"/>
      <c r="JQ186" s="20"/>
      <c r="JR186" s="22"/>
      <c r="JS186" s="20"/>
      <c r="JT186" s="22"/>
      <c r="JU186" s="20"/>
      <c r="JV186" s="22"/>
      <c r="JW186" s="20"/>
      <c r="JX186" s="22"/>
      <c r="JY186" s="20"/>
      <c r="JZ186" s="22"/>
      <c r="KA186" s="20"/>
      <c r="KB186" s="22"/>
      <c r="KC186" s="20"/>
      <c r="KD186" s="22"/>
      <c r="KE186" s="20"/>
      <c r="KF186" s="22"/>
      <c r="KG186" s="20"/>
      <c r="KH186" s="22"/>
      <c r="KI186" s="20"/>
      <c r="KJ186" s="22"/>
      <c r="KK186" s="20"/>
      <c r="KL186" s="22"/>
      <c r="KM186" s="20"/>
      <c r="KN186" s="22"/>
      <c r="KO186" s="20"/>
      <c r="KP186" s="22"/>
      <c r="KQ186" s="20"/>
      <c r="KR186" s="22"/>
      <c r="KS186" s="20"/>
      <c r="KT186" s="22"/>
      <c r="KU186" s="20"/>
      <c r="KV186" s="22"/>
      <c r="KW186" s="20"/>
      <c r="KX186" s="22"/>
      <c r="KY186" s="20"/>
      <c r="KZ186" s="22"/>
      <c r="LA186" s="20"/>
      <c r="LB186" s="22"/>
      <c r="LC186" s="20"/>
      <c r="LD186" s="22"/>
      <c r="LE186" s="20"/>
      <c r="LF186" s="22"/>
      <c r="LG186" s="20"/>
      <c r="LH186" s="22"/>
      <c r="LI186" s="20"/>
      <c r="LJ186" s="22"/>
      <c r="LK186" s="20"/>
      <c r="LL186" s="22"/>
      <c r="LM186" s="20"/>
      <c r="LN186" s="22"/>
      <c r="LO186" s="20"/>
      <c r="LP186" s="22"/>
      <c r="LQ186" s="20"/>
      <c r="LR186" s="22"/>
      <c r="LS186" s="20"/>
      <c r="LT186" s="22"/>
      <c r="LU186" s="20"/>
      <c r="LV186" s="22"/>
      <c r="LW186" s="20"/>
      <c r="LX186" s="22"/>
      <c r="LY186" s="20"/>
      <c r="LZ186" s="22"/>
      <c r="MA186" s="20"/>
      <c r="MB186" s="22"/>
      <c r="MC186" s="20"/>
      <c r="MD186" s="22"/>
      <c r="ME186" s="20"/>
      <c r="MF186" s="22"/>
      <c r="MG186" s="20"/>
      <c r="MH186" s="22"/>
      <c r="MI186" s="20"/>
      <c r="MJ186" s="22"/>
      <c r="MK186" s="20"/>
      <c r="ML186" s="22"/>
      <c r="MM186" s="20"/>
      <c r="MN186" s="22"/>
      <c r="MO186" s="20"/>
      <c r="MP186" s="22"/>
      <c r="MQ186" s="20"/>
      <c r="MR186" s="22"/>
      <c r="MS186" s="20"/>
      <c r="MT186" s="22"/>
      <c r="MU186" s="20"/>
      <c r="MV186" s="22"/>
      <c r="MW186" s="20"/>
      <c r="MX186" s="22"/>
      <c r="MY186" s="20"/>
      <c r="MZ186" s="22"/>
      <c r="NA186" s="20"/>
      <c r="NB186" s="22"/>
      <c r="NC186" s="20"/>
      <c r="ND186" s="22"/>
      <c r="NE186" s="20"/>
      <c r="NF186" s="73"/>
    </row>
    <row r="187" hidden="1">
      <c r="A187" s="237"/>
      <c r="B187" s="267"/>
      <c r="C187" s="277">
        <v>46178.0</v>
      </c>
      <c r="D187" s="280" t="s">
        <v>367</v>
      </c>
      <c r="E187" s="279" t="s">
        <v>47</v>
      </c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  <c r="CK187" s="73"/>
      <c r="CL187" s="73"/>
      <c r="CM187" s="73"/>
      <c r="CN187" s="73"/>
      <c r="CO187" s="73"/>
      <c r="CP187" s="73"/>
      <c r="CQ187" s="73"/>
      <c r="CR187" s="73"/>
      <c r="CS187" s="73"/>
      <c r="CT187" s="73"/>
      <c r="CU187" s="73"/>
      <c r="CV187" s="73"/>
      <c r="CW187" s="73"/>
      <c r="CX187" s="73"/>
      <c r="CY187" s="73"/>
      <c r="CZ187" s="73"/>
      <c r="DA187" s="73"/>
      <c r="DB187" s="73"/>
      <c r="DC187" s="73"/>
      <c r="DD187" s="73"/>
      <c r="DE187" s="73"/>
      <c r="DF187" s="73"/>
      <c r="DG187" s="73"/>
      <c r="DH187" s="73"/>
      <c r="DI187" s="73"/>
      <c r="DJ187" s="73"/>
      <c r="DK187" s="73"/>
      <c r="DL187" s="73"/>
      <c r="DM187" s="73"/>
      <c r="DN187" s="73"/>
      <c r="DO187" s="73"/>
      <c r="DP187" s="73"/>
      <c r="DQ187" s="73"/>
      <c r="DR187" s="73"/>
      <c r="DS187" s="73"/>
      <c r="DT187" s="73"/>
      <c r="DU187" s="73"/>
      <c r="DV187" s="22"/>
      <c r="DW187" s="20"/>
      <c r="DX187" s="22"/>
      <c r="DY187" s="20"/>
      <c r="DZ187" s="22"/>
      <c r="EA187" s="20"/>
      <c r="EB187" s="22"/>
      <c r="EC187" s="20"/>
      <c r="ED187" s="22"/>
      <c r="EE187" s="20"/>
      <c r="EF187" s="22"/>
      <c r="EG187" s="20"/>
      <c r="EH187" s="22"/>
      <c r="EI187" s="20"/>
      <c r="EJ187" s="22"/>
      <c r="EK187" s="20"/>
      <c r="EL187" s="22"/>
      <c r="EM187" s="20"/>
      <c r="EN187" s="22"/>
      <c r="EO187" s="20"/>
      <c r="EP187" s="22"/>
      <c r="EQ187" s="20"/>
      <c r="ER187" s="22"/>
      <c r="ES187" s="20"/>
      <c r="ET187" s="22"/>
      <c r="EU187" s="20"/>
      <c r="EV187" s="22"/>
      <c r="EW187" s="20"/>
      <c r="EX187" s="22"/>
      <c r="EY187" s="20"/>
      <c r="EZ187" s="22"/>
      <c r="FA187" s="20"/>
      <c r="FB187" s="22"/>
      <c r="FC187" s="20"/>
      <c r="FD187" s="22"/>
      <c r="FE187" s="20">
        <v>1.0</v>
      </c>
      <c r="FF187" s="22"/>
      <c r="FG187" s="20"/>
      <c r="FH187" s="22"/>
      <c r="FI187" s="20"/>
      <c r="FJ187" s="22"/>
      <c r="FK187" s="20"/>
      <c r="FL187" s="22"/>
      <c r="FM187" s="20"/>
      <c r="FN187" s="22"/>
      <c r="FO187" s="20"/>
      <c r="FP187" s="22"/>
      <c r="FQ187" s="20"/>
      <c r="FR187" s="22"/>
      <c r="FS187" s="20"/>
      <c r="FT187" s="22"/>
      <c r="FU187" s="20"/>
      <c r="FV187" s="22"/>
      <c r="FW187" s="20"/>
      <c r="FX187" s="22"/>
      <c r="FY187" s="20"/>
      <c r="FZ187" s="22"/>
      <c r="GA187" s="20"/>
      <c r="GB187" s="22"/>
      <c r="GC187" s="20"/>
      <c r="GD187" s="22"/>
      <c r="GE187" s="20"/>
      <c r="GF187" s="22"/>
      <c r="GG187" s="20"/>
      <c r="GH187" s="22"/>
      <c r="GI187" s="20"/>
      <c r="GJ187" s="22"/>
      <c r="GK187" s="20"/>
      <c r="GL187" s="22"/>
      <c r="GM187" s="20"/>
      <c r="GN187" s="22"/>
      <c r="GO187" s="20"/>
      <c r="GP187" s="22"/>
      <c r="GQ187" s="20"/>
      <c r="GR187" s="22"/>
      <c r="GS187" s="20"/>
      <c r="GT187" s="22"/>
      <c r="GU187" s="20"/>
      <c r="GV187" s="22"/>
      <c r="GW187" s="20"/>
      <c r="GX187" s="22"/>
      <c r="GY187" s="20"/>
      <c r="GZ187" s="22"/>
      <c r="HA187" s="20"/>
      <c r="HB187" s="22"/>
      <c r="HC187" s="20"/>
      <c r="HD187" s="22"/>
      <c r="HE187" s="20"/>
      <c r="HF187" s="22"/>
      <c r="HG187" s="20"/>
      <c r="HH187" s="22"/>
      <c r="HI187" s="20"/>
      <c r="HJ187" s="22"/>
      <c r="HK187" s="20"/>
      <c r="HL187" s="22"/>
      <c r="HM187" s="20"/>
      <c r="HN187" s="22"/>
      <c r="HO187" s="20"/>
      <c r="HP187" s="22"/>
      <c r="HQ187" s="20"/>
      <c r="HR187" s="22"/>
      <c r="HS187" s="20"/>
      <c r="HT187" s="22"/>
      <c r="HU187" s="20"/>
      <c r="HV187" s="22"/>
      <c r="HW187" s="20"/>
      <c r="HX187" s="22"/>
      <c r="HY187" s="20"/>
      <c r="HZ187" s="22"/>
      <c r="IA187" s="20"/>
      <c r="IB187" s="22"/>
      <c r="IC187" s="20"/>
      <c r="ID187" s="22"/>
      <c r="IE187" s="20"/>
      <c r="IF187" s="22"/>
      <c r="IG187" s="20"/>
      <c r="IH187" s="22"/>
      <c r="II187" s="20"/>
      <c r="IJ187" s="22"/>
      <c r="IK187" s="20"/>
      <c r="IL187" s="22"/>
      <c r="IM187" s="20"/>
      <c r="IN187" s="22"/>
      <c r="IO187" s="20"/>
      <c r="IP187" s="22"/>
      <c r="IQ187" s="20"/>
      <c r="IR187" s="22"/>
      <c r="IS187" s="20"/>
      <c r="IT187" s="22"/>
      <c r="IU187" s="20"/>
      <c r="IV187" s="22"/>
      <c r="IW187" s="20"/>
      <c r="IX187" s="22"/>
      <c r="IY187" s="20"/>
      <c r="IZ187" s="22"/>
      <c r="JA187" s="20"/>
      <c r="JB187" s="22"/>
      <c r="JC187" s="20"/>
      <c r="JD187" s="22"/>
      <c r="JE187" s="20"/>
      <c r="JF187" s="22"/>
      <c r="JG187" s="20"/>
      <c r="JH187" s="22"/>
      <c r="JI187" s="20"/>
      <c r="JJ187" s="22"/>
      <c r="JK187" s="20"/>
      <c r="JL187" s="22"/>
      <c r="JM187" s="20"/>
      <c r="JN187" s="22"/>
      <c r="JO187" s="20"/>
      <c r="JP187" s="22"/>
      <c r="JQ187" s="20"/>
      <c r="JR187" s="22"/>
      <c r="JS187" s="20"/>
      <c r="JT187" s="22"/>
      <c r="JU187" s="20"/>
      <c r="JV187" s="22"/>
      <c r="JW187" s="20"/>
      <c r="JX187" s="22"/>
      <c r="JY187" s="20"/>
      <c r="JZ187" s="22"/>
      <c r="KA187" s="20"/>
      <c r="KB187" s="22"/>
      <c r="KC187" s="20"/>
      <c r="KD187" s="22"/>
      <c r="KE187" s="20"/>
      <c r="KF187" s="22"/>
      <c r="KG187" s="20"/>
      <c r="KH187" s="22"/>
      <c r="KI187" s="20"/>
      <c r="KJ187" s="22"/>
      <c r="KK187" s="20"/>
      <c r="KL187" s="22"/>
      <c r="KM187" s="20"/>
      <c r="KN187" s="22"/>
      <c r="KO187" s="20"/>
      <c r="KP187" s="22"/>
      <c r="KQ187" s="20"/>
      <c r="KR187" s="22"/>
      <c r="KS187" s="20"/>
      <c r="KT187" s="22"/>
      <c r="KU187" s="20"/>
      <c r="KV187" s="22"/>
      <c r="KW187" s="20"/>
      <c r="KX187" s="22"/>
      <c r="KY187" s="20"/>
      <c r="KZ187" s="22"/>
      <c r="LA187" s="20"/>
      <c r="LB187" s="22"/>
      <c r="LC187" s="20"/>
      <c r="LD187" s="22"/>
      <c r="LE187" s="20"/>
      <c r="LF187" s="22"/>
      <c r="LG187" s="20"/>
      <c r="LH187" s="22"/>
      <c r="LI187" s="20"/>
      <c r="LJ187" s="22"/>
      <c r="LK187" s="20"/>
      <c r="LL187" s="22"/>
      <c r="LM187" s="20"/>
      <c r="LN187" s="22"/>
      <c r="LO187" s="20"/>
      <c r="LP187" s="22"/>
      <c r="LQ187" s="20"/>
      <c r="LR187" s="22"/>
      <c r="LS187" s="20"/>
      <c r="LT187" s="22"/>
      <c r="LU187" s="20"/>
      <c r="LV187" s="22"/>
      <c r="LW187" s="20"/>
      <c r="LX187" s="22"/>
      <c r="LY187" s="20"/>
      <c r="LZ187" s="22"/>
      <c r="MA187" s="20"/>
      <c r="MB187" s="22"/>
      <c r="MC187" s="20"/>
      <c r="MD187" s="22"/>
      <c r="ME187" s="20"/>
      <c r="MF187" s="22"/>
      <c r="MG187" s="20"/>
      <c r="MH187" s="22"/>
      <c r="MI187" s="20"/>
      <c r="MJ187" s="22"/>
      <c r="MK187" s="20"/>
      <c r="ML187" s="22"/>
      <c r="MM187" s="20"/>
      <c r="MN187" s="22"/>
      <c r="MO187" s="20"/>
      <c r="MP187" s="22"/>
      <c r="MQ187" s="20"/>
      <c r="MR187" s="22"/>
      <c r="MS187" s="20"/>
      <c r="MT187" s="22"/>
      <c r="MU187" s="20"/>
      <c r="MV187" s="22"/>
      <c r="MW187" s="20"/>
      <c r="MX187" s="22"/>
      <c r="MY187" s="20"/>
      <c r="MZ187" s="22"/>
      <c r="NA187" s="20"/>
      <c r="NB187" s="22"/>
      <c r="NC187" s="20"/>
      <c r="ND187" s="22"/>
      <c r="NE187" s="20"/>
      <c r="NF187" s="73"/>
    </row>
    <row r="188" hidden="1">
      <c r="A188" s="237"/>
      <c r="B188" s="267"/>
      <c r="C188" s="277">
        <v>46181.0</v>
      </c>
      <c r="D188" s="280" t="s">
        <v>368</v>
      </c>
      <c r="E188" s="279" t="s">
        <v>47</v>
      </c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  <c r="CI188" s="73"/>
      <c r="CJ188" s="73"/>
      <c r="CK188" s="73"/>
      <c r="CL188" s="73"/>
      <c r="CM188" s="73"/>
      <c r="CN188" s="73"/>
      <c r="CO188" s="73"/>
      <c r="CP188" s="73"/>
      <c r="CQ188" s="73"/>
      <c r="CR188" s="73"/>
      <c r="CS188" s="73"/>
      <c r="CT188" s="73"/>
      <c r="CU188" s="73"/>
      <c r="CV188" s="73"/>
      <c r="CW188" s="73"/>
      <c r="CX188" s="73"/>
      <c r="CY188" s="73"/>
      <c r="CZ188" s="73"/>
      <c r="DA188" s="73"/>
      <c r="DB188" s="73"/>
      <c r="DC188" s="73"/>
      <c r="DD188" s="73"/>
      <c r="DE188" s="73"/>
      <c r="DF188" s="73"/>
      <c r="DG188" s="73"/>
      <c r="DH188" s="73"/>
      <c r="DI188" s="73"/>
      <c r="DJ188" s="73"/>
      <c r="DK188" s="73"/>
      <c r="DL188" s="73"/>
      <c r="DM188" s="73"/>
      <c r="DN188" s="73"/>
      <c r="DO188" s="73"/>
      <c r="DP188" s="73"/>
      <c r="DQ188" s="73"/>
      <c r="DR188" s="73"/>
      <c r="DS188" s="73"/>
      <c r="DT188" s="73"/>
      <c r="DU188" s="73"/>
      <c r="DV188" s="22"/>
      <c r="DW188" s="20"/>
      <c r="DX188" s="22"/>
      <c r="DY188" s="20"/>
      <c r="DZ188" s="22"/>
      <c r="EA188" s="20"/>
      <c r="EB188" s="22"/>
      <c r="EC188" s="20"/>
      <c r="ED188" s="22"/>
      <c r="EE188" s="20"/>
      <c r="EF188" s="22"/>
      <c r="EG188" s="20"/>
      <c r="EH188" s="22"/>
      <c r="EI188" s="20"/>
      <c r="EJ188" s="22"/>
      <c r="EK188" s="20"/>
      <c r="EL188" s="22"/>
      <c r="EM188" s="20"/>
      <c r="EN188" s="22"/>
      <c r="EO188" s="20"/>
      <c r="EP188" s="22"/>
      <c r="EQ188" s="20"/>
      <c r="ER188" s="22"/>
      <c r="ES188" s="20"/>
      <c r="ET188" s="22"/>
      <c r="EU188" s="20"/>
      <c r="EV188" s="22"/>
      <c r="EW188" s="20"/>
      <c r="EX188" s="22"/>
      <c r="EY188" s="20"/>
      <c r="EZ188" s="22"/>
      <c r="FA188" s="20"/>
      <c r="FB188" s="22"/>
      <c r="FC188" s="20"/>
      <c r="FD188" s="22"/>
      <c r="FE188" s="20">
        <v>3.0</v>
      </c>
      <c r="FF188" s="22"/>
      <c r="FG188" s="20"/>
      <c r="FH188" s="20">
        <v>3.0</v>
      </c>
      <c r="FI188" s="20"/>
      <c r="FJ188" s="22"/>
      <c r="FK188" s="20"/>
      <c r="FL188" s="22"/>
      <c r="FM188" s="20"/>
      <c r="FN188" s="22"/>
      <c r="FO188" s="20"/>
      <c r="FP188" s="22"/>
      <c r="FQ188" s="20"/>
      <c r="FR188" s="22"/>
      <c r="FS188" s="20"/>
      <c r="FT188" s="22"/>
      <c r="FU188" s="20"/>
      <c r="FV188" s="22"/>
      <c r="FW188" s="20"/>
      <c r="FX188" s="20">
        <v>1.0</v>
      </c>
      <c r="FY188" s="20"/>
      <c r="FZ188" s="22"/>
      <c r="GA188" s="20"/>
      <c r="GB188" s="22"/>
      <c r="GC188" s="20"/>
      <c r="GD188" s="22"/>
      <c r="GE188" s="20"/>
      <c r="GF188" s="22"/>
      <c r="GG188" s="20"/>
      <c r="GH188" s="22"/>
      <c r="GI188" s="20"/>
      <c r="GJ188" s="22"/>
      <c r="GK188" s="20"/>
      <c r="GL188" s="22"/>
      <c r="GM188" s="20"/>
      <c r="GN188" s="22"/>
      <c r="GO188" s="20"/>
      <c r="GP188" s="22"/>
      <c r="GQ188" s="20"/>
      <c r="GR188" s="22"/>
      <c r="GS188" s="20"/>
      <c r="GT188" s="22"/>
      <c r="GU188" s="20"/>
      <c r="GV188" s="22"/>
      <c r="GW188" s="20"/>
      <c r="GX188" s="22"/>
      <c r="GY188" s="20"/>
      <c r="GZ188" s="22"/>
      <c r="HA188" s="20"/>
      <c r="HB188" s="22"/>
      <c r="HC188" s="20"/>
      <c r="HD188" s="22"/>
      <c r="HE188" s="20"/>
      <c r="HF188" s="22"/>
      <c r="HG188" s="20"/>
      <c r="HH188" s="22"/>
      <c r="HI188" s="20"/>
      <c r="HJ188" s="22"/>
      <c r="HK188" s="20"/>
      <c r="HL188" s="22"/>
      <c r="HM188" s="20"/>
      <c r="HN188" s="22"/>
      <c r="HO188" s="20"/>
      <c r="HP188" s="22"/>
      <c r="HQ188" s="20"/>
      <c r="HR188" s="22"/>
      <c r="HS188" s="20"/>
      <c r="HT188" s="22"/>
      <c r="HU188" s="20"/>
      <c r="HV188" s="22"/>
      <c r="HW188" s="20"/>
      <c r="HX188" s="22"/>
      <c r="HY188" s="20"/>
      <c r="HZ188" s="22"/>
      <c r="IA188" s="20"/>
      <c r="IB188" s="22"/>
      <c r="IC188" s="20"/>
      <c r="ID188" s="22"/>
      <c r="IE188" s="20"/>
      <c r="IF188" s="22"/>
      <c r="IG188" s="20"/>
      <c r="IH188" s="22"/>
      <c r="II188" s="20"/>
      <c r="IJ188" s="22"/>
      <c r="IK188" s="20"/>
      <c r="IL188" s="22"/>
      <c r="IM188" s="20"/>
      <c r="IN188" s="22"/>
      <c r="IO188" s="20"/>
      <c r="IP188" s="22"/>
      <c r="IQ188" s="20"/>
      <c r="IR188" s="22"/>
      <c r="IS188" s="20"/>
      <c r="IT188" s="22"/>
      <c r="IU188" s="20"/>
      <c r="IV188" s="22"/>
      <c r="IW188" s="20"/>
      <c r="IX188" s="22"/>
      <c r="IY188" s="20"/>
      <c r="IZ188" s="22"/>
      <c r="JA188" s="20"/>
      <c r="JB188" s="22"/>
      <c r="JC188" s="20"/>
      <c r="JD188" s="22"/>
      <c r="JE188" s="20"/>
      <c r="JF188" s="22"/>
      <c r="JG188" s="20"/>
      <c r="JH188" s="22"/>
      <c r="JI188" s="20"/>
      <c r="JJ188" s="22"/>
      <c r="JK188" s="20"/>
      <c r="JL188" s="22"/>
      <c r="JM188" s="20"/>
      <c r="JN188" s="22"/>
      <c r="JO188" s="20"/>
      <c r="JP188" s="22"/>
      <c r="JQ188" s="20"/>
      <c r="JR188" s="22"/>
      <c r="JS188" s="20"/>
      <c r="JT188" s="22"/>
      <c r="JU188" s="20"/>
      <c r="JV188" s="22"/>
      <c r="JW188" s="20"/>
      <c r="JX188" s="22"/>
      <c r="JY188" s="20"/>
      <c r="JZ188" s="22"/>
      <c r="KA188" s="20"/>
      <c r="KB188" s="22"/>
      <c r="KC188" s="20"/>
      <c r="KD188" s="22"/>
      <c r="KE188" s="20"/>
      <c r="KF188" s="22"/>
      <c r="KG188" s="20"/>
      <c r="KH188" s="22"/>
      <c r="KI188" s="20"/>
      <c r="KJ188" s="22"/>
      <c r="KK188" s="20"/>
      <c r="KL188" s="22"/>
      <c r="KM188" s="20"/>
      <c r="KN188" s="22"/>
      <c r="KO188" s="20"/>
      <c r="KP188" s="22"/>
      <c r="KQ188" s="20"/>
      <c r="KR188" s="22"/>
      <c r="KS188" s="20"/>
      <c r="KT188" s="22"/>
      <c r="KU188" s="20"/>
      <c r="KV188" s="22"/>
      <c r="KW188" s="20"/>
      <c r="KX188" s="22"/>
      <c r="KY188" s="20"/>
      <c r="KZ188" s="22"/>
      <c r="LA188" s="20"/>
      <c r="LB188" s="22"/>
      <c r="LC188" s="20"/>
      <c r="LD188" s="22"/>
      <c r="LE188" s="20"/>
      <c r="LF188" s="22"/>
      <c r="LG188" s="20"/>
      <c r="LH188" s="22"/>
      <c r="LI188" s="20"/>
      <c r="LJ188" s="22"/>
      <c r="LK188" s="20"/>
      <c r="LL188" s="22"/>
      <c r="LM188" s="20"/>
      <c r="LN188" s="22"/>
      <c r="LO188" s="20"/>
      <c r="LP188" s="22"/>
      <c r="LQ188" s="20"/>
      <c r="LR188" s="22"/>
      <c r="LS188" s="20"/>
      <c r="LT188" s="22"/>
      <c r="LU188" s="20"/>
      <c r="LV188" s="22"/>
      <c r="LW188" s="20"/>
      <c r="LX188" s="22"/>
      <c r="LY188" s="20"/>
      <c r="LZ188" s="22"/>
      <c r="MA188" s="20"/>
      <c r="MB188" s="22"/>
      <c r="MC188" s="20"/>
      <c r="MD188" s="22"/>
      <c r="ME188" s="20"/>
      <c r="MF188" s="22"/>
      <c r="MG188" s="20"/>
      <c r="MH188" s="22"/>
      <c r="MI188" s="20"/>
      <c r="MJ188" s="22"/>
      <c r="MK188" s="20"/>
      <c r="ML188" s="22"/>
      <c r="MM188" s="20"/>
      <c r="MN188" s="22"/>
      <c r="MO188" s="20"/>
      <c r="MP188" s="22"/>
      <c r="MQ188" s="20"/>
      <c r="MR188" s="22"/>
      <c r="MS188" s="20"/>
      <c r="MT188" s="22"/>
      <c r="MU188" s="20"/>
      <c r="MV188" s="22"/>
      <c r="MW188" s="20"/>
      <c r="MX188" s="22"/>
      <c r="MY188" s="20"/>
      <c r="MZ188" s="22"/>
      <c r="NA188" s="20"/>
      <c r="NB188" s="22"/>
      <c r="NC188" s="20"/>
      <c r="ND188" s="22"/>
      <c r="NE188" s="20"/>
      <c r="NF188" s="73"/>
    </row>
    <row r="189" hidden="1">
      <c r="A189" s="237"/>
      <c r="B189" s="267"/>
      <c r="C189" s="277">
        <v>46182.0</v>
      </c>
      <c r="D189" s="280" t="s">
        <v>369</v>
      </c>
      <c r="E189" s="279" t="s">
        <v>47</v>
      </c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  <c r="CK189" s="73"/>
      <c r="CL189" s="73"/>
      <c r="CM189" s="73"/>
      <c r="CN189" s="73"/>
      <c r="CO189" s="73"/>
      <c r="CP189" s="73"/>
      <c r="CQ189" s="73"/>
      <c r="CR189" s="73"/>
      <c r="CS189" s="73"/>
      <c r="CT189" s="73"/>
      <c r="CU189" s="73"/>
      <c r="CV189" s="73"/>
      <c r="CW189" s="73"/>
      <c r="CX189" s="73"/>
      <c r="CY189" s="73"/>
      <c r="CZ189" s="73"/>
      <c r="DA189" s="73"/>
      <c r="DB189" s="73"/>
      <c r="DC189" s="73"/>
      <c r="DD189" s="73"/>
      <c r="DE189" s="73"/>
      <c r="DF189" s="73"/>
      <c r="DG189" s="73"/>
      <c r="DH189" s="73"/>
      <c r="DI189" s="73"/>
      <c r="DJ189" s="73"/>
      <c r="DK189" s="73"/>
      <c r="DL189" s="73"/>
      <c r="DM189" s="73"/>
      <c r="DN189" s="73"/>
      <c r="DO189" s="73"/>
      <c r="DP189" s="73"/>
      <c r="DQ189" s="73"/>
      <c r="DR189" s="73"/>
      <c r="DS189" s="73"/>
      <c r="DT189" s="73"/>
      <c r="DU189" s="73"/>
      <c r="DV189" s="22"/>
      <c r="DW189" s="20"/>
      <c r="DX189" s="22"/>
      <c r="DY189" s="20"/>
      <c r="DZ189" s="22"/>
      <c r="EA189" s="20"/>
      <c r="EB189" s="22"/>
      <c r="EC189" s="20"/>
      <c r="ED189" s="22"/>
      <c r="EE189" s="20"/>
      <c r="EF189" s="22"/>
      <c r="EG189" s="20"/>
      <c r="EH189" s="22"/>
      <c r="EI189" s="20"/>
      <c r="EJ189" s="22"/>
      <c r="EK189" s="20"/>
      <c r="EL189" s="22"/>
      <c r="EM189" s="20"/>
      <c r="EN189" s="22"/>
      <c r="EO189" s="20"/>
      <c r="EP189" s="22"/>
      <c r="EQ189" s="20"/>
      <c r="ER189" s="22"/>
      <c r="ES189" s="20"/>
      <c r="ET189" s="22"/>
      <c r="EU189" s="20"/>
      <c r="EV189" s="22"/>
      <c r="EW189" s="20"/>
      <c r="EX189" s="22"/>
      <c r="EY189" s="20"/>
      <c r="EZ189" s="22"/>
      <c r="FA189" s="20"/>
      <c r="FB189" s="22"/>
      <c r="FC189" s="20"/>
      <c r="FD189" s="22"/>
      <c r="FE189" s="20"/>
      <c r="FF189" s="22"/>
      <c r="FG189" s="20"/>
      <c r="FH189" s="20">
        <v>3.0</v>
      </c>
      <c r="FI189" s="20"/>
      <c r="FJ189" s="20"/>
      <c r="FK189" s="20"/>
      <c r="FL189" s="22"/>
      <c r="FM189" s="20"/>
      <c r="FN189" s="22"/>
      <c r="FO189" s="20"/>
      <c r="FP189" s="22"/>
      <c r="FQ189" s="20"/>
      <c r="FR189" s="22"/>
      <c r="FS189" s="20"/>
      <c r="FT189" s="22"/>
      <c r="FU189" s="20"/>
      <c r="FV189" s="22"/>
      <c r="FW189" s="20"/>
      <c r="FX189" s="22"/>
      <c r="FY189" s="20"/>
      <c r="FZ189" s="22"/>
      <c r="GA189" s="20"/>
      <c r="GB189" s="22"/>
      <c r="GC189" s="20"/>
      <c r="GD189" s="22"/>
      <c r="GE189" s="20"/>
      <c r="GF189" s="22"/>
      <c r="GG189" s="20"/>
      <c r="GH189" s="22"/>
      <c r="GI189" s="20"/>
      <c r="GJ189" s="22"/>
      <c r="GK189" s="20"/>
      <c r="GL189" s="22"/>
      <c r="GM189" s="20"/>
      <c r="GN189" s="22"/>
      <c r="GO189" s="20"/>
      <c r="GP189" s="22"/>
      <c r="GQ189" s="20"/>
      <c r="GR189" s="22"/>
      <c r="GS189" s="20"/>
      <c r="GT189" s="22"/>
      <c r="GU189" s="20"/>
      <c r="GV189" s="22"/>
      <c r="GW189" s="20"/>
      <c r="GX189" s="22"/>
      <c r="GY189" s="20"/>
      <c r="GZ189" s="22"/>
      <c r="HA189" s="20"/>
      <c r="HB189" s="22"/>
      <c r="HC189" s="20"/>
      <c r="HD189" s="22"/>
      <c r="HE189" s="20"/>
      <c r="HF189" s="22"/>
      <c r="HG189" s="20"/>
      <c r="HH189" s="22"/>
      <c r="HI189" s="20"/>
      <c r="HJ189" s="22"/>
      <c r="HK189" s="20"/>
      <c r="HL189" s="22"/>
      <c r="HM189" s="20"/>
      <c r="HN189" s="22"/>
      <c r="HO189" s="20"/>
      <c r="HP189" s="22"/>
      <c r="HQ189" s="20"/>
      <c r="HR189" s="22"/>
      <c r="HS189" s="20"/>
      <c r="HT189" s="22"/>
      <c r="HU189" s="20"/>
      <c r="HV189" s="22"/>
      <c r="HW189" s="20"/>
      <c r="HX189" s="22"/>
      <c r="HY189" s="20"/>
      <c r="HZ189" s="22"/>
      <c r="IA189" s="20"/>
      <c r="IB189" s="22"/>
      <c r="IC189" s="20"/>
      <c r="ID189" s="22"/>
      <c r="IE189" s="20"/>
      <c r="IF189" s="22"/>
      <c r="IG189" s="20"/>
      <c r="IH189" s="22"/>
      <c r="II189" s="20"/>
      <c r="IJ189" s="22"/>
      <c r="IK189" s="20"/>
      <c r="IL189" s="22"/>
      <c r="IM189" s="20"/>
      <c r="IN189" s="22"/>
      <c r="IO189" s="20"/>
      <c r="IP189" s="22"/>
      <c r="IQ189" s="20"/>
      <c r="IR189" s="22"/>
      <c r="IS189" s="20"/>
      <c r="IT189" s="22"/>
      <c r="IU189" s="20"/>
      <c r="IV189" s="22"/>
      <c r="IW189" s="20"/>
      <c r="IX189" s="22"/>
      <c r="IY189" s="20"/>
      <c r="IZ189" s="22"/>
      <c r="JA189" s="20"/>
      <c r="JB189" s="22"/>
      <c r="JC189" s="20"/>
      <c r="JD189" s="22"/>
      <c r="JE189" s="20"/>
      <c r="JF189" s="22"/>
      <c r="JG189" s="20"/>
      <c r="JH189" s="22"/>
      <c r="JI189" s="20"/>
      <c r="JJ189" s="22"/>
      <c r="JK189" s="20"/>
      <c r="JL189" s="22"/>
      <c r="JM189" s="20"/>
      <c r="JN189" s="22"/>
      <c r="JO189" s="20"/>
      <c r="JP189" s="22"/>
      <c r="JQ189" s="20"/>
      <c r="JR189" s="22"/>
      <c r="JS189" s="20"/>
      <c r="JT189" s="22"/>
      <c r="JU189" s="20"/>
      <c r="JV189" s="22"/>
      <c r="JW189" s="20"/>
      <c r="JX189" s="22"/>
      <c r="JY189" s="20"/>
      <c r="JZ189" s="22"/>
      <c r="KA189" s="20"/>
      <c r="KB189" s="22"/>
      <c r="KC189" s="20"/>
      <c r="KD189" s="22"/>
      <c r="KE189" s="20"/>
      <c r="KF189" s="22"/>
      <c r="KG189" s="20"/>
      <c r="KH189" s="22"/>
      <c r="KI189" s="20"/>
      <c r="KJ189" s="22"/>
      <c r="KK189" s="20"/>
      <c r="KL189" s="22"/>
      <c r="KM189" s="20"/>
      <c r="KN189" s="22"/>
      <c r="KO189" s="20"/>
      <c r="KP189" s="22"/>
      <c r="KQ189" s="20"/>
      <c r="KR189" s="22"/>
      <c r="KS189" s="20"/>
      <c r="KT189" s="22"/>
      <c r="KU189" s="20"/>
      <c r="KV189" s="22"/>
      <c r="KW189" s="20"/>
      <c r="KX189" s="22"/>
      <c r="KY189" s="20"/>
      <c r="KZ189" s="22"/>
      <c r="LA189" s="20"/>
      <c r="LB189" s="22"/>
      <c r="LC189" s="20"/>
      <c r="LD189" s="22"/>
      <c r="LE189" s="20"/>
      <c r="LF189" s="22"/>
      <c r="LG189" s="20"/>
      <c r="LH189" s="22"/>
      <c r="LI189" s="20"/>
      <c r="LJ189" s="22"/>
      <c r="LK189" s="20"/>
      <c r="LL189" s="22"/>
      <c r="LM189" s="20"/>
      <c r="LN189" s="22"/>
      <c r="LO189" s="20"/>
      <c r="LP189" s="22"/>
      <c r="LQ189" s="20"/>
      <c r="LR189" s="22"/>
      <c r="LS189" s="20"/>
      <c r="LT189" s="22"/>
      <c r="LU189" s="20"/>
      <c r="LV189" s="22"/>
      <c r="LW189" s="20"/>
      <c r="LX189" s="22"/>
      <c r="LY189" s="20"/>
      <c r="LZ189" s="22"/>
      <c r="MA189" s="20"/>
      <c r="MB189" s="22"/>
      <c r="MC189" s="20"/>
      <c r="MD189" s="22"/>
      <c r="ME189" s="20"/>
      <c r="MF189" s="22"/>
      <c r="MG189" s="20"/>
      <c r="MH189" s="22"/>
      <c r="MI189" s="20"/>
      <c r="MJ189" s="22"/>
      <c r="MK189" s="20"/>
      <c r="ML189" s="22"/>
      <c r="MM189" s="20"/>
      <c r="MN189" s="22"/>
      <c r="MO189" s="20"/>
      <c r="MP189" s="22"/>
      <c r="MQ189" s="20"/>
      <c r="MR189" s="22"/>
      <c r="MS189" s="20"/>
      <c r="MT189" s="22"/>
      <c r="MU189" s="20"/>
      <c r="MV189" s="22"/>
      <c r="MW189" s="20"/>
      <c r="MX189" s="22"/>
      <c r="MY189" s="20"/>
      <c r="MZ189" s="22"/>
      <c r="NA189" s="20"/>
      <c r="NB189" s="22"/>
      <c r="NC189" s="20"/>
      <c r="ND189" s="22"/>
      <c r="NE189" s="20"/>
      <c r="NF189" s="73"/>
    </row>
    <row r="190" hidden="1">
      <c r="A190" s="237"/>
      <c r="B190" s="267"/>
      <c r="C190" s="277">
        <v>46183.0</v>
      </c>
      <c r="D190" s="280" t="s">
        <v>370</v>
      </c>
      <c r="E190" s="279" t="s">
        <v>47</v>
      </c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C190" s="73"/>
      <c r="DD190" s="73"/>
      <c r="DE190" s="73"/>
      <c r="DF190" s="73"/>
      <c r="DG190" s="73"/>
      <c r="DH190" s="73"/>
      <c r="DI190" s="73"/>
      <c r="DJ190" s="73"/>
      <c r="DK190" s="73"/>
      <c r="DL190" s="73"/>
      <c r="DM190" s="73"/>
      <c r="DN190" s="73"/>
      <c r="DO190" s="73"/>
      <c r="DP190" s="73"/>
      <c r="DQ190" s="73"/>
      <c r="DR190" s="73"/>
      <c r="DS190" s="73"/>
      <c r="DT190" s="73"/>
      <c r="DU190" s="73"/>
      <c r="DV190" s="22"/>
      <c r="DW190" s="20"/>
      <c r="DX190" s="22"/>
      <c r="DY190" s="20"/>
      <c r="DZ190" s="22"/>
      <c r="EA190" s="20"/>
      <c r="EB190" s="22"/>
      <c r="EC190" s="20"/>
      <c r="ED190" s="22"/>
      <c r="EE190" s="20"/>
      <c r="EF190" s="22"/>
      <c r="EG190" s="20"/>
      <c r="EH190" s="22"/>
      <c r="EI190" s="20"/>
      <c r="EJ190" s="22"/>
      <c r="EK190" s="20"/>
      <c r="EL190" s="22"/>
      <c r="EM190" s="20"/>
      <c r="EN190" s="22"/>
      <c r="EO190" s="20"/>
      <c r="EP190" s="22"/>
      <c r="EQ190" s="20"/>
      <c r="ER190" s="22"/>
      <c r="ES190" s="20"/>
      <c r="ET190" s="22"/>
      <c r="EU190" s="20"/>
      <c r="EV190" s="22"/>
      <c r="EW190" s="20"/>
      <c r="EX190" s="22"/>
      <c r="EY190" s="20"/>
      <c r="EZ190" s="22"/>
      <c r="FA190" s="20"/>
      <c r="FB190" s="22"/>
      <c r="FC190" s="20"/>
      <c r="FD190" s="22"/>
      <c r="FE190" s="20"/>
      <c r="FF190" s="22"/>
      <c r="FG190" s="20"/>
      <c r="FH190" s="22"/>
      <c r="FI190" s="20">
        <v>2.0</v>
      </c>
      <c r="FJ190" s="20" t="s">
        <v>371</v>
      </c>
      <c r="FK190" s="20"/>
      <c r="FL190" s="22"/>
      <c r="FM190" s="20"/>
      <c r="FN190" s="22"/>
      <c r="FO190" s="20"/>
      <c r="FP190" s="22"/>
      <c r="FQ190" s="20"/>
      <c r="FR190" s="22"/>
      <c r="FS190" s="20"/>
      <c r="FT190" s="22"/>
      <c r="FU190" s="20"/>
      <c r="FV190" s="22"/>
      <c r="FW190" s="20"/>
      <c r="FX190" s="22"/>
      <c r="FY190" s="20"/>
      <c r="FZ190" s="22"/>
      <c r="GA190" s="20"/>
      <c r="GB190" s="22"/>
      <c r="GC190" s="20"/>
      <c r="GD190" s="22"/>
      <c r="GE190" s="20"/>
      <c r="GF190" s="22"/>
      <c r="GG190" s="20"/>
      <c r="GH190" s="22"/>
      <c r="GI190" s="20"/>
      <c r="GJ190" s="22"/>
      <c r="GK190" s="20"/>
      <c r="GL190" s="22"/>
      <c r="GM190" s="20"/>
      <c r="GN190" s="22"/>
      <c r="GO190" s="20"/>
      <c r="GP190" s="22"/>
      <c r="GQ190" s="20"/>
      <c r="GR190" s="22"/>
      <c r="GS190" s="20"/>
      <c r="GT190" s="22"/>
      <c r="GU190" s="20"/>
      <c r="GV190" s="22"/>
      <c r="GW190" s="20"/>
      <c r="GX190" s="22"/>
      <c r="GY190" s="20"/>
      <c r="GZ190" s="22"/>
      <c r="HA190" s="20"/>
      <c r="HB190" s="22"/>
      <c r="HC190" s="20"/>
      <c r="HD190" s="22"/>
      <c r="HE190" s="20"/>
      <c r="HF190" s="22"/>
      <c r="HG190" s="20"/>
      <c r="HH190" s="22"/>
      <c r="HI190" s="20"/>
      <c r="HJ190" s="22"/>
      <c r="HK190" s="20"/>
      <c r="HL190" s="22"/>
      <c r="HM190" s="20"/>
      <c r="HN190" s="22"/>
      <c r="HO190" s="20"/>
      <c r="HP190" s="22"/>
      <c r="HQ190" s="20"/>
      <c r="HR190" s="22"/>
      <c r="HS190" s="20"/>
      <c r="HT190" s="22"/>
      <c r="HU190" s="20"/>
      <c r="HV190" s="22"/>
      <c r="HW190" s="20"/>
      <c r="HX190" s="22"/>
      <c r="HY190" s="20"/>
      <c r="HZ190" s="22"/>
      <c r="IA190" s="20"/>
      <c r="IB190" s="22"/>
      <c r="IC190" s="20"/>
      <c r="ID190" s="22"/>
      <c r="IE190" s="20"/>
      <c r="IF190" s="22"/>
      <c r="IG190" s="20"/>
      <c r="IH190" s="22"/>
      <c r="II190" s="20"/>
      <c r="IJ190" s="22"/>
      <c r="IK190" s="20"/>
      <c r="IL190" s="22"/>
      <c r="IM190" s="20"/>
      <c r="IN190" s="22"/>
      <c r="IO190" s="20"/>
      <c r="IP190" s="22"/>
      <c r="IQ190" s="20"/>
      <c r="IR190" s="22"/>
      <c r="IS190" s="20"/>
      <c r="IT190" s="22"/>
      <c r="IU190" s="20"/>
      <c r="IV190" s="22"/>
      <c r="IW190" s="20"/>
      <c r="IX190" s="22"/>
      <c r="IY190" s="20"/>
      <c r="IZ190" s="22"/>
      <c r="JA190" s="20"/>
      <c r="JB190" s="22"/>
      <c r="JC190" s="20"/>
      <c r="JD190" s="22"/>
      <c r="JE190" s="20"/>
      <c r="JF190" s="22"/>
      <c r="JG190" s="20"/>
      <c r="JH190" s="22"/>
      <c r="JI190" s="20"/>
      <c r="JJ190" s="22"/>
      <c r="JK190" s="20"/>
      <c r="JL190" s="22"/>
      <c r="JM190" s="20"/>
      <c r="JN190" s="22"/>
      <c r="JO190" s="20"/>
      <c r="JP190" s="22"/>
      <c r="JQ190" s="20"/>
      <c r="JR190" s="22"/>
      <c r="JS190" s="20"/>
      <c r="JT190" s="22"/>
      <c r="JU190" s="20"/>
      <c r="JV190" s="22"/>
      <c r="JW190" s="20"/>
      <c r="JX190" s="22"/>
      <c r="JY190" s="20"/>
      <c r="JZ190" s="22"/>
      <c r="KA190" s="20"/>
      <c r="KB190" s="22"/>
      <c r="KC190" s="20"/>
      <c r="KD190" s="22"/>
      <c r="KE190" s="20"/>
      <c r="KF190" s="22"/>
      <c r="KG190" s="20"/>
      <c r="KH190" s="22"/>
      <c r="KI190" s="20"/>
      <c r="KJ190" s="22"/>
      <c r="KK190" s="20"/>
      <c r="KL190" s="22"/>
      <c r="KM190" s="20"/>
      <c r="KN190" s="22"/>
      <c r="KO190" s="20"/>
      <c r="KP190" s="22"/>
      <c r="KQ190" s="20"/>
      <c r="KR190" s="22"/>
      <c r="KS190" s="20"/>
      <c r="KT190" s="22"/>
      <c r="KU190" s="20"/>
      <c r="KV190" s="22"/>
      <c r="KW190" s="20"/>
      <c r="KX190" s="22"/>
      <c r="KY190" s="20"/>
      <c r="KZ190" s="22"/>
      <c r="LA190" s="20"/>
      <c r="LB190" s="22"/>
      <c r="LC190" s="20"/>
      <c r="LD190" s="22"/>
      <c r="LE190" s="20"/>
      <c r="LF190" s="22"/>
      <c r="LG190" s="20"/>
      <c r="LH190" s="22"/>
      <c r="LI190" s="20"/>
      <c r="LJ190" s="22"/>
      <c r="LK190" s="20"/>
      <c r="LL190" s="22"/>
      <c r="LM190" s="20"/>
      <c r="LN190" s="22"/>
      <c r="LO190" s="20"/>
      <c r="LP190" s="22"/>
      <c r="LQ190" s="20"/>
      <c r="LR190" s="22"/>
      <c r="LS190" s="20"/>
      <c r="LT190" s="22"/>
      <c r="LU190" s="20"/>
      <c r="LV190" s="22"/>
      <c r="LW190" s="20"/>
      <c r="LX190" s="22"/>
      <c r="LY190" s="20"/>
      <c r="LZ190" s="22"/>
      <c r="MA190" s="20"/>
      <c r="MB190" s="22"/>
      <c r="MC190" s="20"/>
      <c r="MD190" s="22"/>
      <c r="ME190" s="20"/>
      <c r="MF190" s="22"/>
      <c r="MG190" s="20"/>
      <c r="MH190" s="22"/>
      <c r="MI190" s="20"/>
      <c r="MJ190" s="22"/>
      <c r="MK190" s="20"/>
      <c r="ML190" s="22"/>
      <c r="MM190" s="20"/>
      <c r="MN190" s="22"/>
      <c r="MO190" s="20"/>
      <c r="MP190" s="22"/>
      <c r="MQ190" s="20"/>
      <c r="MR190" s="22"/>
      <c r="MS190" s="20"/>
      <c r="MT190" s="22"/>
      <c r="MU190" s="20"/>
      <c r="MV190" s="22"/>
      <c r="MW190" s="20"/>
      <c r="MX190" s="22"/>
      <c r="MY190" s="20"/>
      <c r="MZ190" s="22"/>
      <c r="NA190" s="20"/>
      <c r="NB190" s="22"/>
      <c r="NC190" s="20"/>
      <c r="ND190" s="22"/>
      <c r="NE190" s="20"/>
      <c r="NF190" s="73"/>
    </row>
    <row r="191" hidden="1">
      <c r="A191" s="237"/>
      <c r="B191" s="267"/>
      <c r="C191" s="277">
        <v>46182.0</v>
      </c>
      <c r="D191" s="280" t="s">
        <v>372</v>
      </c>
      <c r="E191" s="279" t="s">
        <v>47</v>
      </c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73"/>
      <c r="DD191" s="73"/>
      <c r="DE191" s="73"/>
      <c r="DF191" s="73"/>
      <c r="DG191" s="73"/>
      <c r="DH191" s="73"/>
      <c r="DI191" s="73"/>
      <c r="DJ191" s="73"/>
      <c r="DK191" s="73"/>
      <c r="DL191" s="73"/>
      <c r="DM191" s="73"/>
      <c r="DN191" s="73"/>
      <c r="DO191" s="73"/>
      <c r="DP191" s="73"/>
      <c r="DQ191" s="73"/>
      <c r="DR191" s="73"/>
      <c r="DS191" s="73"/>
      <c r="DT191" s="73"/>
      <c r="DU191" s="73"/>
      <c r="DV191" s="22"/>
      <c r="DW191" s="20"/>
      <c r="DX191" s="22"/>
      <c r="DY191" s="20"/>
      <c r="DZ191" s="22"/>
      <c r="EA191" s="20"/>
      <c r="EB191" s="22"/>
      <c r="EC191" s="20"/>
      <c r="ED191" s="22"/>
      <c r="EE191" s="20"/>
      <c r="EF191" s="22"/>
      <c r="EG191" s="20"/>
      <c r="EH191" s="22"/>
      <c r="EI191" s="20"/>
      <c r="EJ191" s="22"/>
      <c r="EK191" s="20"/>
      <c r="EL191" s="22"/>
      <c r="EM191" s="20"/>
      <c r="EN191" s="22"/>
      <c r="EO191" s="20"/>
      <c r="EP191" s="22"/>
      <c r="EQ191" s="20"/>
      <c r="ER191" s="22"/>
      <c r="ES191" s="20"/>
      <c r="ET191" s="22"/>
      <c r="EU191" s="20"/>
      <c r="EV191" s="22"/>
      <c r="EW191" s="20"/>
      <c r="EX191" s="22"/>
      <c r="EY191" s="20"/>
      <c r="EZ191" s="22"/>
      <c r="FA191" s="20"/>
      <c r="FB191" s="22"/>
      <c r="FC191" s="20"/>
      <c r="FD191" s="22"/>
      <c r="FE191" s="20"/>
      <c r="FF191" s="22"/>
      <c r="FG191" s="20"/>
      <c r="FH191" s="22"/>
      <c r="FI191" s="20">
        <v>4.0</v>
      </c>
      <c r="FJ191" s="20"/>
      <c r="FK191" s="20"/>
      <c r="FL191" s="22"/>
      <c r="FM191" s="20"/>
      <c r="FN191" s="22"/>
      <c r="FO191" s="20"/>
      <c r="FP191" s="22"/>
      <c r="FQ191" s="20"/>
      <c r="FR191" s="22"/>
      <c r="FS191" s="20"/>
      <c r="FT191" s="22"/>
      <c r="FU191" s="20"/>
      <c r="FV191" s="22"/>
      <c r="FW191" s="20"/>
      <c r="FX191" s="22"/>
      <c r="FY191" s="20"/>
      <c r="FZ191" s="22"/>
      <c r="GA191" s="20"/>
      <c r="GB191" s="22"/>
      <c r="GC191" s="20"/>
      <c r="GD191" s="22"/>
      <c r="GE191" s="20"/>
      <c r="GF191" s="22"/>
      <c r="GG191" s="20"/>
      <c r="GH191" s="22"/>
      <c r="GI191" s="20"/>
      <c r="GJ191" s="22"/>
      <c r="GK191" s="20"/>
      <c r="GL191" s="22"/>
      <c r="GM191" s="20"/>
      <c r="GN191" s="22"/>
      <c r="GO191" s="20"/>
      <c r="GP191" s="22"/>
      <c r="GQ191" s="20"/>
      <c r="GR191" s="22"/>
      <c r="GS191" s="20"/>
      <c r="GT191" s="22"/>
      <c r="GU191" s="20"/>
      <c r="GV191" s="22"/>
      <c r="GW191" s="20"/>
      <c r="GX191" s="22"/>
      <c r="GY191" s="20"/>
      <c r="GZ191" s="22"/>
      <c r="HA191" s="20"/>
      <c r="HB191" s="22"/>
      <c r="HC191" s="20"/>
      <c r="HD191" s="22"/>
      <c r="HE191" s="20"/>
      <c r="HF191" s="22"/>
      <c r="HG191" s="20"/>
      <c r="HH191" s="22"/>
      <c r="HI191" s="20"/>
      <c r="HJ191" s="22"/>
      <c r="HK191" s="20"/>
      <c r="HL191" s="22"/>
      <c r="HM191" s="20"/>
      <c r="HN191" s="22"/>
      <c r="HO191" s="20"/>
      <c r="HP191" s="22"/>
      <c r="HQ191" s="20"/>
      <c r="HR191" s="22"/>
      <c r="HS191" s="20"/>
      <c r="HT191" s="22"/>
      <c r="HU191" s="20"/>
      <c r="HV191" s="22"/>
      <c r="HW191" s="20"/>
      <c r="HX191" s="22"/>
      <c r="HY191" s="20"/>
      <c r="HZ191" s="22"/>
      <c r="IA191" s="20"/>
      <c r="IB191" s="22"/>
      <c r="IC191" s="20"/>
      <c r="ID191" s="22"/>
      <c r="IE191" s="20"/>
      <c r="IF191" s="22"/>
      <c r="IG191" s="20"/>
      <c r="IH191" s="22"/>
      <c r="II191" s="20"/>
      <c r="IJ191" s="22"/>
      <c r="IK191" s="20"/>
      <c r="IL191" s="22"/>
      <c r="IM191" s="20"/>
      <c r="IN191" s="22"/>
      <c r="IO191" s="20"/>
      <c r="IP191" s="22"/>
      <c r="IQ191" s="20"/>
      <c r="IR191" s="22"/>
      <c r="IS191" s="20"/>
      <c r="IT191" s="22"/>
      <c r="IU191" s="20"/>
      <c r="IV191" s="22"/>
      <c r="IW191" s="20"/>
      <c r="IX191" s="22"/>
      <c r="IY191" s="20"/>
      <c r="IZ191" s="22"/>
      <c r="JA191" s="20"/>
      <c r="JB191" s="22"/>
      <c r="JC191" s="20"/>
      <c r="JD191" s="22"/>
      <c r="JE191" s="20"/>
      <c r="JF191" s="22"/>
      <c r="JG191" s="20"/>
      <c r="JH191" s="22"/>
      <c r="JI191" s="20"/>
      <c r="JJ191" s="22"/>
      <c r="JK191" s="20"/>
      <c r="JL191" s="22"/>
      <c r="JM191" s="20"/>
      <c r="JN191" s="22"/>
      <c r="JO191" s="20"/>
      <c r="JP191" s="22"/>
      <c r="JQ191" s="20"/>
      <c r="JR191" s="22"/>
      <c r="JS191" s="20"/>
      <c r="JT191" s="22"/>
      <c r="JU191" s="20"/>
      <c r="JV191" s="22"/>
      <c r="JW191" s="20"/>
      <c r="JX191" s="22"/>
      <c r="JY191" s="20"/>
      <c r="JZ191" s="22"/>
      <c r="KA191" s="20"/>
      <c r="KB191" s="22"/>
      <c r="KC191" s="20"/>
      <c r="KD191" s="22"/>
      <c r="KE191" s="20"/>
      <c r="KF191" s="22"/>
      <c r="KG191" s="20"/>
      <c r="KH191" s="22"/>
      <c r="KI191" s="20"/>
      <c r="KJ191" s="22"/>
      <c r="KK191" s="20"/>
      <c r="KL191" s="22"/>
      <c r="KM191" s="20"/>
      <c r="KN191" s="22"/>
      <c r="KO191" s="20"/>
      <c r="KP191" s="22"/>
      <c r="KQ191" s="20"/>
      <c r="KR191" s="22"/>
      <c r="KS191" s="20"/>
      <c r="KT191" s="22"/>
      <c r="KU191" s="20"/>
      <c r="KV191" s="22"/>
      <c r="KW191" s="20"/>
      <c r="KX191" s="22"/>
      <c r="KY191" s="20"/>
      <c r="KZ191" s="22"/>
      <c r="LA191" s="20"/>
      <c r="LB191" s="22"/>
      <c r="LC191" s="20"/>
      <c r="LD191" s="22"/>
      <c r="LE191" s="20"/>
      <c r="LF191" s="22"/>
      <c r="LG191" s="20"/>
      <c r="LH191" s="22"/>
      <c r="LI191" s="20"/>
      <c r="LJ191" s="22"/>
      <c r="LK191" s="20"/>
      <c r="LL191" s="22"/>
      <c r="LM191" s="20"/>
      <c r="LN191" s="22"/>
      <c r="LO191" s="20"/>
      <c r="LP191" s="22"/>
      <c r="LQ191" s="20"/>
      <c r="LR191" s="22"/>
      <c r="LS191" s="20"/>
      <c r="LT191" s="22"/>
      <c r="LU191" s="20"/>
      <c r="LV191" s="22"/>
      <c r="LW191" s="20"/>
      <c r="LX191" s="22"/>
      <c r="LY191" s="20"/>
      <c r="LZ191" s="22"/>
      <c r="MA191" s="20"/>
      <c r="MB191" s="22"/>
      <c r="MC191" s="20"/>
      <c r="MD191" s="22"/>
      <c r="ME191" s="20"/>
      <c r="MF191" s="22"/>
      <c r="MG191" s="20"/>
      <c r="MH191" s="22"/>
      <c r="MI191" s="20"/>
      <c r="MJ191" s="22"/>
      <c r="MK191" s="20"/>
      <c r="ML191" s="22"/>
      <c r="MM191" s="20"/>
      <c r="MN191" s="22"/>
      <c r="MO191" s="20"/>
      <c r="MP191" s="22"/>
      <c r="MQ191" s="20"/>
      <c r="MR191" s="22"/>
      <c r="MS191" s="20"/>
      <c r="MT191" s="22"/>
      <c r="MU191" s="20"/>
      <c r="MV191" s="22"/>
      <c r="MW191" s="20"/>
      <c r="MX191" s="22"/>
      <c r="MY191" s="20"/>
      <c r="MZ191" s="22"/>
      <c r="NA191" s="20"/>
      <c r="NB191" s="22"/>
      <c r="NC191" s="20"/>
      <c r="ND191" s="22"/>
      <c r="NE191" s="20"/>
      <c r="NF191" s="73"/>
    </row>
    <row r="192" hidden="1">
      <c r="A192" s="237"/>
      <c r="B192" s="267"/>
      <c r="C192" s="277">
        <v>46183.0</v>
      </c>
      <c r="D192" s="282" t="s">
        <v>373</v>
      </c>
      <c r="E192" s="279" t="s">
        <v>47</v>
      </c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/>
      <c r="CU192" s="73"/>
      <c r="CV192" s="73"/>
      <c r="CW192" s="73"/>
      <c r="CX192" s="73"/>
      <c r="CY192" s="73"/>
      <c r="CZ192" s="73"/>
      <c r="DA192" s="73"/>
      <c r="DB192" s="73"/>
      <c r="DC192" s="73"/>
      <c r="DD192" s="73"/>
      <c r="DE192" s="73"/>
      <c r="DF192" s="73"/>
      <c r="DG192" s="73"/>
      <c r="DH192" s="73"/>
      <c r="DI192" s="73"/>
      <c r="DJ192" s="73"/>
      <c r="DK192" s="73"/>
      <c r="DL192" s="73"/>
      <c r="DM192" s="73"/>
      <c r="DN192" s="73"/>
      <c r="DO192" s="73"/>
      <c r="DP192" s="73"/>
      <c r="DQ192" s="73"/>
      <c r="DR192" s="73"/>
      <c r="DS192" s="73"/>
      <c r="DT192" s="73"/>
      <c r="DU192" s="73"/>
      <c r="DV192" s="22"/>
      <c r="DW192" s="20"/>
      <c r="DX192" s="22"/>
      <c r="DY192" s="20"/>
      <c r="DZ192" s="22"/>
      <c r="EA192" s="20"/>
      <c r="EB192" s="22"/>
      <c r="EC192" s="20"/>
      <c r="ED192" s="22"/>
      <c r="EE192" s="20"/>
      <c r="EF192" s="22"/>
      <c r="EG192" s="20"/>
      <c r="EH192" s="22"/>
      <c r="EI192" s="20"/>
      <c r="EJ192" s="22"/>
      <c r="EK192" s="20"/>
      <c r="EL192" s="22"/>
      <c r="EM192" s="20"/>
      <c r="EN192" s="22"/>
      <c r="EO192" s="20"/>
      <c r="EP192" s="22"/>
      <c r="EQ192" s="20"/>
      <c r="ER192" s="22"/>
      <c r="ES192" s="20"/>
      <c r="ET192" s="22"/>
      <c r="EU192" s="20"/>
      <c r="EV192" s="22"/>
      <c r="EW192" s="20"/>
      <c r="EX192" s="22"/>
      <c r="EY192" s="20"/>
      <c r="EZ192" s="22"/>
      <c r="FA192" s="20"/>
      <c r="FB192" s="22"/>
      <c r="FC192" s="20"/>
      <c r="FD192" s="22"/>
      <c r="FE192" s="20"/>
      <c r="FF192" s="22"/>
      <c r="FG192" s="20"/>
      <c r="FH192" s="22"/>
      <c r="FI192" s="20"/>
      <c r="FJ192" s="20">
        <v>4.0</v>
      </c>
      <c r="FK192" s="20"/>
      <c r="FL192" s="22"/>
      <c r="FM192" s="20"/>
      <c r="FN192" s="22"/>
      <c r="FO192" s="20"/>
      <c r="FP192" s="22"/>
      <c r="FQ192" s="20"/>
      <c r="FR192" s="22"/>
      <c r="FS192" s="20"/>
      <c r="FT192" s="22"/>
      <c r="FU192" s="20"/>
      <c r="FV192" s="22"/>
      <c r="FW192" s="20"/>
      <c r="FX192" s="22"/>
      <c r="FY192" s="20"/>
      <c r="FZ192" s="22"/>
      <c r="GA192" s="20"/>
      <c r="GB192" s="22"/>
      <c r="GC192" s="20"/>
      <c r="GD192" s="22"/>
      <c r="GE192" s="20"/>
      <c r="GF192" s="22"/>
      <c r="GG192" s="20"/>
      <c r="GH192" s="22"/>
      <c r="GI192" s="20"/>
      <c r="GJ192" s="22"/>
      <c r="GK192" s="20"/>
      <c r="GL192" s="22"/>
      <c r="GM192" s="20"/>
      <c r="GN192" s="22"/>
      <c r="GO192" s="20"/>
      <c r="GP192" s="22"/>
      <c r="GQ192" s="20"/>
      <c r="GR192" s="22"/>
      <c r="GS192" s="20"/>
      <c r="GT192" s="22"/>
      <c r="GU192" s="20"/>
      <c r="GV192" s="22"/>
      <c r="GW192" s="20"/>
      <c r="GX192" s="22"/>
      <c r="GY192" s="20"/>
      <c r="GZ192" s="22"/>
      <c r="HA192" s="20"/>
      <c r="HB192" s="22"/>
      <c r="HC192" s="20"/>
      <c r="HD192" s="22"/>
      <c r="HE192" s="20"/>
      <c r="HF192" s="22"/>
      <c r="HG192" s="20"/>
      <c r="HH192" s="22"/>
      <c r="HI192" s="20"/>
      <c r="HJ192" s="22"/>
      <c r="HK192" s="20"/>
      <c r="HL192" s="22"/>
      <c r="HM192" s="20"/>
      <c r="HN192" s="22"/>
      <c r="HO192" s="20"/>
      <c r="HP192" s="22"/>
      <c r="HQ192" s="20"/>
      <c r="HR192" s="22"/>
      <c r="HS192" s="20"/>
      <c r="HT192" s="22"/>
      <c r="HU192" s="20"/>
      <c r="HV192" s="22"/>
      <c r="HW192" s="20"/>
      <c r="HX192" s="22"/>
      <c r="HY192" s="20"/>
      <c r="HZ192" s="22"/>
      <c r="IA192" s="20"/>
      <c r="IB192" s="22"/>
      <c r="IC192" s="20"/>
      <c r="ID192" s="22"/>
      <c r="IE192" s="20"/>
      <c r="IF192" s="22"/>
      <c r="IG192" s="20"/>
      <c r="IH192" s="22"/>
      <c r="II192" s="20"/>
      <c r="IJ192" s="22"/>
      <c r="IK192" s="20"/>
      <c r="IL192" s="22"/>
      <c r="IM192" s="20"/>
      <c r="IN192" s="22"/>
      <c r="IO192" s="20"/>
      <c r="IP192" s="22"/>
      <c r="IQ192" s="20"/>
      <c r="IR192" s="22"/>
      <c r="IS192" s="20"/>
      <c r="IT192" s="22"/>
      <c r="IU192" s="20"/>
      <c r="IV192" s="22"/>
      <c r="IW192" s="20"/>
      <c r="IX192" s="22"/>
      <c r="IY192" s="20"/>
      <c r="IZ192" s="22"/>
      <c r="JA192" s="20"/>
      <c r="JB192" s="22"/>
      <c r="JC192" s="20"/>
      <c r="JD192" s="22"/>
      <c r="JE192" s="20"/>
      <c r="JF192" s="22"/>
      <c r="JG192" s="20"/>
      <c r="JH192" s="22"/>
      <c r="JI192" s="20"/>
      <c r="JJ192" s="22"/>
      <c r="JK192" s="20"/>
      <c r="JL192" s="22"/>
      <c r="JM192" s="20"/>
      <c r="JN192" s="22"/>
      <c r="JO192" s="20"/>
      <c r="JP192" s="22"/>
      <c r="JQ192" s="20"/>
      <c r="JR192" s="22"/>
      <c r="JS192" s="20"/>
      <c r="JT192" s="22"/>
      <c r="JU192" s="20"/>
      <c r="JV192" s="22"/>
      <c r="JW192" s="20"/>
      <c r="JX192" s="22"/>
      <c r="JY192" s="20"/>
      <c r="JZ192" s="22"/>
      <c r="KA192" s="20"/>
      <c r="KB192" s="22"/>
      <c r="KC192" s="20"/>
      <c r="KD192" s="22"/>
      <c r="KE192" s="20"/>
      <c r="KF192" s="22"/>
      <c r="KG192" s="20"/>
      <c r="KH192" s="22"/>
      <c r="KI192" s="20"/>
      <c r="KJ192" s="22"/>
      <c r="KK192" s="20"/>
      <c r="KL192" s="22"/>
      <c r="KM192" s="20"/>
      <c r="KN192" s="22"/>
      <c r="KO192" s="20"/>
      <c r="KP192" s="22"/>
      <c r="KQ192" s="20"/>
      <c r="KR192" s="22"/>
      <c r="KS192" s="20"/>
      <c r="KT192" s="22"/>
      <c r="KU192" s="20"/>
      <c r="KV192" s="22"/>
      <c r="KW192" s="20"/>
      <c r="KX192" s="22"/>
      <c r="KY192" s="20"/>
      <c r="KZ192" s="22"/>
      <c r="LA192" s="20"/>
      <c r="LB192" s="22"/>
      <c r="LC192" s="20"/>
      <c r="LD192" s="22"/>
      <c r="LE192" s="20"/>
      <c r="LF192" s="22"/>
      <c r="LG192" s="20"/>
      <c r="LH192" s="22"/>
      <c r="LI192" s="20"/>
      <c r="LJ192" s="22"/>
      <c r="LK192" s="20"/>
      <c r="LL192" s="22"/>
      <c r="LM192" s="20"/>
      <c r="LN192" s="22"/>
      <c r="LO192" s="20"/>
      <c r="LP192" s="22"/>
      <c r="LQ192" s="20"/>
      <c r="LR192" s="22"/>
      <c r="LS192" s="20"/>
      <c r="LT192" s="22"/>
      <c r="LU192" s="20"/>
      <c r="LV192" s="22"/>
      <c r="LW192" s="20"/>
      <c r="LX192" s="22"/>
      <c r="LY192" s="20"/>
      <c r="LZ192" s="22"/>
      <c r="MA192" s="20"/>
      <c r="MB192" s="22"/>
      <c r="MC192" s="20"/>
      <c r="MD192" s="22"/>
      <c r="ME192" s="20"/>
      <c r="MF192" s="22"/>
      <c r="MG192" s="20"/>
      <c r="MH192" s="22"/>
      <c r="MI192" s="20"/>
      <c r="MJ192" s="22"/>
      <c r="MK192" s="20"/>
      <c r="ML192" s="22"/>
      <c r="MM192" s="20"/>
      <c r="MN192" s="22"/>
      <c r="MO192" s="20"/>
      <c r="MP192" s="22"/>
      <c r="MQ192" s="20"/>
      <c r="MR192" s="22"/>
      <c r="MS192" s="20"/>
      <c r="MT192" s="22"/>
      <c r="MU192" s="20"/>
      <c r="MV192" s="22"/>
      <c r="MW192" s="20"/>
      <c r="MX192" s="22"/>
      <c r="MY192" s="20"/>
      <c r="MZ192" s="22"/>
      <c r="NA192" s="20"/>
      <c r="NB192" s="22"/>
      <c r="NC192" s="20"/>
      <c r="ND192" s="22"/>
      <c r="NE192" s="20"/>
      <c r="NF192" s="73"/>
    </row>
    <row r="193" hidden="1">
      <c r="A193" s="237"/>
      <c r="B193" s="267"/>
      <c r="C193" s="277">
        <v>46183.0</v>
      </c>
      <c r="D193" s="280" t="s">
        <v>374</v>
      </c>
      <c r="E193" s="279" t="s">
        <v>47</v>
      </c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  <c r="CK193" s="73"/>
      <c r="CL193" s="73"/>
      <c r="CM193" s="73"/>
      <c r="CN193" s="73"/>
      <c r="CO193" s="73"/>
      <c r="CP193" s="73"/>
      <c r="CQ193" s="73"/>
      <c r="CR193" s="73"/>
      <c r="CS193" s="73"/>
      <c r="CT193" s="73"/>
      <c r="CU193" s="73"/>
      <c r="CV193" s="73"/>
      <c r="CW193" s="73"/>
      <c r="CX193" s="73"/>
      <c r="CY193" s="73"/>
      <c r="CZ193" s="73"/>
      <c r="DA193" s="73"/>
      <c r="DB193" s="73"/>
      <c r="DC193" s="73"/>
      <c r="DD193" s="73"/>
      <c r="DE193" s="73"/>
      <c r="DF193" s="73"/>
      <c r="DG193" s="73"/>
      <c r="DH193" s="73"/>
      <c r="DI193" s="73"/>
      <c r="DJ193" s="73"/>
      <c r="DK193" s="73"/>
      <c r="DL193" s="73"/>
      <c r="DM193" s="73"/>
      <c r="DN193" s="73"/>
      <c r="DO193" s="73"/>
      <c r="DP193" s="73"/>
      <c r="DQ193" s="73"/>
      <c r="DR193" s="73"/>
      <c r="DS193" s="73"/>
      <c r="DT193" s="73"/>
      <c r="DU193" s="73"/>
      <c r="DV193" s="22"/>
      <c r="DW193" s="20"/>
      <c r="DX193" s="22"/>
      <c r="DY193" s="20"/>
      <c r="DZ193" s="22"/>
      <c r="EA193" s="20"/>
      <c r="EB193" s="22"/>
      <c r="EC193" s="20"/>
      <c r="ED193" s="22"/>
      <c r="EE193" s="20"/>
      <c r="EF193" s="22"/>
      <c r="EG193" s="20"/>
      <c r="EH193" s="22"/>
      <c r="EI193" s="20"/>
      <c r="EJ193" s="22"/>
      <c r="EK193" s="20"/>
      <c r="EL193" s="22"/>
      <c r="EM193" s="20"/>
      <c r="EN193" s="22"/>
      <c r="EO193" s="20"/>
      <c r="EP193" s="22"/>
      <c r="EQ193" s="20"/>
      <c r="ER193" s="22"/>
      <c r="ES193" s="20"/>
      <c r="ET193" s="22"/>
      <c r="EU193" s="20"/>
      <c r="EV193" s="22"/>
      <c r="EW193" s="20"/>
      <c r="EX193" s="22"/>
      <c r="EY193" s="20"/>
      <c r="EZ193" s="22"/>
      <c r="FA193" s="20"/>
      <c r="FB193" s="22"/>
      <c r="FC193" s="20"/>
      <c r="FD193" s="22"/>
      <c r="FE193" s="20"/>
      <c r="FF193" s="22"/>
      <c r="FG193" s="20"/>
      <c r="FH193" s="22"/>
      <c r="FI193" s="20">
        <v>2.0</v>
      </c>
      <c r="FJ193" s="20"/>
      <c r="FK193" s="20"/>
      <c r="FL193" s="22"/>
      <c r="FM193" s="20"/>
      <c r="FN193" s="22"/>
      <c r="FO193" s="20"/>
      <c r="FP193" s="22"/>
      <c r="FQ193" s="20"/>
      <c r="FR193" s="22"/>
      <c r="FS193" s="20"/>
      <c r="FT193" s="22"/>
      <c r="FU193" s="20"/>
      <c r="FV193" s="22"/>
      <c r="FW193" s="20"/>
      <c r="FX193" s="22"/>
      <c r="FY193" s="20"/>
      <c r="FZ193" s="22"/>
      <c r="GA193" s="20"/>
      <c r="GB193" s="22"/>
      <c r="GC193" s="20"/>
      <c r="GD193" s="22"/>
      <c r="GE193" s="20"/>
      <c r="GF193" s="22"/>
      <c r="GG193" s="20"/>
      <c r="GH193" s="22"/>
      <c r="GI193" s="20"/>
      <c r="GJ193" s="22"/>
      <c r="GK193" s="20"/>
      <c r="GL193" s="22"/>
      <c r="GM193" s="20"/>
      <c r="GN193" s="22"/>
      <c r="GO193" s="20"/>
      <c r="GP193" s="22"/>
      <c r="GQ193" s="20"/>
      <c r="GR193" s="22"/>
      <c r="GS193" s="20"/>
      <c r="GT193" s="22"/>
      <c r="GU193" s="20"/>
      <c r="GV193" s="22"/>
      <c r="GW193" s="20"/>
      <c r="GX193" s="22"/>
      <c r="GY193" s="20"/>
      <c r="GZ193" s="22"/>
      <c r="HA193" s="20"/>
      <c r="HB193" s="22"/>
      <c r="HC193" s="20"/>
      <c r="HD193" s="22"/>
      <c r="HE193" s="20"/>
      <c r="HF193" s="22"/>
      <c r="HG193" s="20"/>
      <c r="HH193" s="22"/>
      <c r="HI193" s="20"/>
      <c r="HJ193" s="22"/>
      <c r="HK193" s="20"/>
      <c r="HL193" s="22"/>
      <c r="HM193" s="20"/>
      <c r="HN193" s="22"/>
      <c r="HO193" s="20"/>
      <c r="HP193" s="22"/>
      <c r="HQ193" s="20"/>
      <c r="HR193" s="22"/>
      <c r="HS193" s="20"/>
      <c r="HT193" s="22"/>
      <c r="HU193" s="20"/>
      <c r="HV193" s="22"/>
      <c r="HW193" s="20"/>
      <c r="HX193" s="22"/>
      <c r="HY193" s="20"/>
      <c r="HZ193" s="22"/>
      <c r="IA193" s="20"/>
      <c r="IB193" s="22"/>
      <c r="IC193" s="20"/>
      <c r="ID193" s="22"/>
      <c r="IE193" s="20"/>
      <c r="IF193" s="22"/>
      <c r="IG193" s="20"/>
      <c r="IH193" s="22"/>
      <c r="II193" s="20"/>
      <c r="IJ193" s="22"/>
      <c r="IK193" s="20"/>
      <c r="IL193" s="22"/>
      <c r="IM193" s="20"/>
      <c r="IN193" s="22"/>
      <c r="IO193" s="20"/>
      <c r="IP193" s="22"/>
      <c r="IQ193" s="20"/>
      <c r="IR193" s="22"/>
      <c r="IS193" s="20"/>
      <c r="IT193" s="22"/>
      <c r="IU193" s="20"/>
      <c r="IV193" s="22"/>
      <c r="IW193" s="20"/>
      <c r="IX193" s="22"/>
      <c r="IY193" s="20"/>
      <c r="IZ193" s="22"/>
      <c r="JA193" s="20"/>
      <c r="JB193" s="22"/>
      <c r="JC193" s="20"/>
      <c r="JD193" s="22"/>
      <c r="JE193" s="20"/>
      <c r="JF193" s="22"/>
      <c r="JG193" s="20"/>
      <c r="JH193" s="22"/>
      <c r="JI193" s="20"/>
      <c r="JJ193" s="22"/>
      <c r="JK193" s="20"/>
      <c r="JL193" s="22"/>
      <c r="JM193" s="20"/>
      <c r="JN193" s="22"/>
      <c r="JO193" s="20"/>
      <c r="JP193" s="22"/>
      <c r="JQ193" s="20"/>
      <c r="JR193" s="22"/>
      <c r="JS193" s="20"/>
      <c r="JT193" s="22"/>
      <c r="JU193" s="20"/>
      <c r="JV193" s="22"/>
      <c r="JW193" s="20"/>
      <c r="JX193" s="22"/>
      <c r="JY193" s="20"/>
      <c r="JZ193" s="22"/>
      <c r="KA193" s="20"/>
      <c r="KB193" s="22"/>
      <c r="KC193" s="20"/>
      <c r="KD193" s="22"/>
      <c r="KE193" s="20"/>
      <c r="KF193" s="22"/>
      <c r="KG193" s="20"/>
      <c r="KH193" s="22"/>
      <c r="KI193" s="20"/>
      <c r="KJ193" s="22"/>
      <c r="KK193" s="20"/>
      <c r="KL193" s="22"/>
      <c r="KM193" s="20"/>
      <c r="KN193" s="22"/>
      <c r="KO193" s="20"/>
      <c r="KP193" s="22"/>
      <c r="KQ193" s="20"/>
      <c r="KR193" s="22"/>
      <c r="KS193" s="20"/>
      <c r="KT193" s="22"/>
      <c r="KU193" s="20"/>
      <c r="KV193" s="22"/>
      <c r="KW193" s="20"/>
      <c r="KX193" s="22"/>
      <c r="KY193" s="20"/>
      <c r="KZ193" s="22"/>
      <c r="LA193" s="20"/>
      <c r="LB193" s="22"/>
      <c r="LC193" s="20"/>
      <c r="LD193" s="22"/>
      <c r="LE193" s="20"/>
      <c r="LF193" s="22"/>
      <c r="LG193" s="20"/>
      <c r="LH193" s="22"/>
      <c r="LI193" s="20"/>
      <c r="LJ193" s="22"/>
      <c r="LK193" s="20"/>
      <c r="LL193" s="22"/>
      <c r="LM193" s="20"/>
      <c r="LN193" s="22"/>
      <c r="LO193" s="20"/>
      <c r="LP193" s="22"/>
      <c r="LQ193" s="20"/>
      <c r="LR193" s="22"/>
      <c r="LS193" s="20"/>
      <c r="LT193" s="22"/>
      <c r="LU193" s="20"/>
      <c r="LV193" s="22"/>
      <c r="LW193" s="20"/>
      <c r="LX193" s="22"/>
      <c r="LY193" s="20"/>
      <c r="LZ193" s="22"/>
      <c r="MA193" s="20"/>
      <c r="MB193" s="22"/>
      <c r="MC193" s="20"/>
      <c r="MD193" s="22"/>
      <c r="ME193" s="20"/>
      <c r="MF193" s="22"/>
      <c r="MG193" s="20"/>
      <c r="MH193" s="22"/>
      <c r="MI193" s="20"/>
      <c r="MJ193" s="22"/>
      <c r="MK193" s="20"/>
      <c r="ML193" s="22"/>
      <c r="MM193" s="20"/>
      <c r="MN193" s="22"/>
      <c r="MO193" s="20"/>
      <c r="MP193" s="22"/>
      <c r="MQ193" s="20"/>
      <c r="MR193" s="22"/>
      <c r="MS193" s="20"/>
      <c r="MT193" s="22"/>
      <c r="MU193" s="20"/>
      <c r="MV193" s="22"/>
      <c r="MW193" s="20"/>
      <c r="MX193" s="22"/>
      <c r="MY193" s="20"/>
      <c r="MZ193" s="22"/>
      <c r="NA193" s="20"/>
      <c r="NB193" s="22"/>
      <c r="NC193" s="20"/>
      <c r="ND193" s="22"/>
      <c r="NE193" s="20"/>
      <c r="NF193" s="73"/>
    </row>
    <row r="194" hidden="1">
      <c r="A194" s="237"/>
      <c r="B194" s="267"/>
      <c r="C194" s="277">
        <v>46184.0</v>
      </c>
      <c r="D194" s="280" t="s">
        <v>375</v>
      </c>
      <c r="E194" s="279" t="s">
        <v>47</v>
      </c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  <c r="CK194" s="73"/>
      <c r="CL194" s="73"/>
      <c r="CM194" s="73"/>
      <c r="CN194" s="73"/>
      <c r="CO194" s="73"/>
      <c r="CP194" s="73"/>
      <c r="CQ194" s="73"/>
      <c r="CR194" s="73"/>
      <c r="CS194" s="73"/>
      <c r="CT194" s="73"/>
      <c r="CU194" s="73"/>
      <c r="CV194" s="73"/>
      <c r="CW194" s="73"/>
      <c r="CX194" s="73"/>
      <c r="CY194" s="73"/>
      <c r="CZ194" s="73"/>
      <c r="DA194" s="73"/>
      <c r="DB194" s="73"/>
      <c r="DC194" s="73"/>
      <c r="DD194" s="73"/>
      <c r="DE194" s="73"/>
      <c r="DF194" s="73"/>
      <c r="DG194" s="73"/>
      <c r="DH194" s="73"/>
      <c r="DI194" s="73"/>
      <c r="DJ194" s="73"/>
      <c r="DK194" s="73"/>
      <c r="DL194" s="73"/>
      <c r="DM194" s="73"/>
      <c r="DN194" s="73"/>
      <c r="DO194" s="73"/>
      <c r="DP194" s="73"/>
      <c r="DQ194" s="73"/>
      <c r="DR194" s="73"/>
      <c r="DS194" s="73"/>
      <c r="DT194" s="73"/>
      <c r="DU194" s="73"/>
      <c r="DV194" s="22"/>
      <c r="DW194" s="20"/>
      <c r="DX194" s="22"/>
      <c r="DY194" s="20"/>
      <c r="DZ194" s="22"/>
      <c r="EA194" s="20"/>
      <c r="EB194" s="22"/>
      <c r="EC194" s="20"/>
      <c r="ED194" s="22"/>
      <c r="EE194" s="20"/>
      <c r="EF194" s="22"/>
      <c r="EG194" s="20"/>
      <c r="EH194" s="22"/>
      <c r="EI194" s="20"/>
      <c r="EJ194" s="22"/>
      <c r="EK194" s="20"/>
      <c r="EL194" s="22"/>
      <c r="EM194" s="20"/>
      <c r="EN194" s="22"/>
      <c r="EO194" s="20"/>
      <c r="EP194" s="22"/>
      <c r="EQ194" s="20"/>
      <c r="ER194" s="22"/>
      <c r="ES194" s="20"/>
      <c r="ET194" s="22"/>
      <c r="EU194" s="20"/>
      <c r="EV194" s="22"/>
      <c r="EW194" s="20"/>
      <c r="EX194" s="22"/>
      <c r="EY194" s="20"/>
      <c r="EZ194" s="22"/>
      <c r="FA194" s="20"/>
      <c r="FB194" s="22"/>
      <c r="FC194" s="20"/>
      <c r="FD194" s="22"/>
      <c r="FE194" s="20"/>
      <c r="FF194" s="22"/>
      <c r="FG194" s="20"/>
      <c r="FH194" s="22"/>
      <c r="FI194" s="20"/>
      <c r="FJ194" s="20">
        <v>1.0</v>
      </c>
      <c r="FK194" s="20">
        <v>4.0</v>
      </c>
      <c r="FL194" s="22"/>
      <c r="FM194" s="20"/>
      <c r="FN194" s="22"/>
      <c r="FO194" s="20"/>
      <c r="FP194" s="22"/>
      <c r="FQ194" s="20"/>
      <c r="FR194" s="22"/>
      <c r="FS194" s="20"/>
      <c r="FT194" s="22"/>
      <c r="FU194" s="20"/>
      <c r="FV194" s="22"/>
      <c r="FW194" s="20"/>
      <c r="FX194" s="22"/>
      <c r="FY194" s="20"/>
      <c r="FZ194" s="22"/>
      <c r="GA194" s="20"/>
      <c r="GB194" s="22"/>
      <c r="GC194" s="20"/>
      <c r="GD194" s="22"/>
      <c r="GE194" s="20"/>
      <c r="GF194" s="22"/>
      <c r="GG194" s="20"/>
      <c r="GH194" s="22"/>
      <c r="GI194" s="20"/>
      <c r="GJ194" s="22"/>
      <c r="GK194" s="20"/>
      <c r="GL194" s="22"/>
      <c r="GM194" s="20"/>
      <c r="GN194" s="22"/>
      <c r="GO194" s="20"/>
      <c r="GP194" s="22"/>
      <c r="GQ194" s="20"/>
      <c r="GR194" s="22"/>
      <c r="GS194" s="20"/>
      <c r="GT194" s="22"/>
      <c r="GU194" s="20"/>
      <c r="GV194" s="22"/>
      <c r="GW194" s="20"/>
      <c r="GX194" s="22"/>
      <c r="GY194" s="20"/>
      <c r="GZ194" s="22"/>
      <c r="HA194" s="20"/>
      <c r="HB194" s="22"/>
      <c r="HC194" s="20"/>
      <c r="HD194" s="22"/>
      <c r="HE194" s="20"/>
      <c r="HF194" s="22"/>
      <c r="HG194" s="20"/>
      <c r="HH194" s="22"/>
      <c r="HI194" s="20"/>
      <c r="HJ194" s="22"/>
      <c r="HK194" s="20"/>
      <c r="HL194" s="22"/>
      <c r="HM194" s="20"/>
      <c r="HN194" s="22"/>
      <c r="HO194" s="20"/>
      <c r="HP194" s="22"/>
      <c r="HQ194" s="20"/>
      <c r="HR194" s="22"/>
      <c r="HS194" s="20"/>
      <c r="HT194" s="22"/>
      <c r="HU194" s="20"/>
      <c r="HV194" s="22"/>
      <c r="HW194" s="20"/>
      <c r="HX194" s="22"/>
      <c r="HY194" s="20"/>
      <c r="HZ194" s="22"/>
      <c r="IA194" s="20"/>
      <c r="IB194" s="22"/>
      <c r="IC194" s="20"/>
      <c r="ID194" s="22"/>
      <c r="IE194" s="20"/>
      <c r="IF194" s="22"/>
      <c r="IG194" s="20"/>
      <c r="IH194" s="22"/>
      <c r="II194" s="20"/>
      <c r="IJ194" s="22"/>
      <c r="IK194" s="20"/>
      <c r="IL194" s="22"/>
      <c r="IM194" s="20"/>
      <c r="IN194" s="22"/>
      <c r="IO194" s="20"/>
      <c r="IP194" s="22"/>
      <c r="IQ194" s="20"/>
      <c r="IR194" s="22"/>
      <c r="IS194" s="20"/>
      <c r="IT194" s="22"/>
      <c r="IU194" s="20"/>
      <c r="IV194" s="22"/>
      <c r="IW194" s="20"/>
      <c r="IX194" s="22"/>
      <c r="IY194" s="20"/>
      <c r="IZ194" s="22"/>
      <c r="JA194" s="20"/>
      <c r="JB194" s="22"/>
      <c r="JC194" s="20"/>
      <c r="JD194" s="22"/>
      <c r="JE194" s="20"/>
      <c r="JF194" s="22"/>
      <c r="JG194" s="20"/>
      <c r="JH194" s="22"/>
      <c r="JI194" s="20"/>
      <c r="JJ194" s="22"/>
      <c r="JK194" s="20"/>
      <c r="JL194" s="22"/>
      <c r="JM194" s="20"/>
      <c r="JN194" s="22"/>
      <c r="JO194" s="20"/>
      <c r="JP194" s="22"/>
      <c r="JQ194" s="20"/>
      <c r="JR194" s="22"/>
      <c r="JS194" s="20"/>
      <c r="JT194" s="22"/>
      <c r="JU194" s="20"/>
      <c r="JV194" s="22"/>
      <c r="JW194" s="20"/>
      <c r="JX194" s="22"/>
      <c r="JY194" s="20"/>
      <c r="JZ194" s="22"/>
      <c r="KA194" s="20"/>
      <c r="KB194" s="22"/>
      <c r="KC194" s="20"/>
      <c r="KD194" s="22"/>
      <c r="KE194" s="20"/>
      <c r="KF194" s="22"/>
      <c r="KG194" s="20"/>
      <c r="KH194" s="22"/>
      <c r="KI194" s="20"/>
      <c r="KJ194" s="22"/>
      <c r="KK194" s="20"/>
      <c r="KL194" s="22"/>
      <c r="KM194" s="20"/>
      <c r="KN194" s="22"/>
      <c r="KO194" s="20"/>
      <c r="KP194" s="22"/>
      <c r="KQ194" s="20"/>
      <c r="KR194" s="22"/>
      <c r="KS194" s="20"/>
      <c r="KT194" s="22"/>
      <c r="KU194" s="20"/>
      <c r="KV194" s="22"/>
      <c r="KW194" s="20"/>
      <c r="KX194" s="22"/>
      <c r="KY194" s="20"/>
      <c r="KZ194" s="22"/>
      <c r="LA194" s="20"/>
      <c r="LB194" s="22"/>
      <c r="LC194" s="20"/>
      <c r="LD194" s="22"/>
      <c r="LE194" s="20"/>
      <c r="LF194" s="22"/>
      <c r="LG194" s="20"/>
      <c r="LH194" s="22"/>
      <c r="LI194" s="20"/>
      <c r="LJ194" s="22"/>
      <c r="LK194" s="20"/>
      <c r="LL194" s="22"/>
      <c r="LM194" s="20"/>
      <c r="LN194" s="22"/>
      <c r="LO194" s="20"/>
      <c r="LP194" s="22"/>
      <c r="LQ194" s="20"/>
      <c r="LR194" s="22"/>
      <c r="LS194" s="20"/>
      <c r="LT194" s="22"/>
      <c r="LU194" s="20"/>
      <c r="LV194" s="22"/>
      <c r="LW194" s="20"/>
      <c r="LX194" s="22"/>
      <c r="LY194" s="20"/>
      <c r="LZ194" s="22"/>
      <c r="MA194" s="20"/>
      <c r="MB194" s="22"/>
      <c r="MC194" s="20"/>
      <c r="MD194" s="22"/>
      <c r="ME194" s="20"/>
      <c r="MF194" s="22"/>
      <c r="MG194" s="20"/>
      <c r="MH194" s="22"/>
      <c r="MI194" s="20"/>
      <c r="MJ194" s="22"/>
      <c r="MK194" s="20"/>
      <c r="ML194" s="22"/>
      <c r="MM194" s="20"/>
      <c r="MN194" s="22"/>
      <c r="MO194" s="20"/>
      <c r="MP194" s="22"/>
      <c r="MQ194" s="20"/>
      <c r="MR194" s="22"/>
      <c r="MS194" s="20"/>
      <c r="MT194" s="22"/>
      <c r="MU194" s="20"/>
      <c r="MV194" s="22"/>
      <c r="MW194" s="20"/>
      <c r="MX194" s="22"/>
      <c r="MY194" s="20"/>
      <c r="MZ194" s="22"/>
      <c r="NA194" s="20"/>
      <c r="NB194" s="22"/>
      <c r="NC194" s="20"/>
      <c r="ND194" s="22"/>
      <c r="NE194" s="20"/>
      <c r="NF194" s="73"/>
    </row>
    <row r="195" hidden="1">
      <c r="A195" s="237"/>
      <c r="B195" s="267"/>
      <c r="C195" s="277">
        <v>46184.0</v>
      </c>
      <c r="D195" s="282" t="s">
        <v>376</v>
      </c>
      <c r="E195" s="279" t="s">
        <v>47</v>
      </c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  <c r="CK195" s="73"/>
      <c r="CL195" s="73"/>
      <c r="CM195" s="73"/>
      <c r="CN195" s="73"/>
      <c r="CO195" s="73"/>
      <c r="CP195" s="73"/>
      <c r="CQ195" s="73"/>
      <c r="CR195" s="73"/>
      <c r="CS195" s="73"/>
      <c r="CT195" s="73"/>
      <c r="CU195" s="73"/>
      <c r="CV195" s="73"/>
      <c r="CW195" s="73"/>
      <c r="CX195" s="73"/>
      <c r="CY195" s="73"/>
      <c r="CZ195" s="73"/>
      <c r="DA195" s="73"/>
      <c r="DB195" s="73"/>
      <c r="DC195" s="73"/>
      <c r="DD195" s="73"/>
      <c r="DE195" s="73"/>
      <c r="DF195" s="73"/>
      <c r="DG195" s="73"/>
      <c r="DH195" s="73"/>
      <c r="DI195" s="73"/>
      <c r="DJ195" s="73"/>
      <c r="DK195" s="73"/>
      <c r="DL195" s="73"/>
      <c r="DM195" s="73"/>
      <c r="DN195" s="73"/>
      <c r="DO195" s="73"/>
      <c r="DP195" s="73"/>
      <c r="DQ195" s="73"/>
      <c r="DR195" s="73"/>
      <c r="DS195" s="73"/>
      <c r="DT195" s="73"/>
      <c r="DU195" s="73"/>
      <c r="DV195" s="22"/>
      <c r="DW195" s="20"/>
      <c r="DX195" s="22"/>
      <c r="DY195" s="20"/>
      <c r="DZ195" s="22"/>
      <c r="EA195" s="20"/>
      <c r="EB195" s="22"/>
      <c r="EC195" s="20"/>
      <c r="ED195" s="22"/>
      <c r="EE195" s="20"/>
      <c r="EF195" s="22"/>
      <c r="EG195" s="20"/>
      <c r="EH195" s="22"/>
      <c r="EI195" s="20"/>
      <c r="EJ195" s="22"/>
      <c r="EK195" s="20"/>
      <c r="EL195" s="22"/>
      <c r="EM195" s="20"/>
      <c r="EN195" s="22"/>
      <c r="EO195" s="20"/>
      <c r="EP195" s="22"/>
      <c r="EQ195" s="20"/>
      <c r="ER195" s="22"/>
      <c r="ES195" s="20"/>
      <c r="ET195" s="22"/>
      <c r="EU195" s="20"/>
      <c r="EV195" s="22"/>
      <c r="EW195" s="20"/>
      <c r="EX195" s="22"/>
      <c r="EY195" s="20"/>
      <c r="EZ195" s="22"/>
      <c r="FA195" s="20"/>
      <c r="FB195" s="22"/>
      <c r="FC195" s="20"/>
      <c r="FD195" s="22"/>
      <c r="FE195" s="20"/>
      <c r="FF195" s="22"/>
      <c r="FG195" s="20"/>
      <c r="FH195" s="22"/>
      <c r="FI195" s="20"/>
      <c r="FJ195" s="20">
        <v>1.0</v>
      </c>
      <c r="FK195" s="20">
        <v>3.0</v>
      </c>
      <c r="FL195" s="22"/>
      <c r="FM195" s="20"/>
      <c r="FN195" s="22"/>
      <c r="FO195" s="20"/>
      <c r="FP195" s="22"/>
      <c r="FQ195" s="20"/>
      <c r="FR195" s="22"/>
      <c r="FS195" s="20"/>
      <c r="FT195" s="22"/>
      <c r="FU195" s="20"/>
      <c r="FV195" s="22"/>
      <c r="FW195" s="20"/>
      <c r="FX195" s="22"/>
      <c r="FY195" s="20"/>
      <c r="FZ195" s="22"/>
      <c r="GA195" s="20"/>
      <c r="GB195" s="22"/>
      <c r="GC195" s="20"/>
      <c r="GD195" s="22"/>
      <c r="GE195" s="20"/>
      <c r="GF195" s="22"/>
      <c r="GG195" s="20"/>
      <c r="GH195" s="22"/>
      <c r="GI195" s="20"/>
      <c r="GJ195" s="22"/>
      <c r="GK195" s="20"/>
      <c r="GL195" s="22"/>
      <c r="GM195" s="20"/>
      <c r="GN195" s="22"/>
      <c r="GO195" s="20"/>
      <c r="GP195" s="22"/>
      <c r="GQ195" s="20"/>
      <c r="GR195" s="22"/>
      <c r="GS195" s="20"/>
      <c r="GT195" s="22"/>
      <c r="GU195" s="20"/>
      <c r="GV195" s="22"/>
      <c r="GW195" s="20"/>
      <c r="GX195" s="22"/>
      <c r="GY195" s="20"/>
      <c r="GZ195" s="22"/>
      <c r="HA195" s="20"/>
      <c r="HB195" s="22"/>
      <c r="HC195" s="20"/>
      <c r="HD195" s="22"/>
      <c r="HE195" s="20"/>
      <c r="HF195" s="22"/>
      <c r="HG195" s="20"/>
      <c r="HH195" s="22"/>
      <c r="HI195" s="20"/>
      <c r="HJ195" s="22"/>
      <c r="HK195" s="20"/>
      <c r="HL195" s="22"/>
      <c r="HM195" s="20"/>
      <c r="HN195" s="22"/>
      <c r="HO195" s="20"/>
      <c r="HP195" s="22"/>
      <c r="HQ195" s="20"/>
      <c r="HR195" s="22"/>
      <c r="HS195" s="20"/>
      <c r="HT195" s="22"/>
      <c r="HU195" s="20"/>
      <c r="HV195" s="22"/>
      <c r="HW195" s="20"/>
      <c r="HX195" s="22"/>
      <c r="HY195" s="20"/>
      <c r="HZ195" s="22"/>
      <c r="IA195" s="20"/>
      <c r="IB195" s="22"/>
      <c r="IC195" s="20"/>
      <c r="ID195" s="22"/>
      <c r="IE195" s="20"/>
      <c r="IF195" s="22"/>
      <c r="IG195" s="20"/>
      <c r="IH195" s="22"/>
      <c r="II195" s="20"/>
      <c r="IJ195" s="22"/>
      <c r="IK195" s="20"/>
      <c r="IL195" s="22"/>
      <c r="IM195" s="20"/>
      <c r="IN195" s="22"/>
      <c r="IO195" s="20"/>
      <c r="IP195" s="22"/>
      <c r="IQ195" s="20"/>
      <c r="IR195" s="22"/>
      <c r="IS195" s="20"/>
      <c r="IT195" s="22"/>
      <c r="IU195" s="20"/>
      <c r="IV195" s="22"/>
      <c r="IW195" s="20"/>
      <c r="IX195" s="22"/>
      <c r="IY195" s="20"/>
      <c r="IZ195" s="22"/>
      <c r="JA195" s="20"/>
      <c r="JB195" s="22"/>
      <c r="JC195" s="20"/>
      <c r="JD195" s="22"/>
      <c r="JE195" s="20"/>
      <c r="JF195" s="22"/>
      <c r="JG195" s="20"/>
      <c r="JH195" s="22"/>
      <c r="JI195" s="20"/>
      <c r="JJ195" s="22"/>
      <c r="JK195" s="20"/>
      <c r="JL195" s="22"/>
      <c r="JM195" s="20"/>
      <c r="JN195" s="22"/>
      <c r="JO195" s="20"/>
      <c r="JP195" s="22"/>
      <c r="JQ195" s="20"/>
      <c r="JR195" s="22"/>
      <c r="JS195" s="20"/>
      <c r="JT195" s="22"/>
      <c r="JU195" s="20"/>
      <c r="JV195" s="22"/>
      <c r="JW195" s="20"/>
      <c r="JX195" s="22"/>
      <c r="JY195" s="20"/>
      <c r="JZ195" s="22"/>
      <c r="KA195" s="20"/>
      <c r="KB195" s="22"/>
      <c r="KC195" s="20"/>
      <c r="KD195" s="22"/>
      <c r="KE195" s="20"/>
      <c r="KF195" s="22"/>
      <c r="KG195" s="20"/>
      <c r="KH195" s="22"/>
      <c r="KI195" s="20"/>
      <c r="KJ195" s="22"/>
      <c r="KK195" s="20"/>
      <c r="KL195" s="22"/>
      <c r="KM195" s="20"/>
      <c r="KN195" s="22"/>
      <c r="KO195" s="20"/>
      <c r="KP195" s="22"/>
      <c r="KQ195" s="20"/>
      <c r="KR195" s="22"/>
      <c r="KS195" s="20"/>
      <c r="KT195" s="22"/>
      <c r="KU195" s="20"/>
      <c r="KV195" s="22"/>
      <c r="KW195" s="20"/>
      <c r="KX195" s="22"/>
      <c r="KY195" s="20"/>
      <c r="KZ195" s="22"/>
      <c r="LA195" s="20"/>
      <c r="LB195" s="22"/>
      <c r="LC195" s="20"/>
      <c r="LD195" s="22"/>
      <c r="LE195" s="20"/>
      <c r="LF195" s="22"/>
      <c r="LG195" s="20"/>
      <c r="LH195" s="22"/>
      <c r="LI195" s="20"/>
      <c r="LJ195" s="22"/>
      <c r="LK195" s="20"/>
      <c r="LL195" s="22"/>
      <c r="LM195" s="20"/>
      <c r="LN195" s="22"/>
      <c r="LO195" s="20"/>
      <c r="LP195" s="22"/>
      <c r="LQ195" s="20"/>
      <c r="LR195" s="22"/>
      <c r="LS195" s="20"/>
      <c r="LT195" s="22"/>
      <c r="LU195" s="20"/>
      <c r="LV195" s="22"/>
      <c r="LW195" s="20"/>
      <c r="LX195" s="22"/>
      <c r="LY195" s="20"/>
      <c r="LZ195" s="22"/>
      <c r="MA195" s="20"/>
      <c r="MB195" s="22"/>
      <c r="MC195" s="20"/>
      <c r="MD195" s="22"/>
      <c r="ME195" s="20"/>
      <c r="MF195" s="22"/>
      <c r="MG195" s="20"/>
      <c r="MH195" s="22"/>
      <c r="MI195" s="20"/>
      <c r="MJ195" s="22"/>
      <c r="MK195" s="20"/>
      <c r="ML195" s="22"/>
      <c r="MM195" s="20"/>
      <c r="MN195" s="22"/>
      <c r="MO195" s="20"/>
      <c r="MP195" s="22"/>
      <c r="MQ195" s="20"/>
      <c r="MR195" s="22"/>
      <c r="MS195" s="20"/>
      <c r="MT195" s="22"/>
      <c r="MU195" s="20"/>
      <c r="MV195" s="22"/>
      <c r="MW195" s="20"/>
      <c r="MX195" s="22"/>
      <c r="MY195" s="20"/>
      <c r="MZ195" s="22"/>
      <c r="NA195" s="20"/>
      <c r="NB195" s="22"/>
      <c r="NC195" s="20"/>
      <c r="ND195" s="22"/>
      <c r="NE195" s="20"/>
      <c r="NF195" s="73"/>
    </row>
    <row r="196" hidden="1">
      <c r="A196" s="237"/>
      <c r="B196" s="267"/>
      <c r="C196" s="277"/>
      <c r="D196" s="282" t="s">
        <v>377</v>
      </c>
      <c r="E196" s="279" t="s">
        <v>47</v>
      </c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C196" s="73"/>
      <c r="DD196" s="73"/>
      <c r="DE196" s="73"/>
      <c r="DF196" s="73"/>
      <c r="DG196" s="73"/>
      <c r="DH196" s="73"/>
      <c r="DI196" s="73"/>
      <c r="DJ196" s="73"/>
      <c r="DK196" s="73"/>
      <c r="DL196" s="73"/>
      <c r="DM196" s="73"/>
      <c r="DN196" s="73"/>
      <c r="DO196" s="73"/>
      <c r="DP196" s="73"/>
      <c r="DQ196" s="73"/>
      <c r="DR196" s="73"/>
      <c r="DS196" s="73"/>
      <c r="DT196" s="73"/>
      <c r="DU196" s="73"/>
      <c r="DV196" s="22"/>
      <c r="DW196" s="20"/>
      <c r="DX196" s="22"/>
      <c r="DY196" s="20"/>
      <c r="DZ196" s="22"/>
      <c r="EA196" s="20"/>
      <c r="EB196" s="22"/>
      <c r="EC196" s="20"/>
      <c r="ED196" s="22"/>
      <c r="EE196" s="20"/>
      <c r="EF196" s="22"/>
      <c r="EG196" s="20"/>
      <c r="EH196" s="22"/>
      <c r="EI196" s="20"/>
      <c r="EJ196" s="22"/>
      <c r="EK196" s="20"/>
      <c r="EL196" s="22"/>
      <c r="EM196" s="20"/>
      <c r="EN196" s="22"/>
      <c r="EO196" s="20"/>
      <c r="EP196" s="22"/>
      <c r="EQ196" s="20"/>
      <c r="ER196" s="22"/>
      <c r="ES196" s="20"/>
      <c r="ET196" s="22"/>
      <c r="EU196" s="20"/>
      <c r="EV196" s="22"/>
      <c r="EW196" s="20"/>
      <c r="EX196" s="22"/>
      <c r="EY196" s="20"/>
      <c r="EZ196" s="22"/>
      <c r="FA196" s="20"/>
      <c r="FB196" s="22"/>
      <c r="FC196" s="20"/>
      <c r="FD196" s="22"/>
      <c r="FE196" s="20"/>
      <c r="FF196" s="22"/>
      <c r="FG196" s="20"/>
      <c r="FH196" s="22"/>
      <c r="FI196" s="20"/>
      <c r="FJ196" s="22"/>
      <c r="FK196" s="20"/>
      <c r="FL196" s="20">
        <v>2.0</v>
      </c>
      <c r="FM196" s="20"/>
      <c r="FN196" s="22"/>
      <c r="FO196" s="20">
        <v>4.0</v>
      </c>
      <c r="FP196" s="22"/>
      <c r="FQ196" s="20"/>
      <c r="FR196" s="22"/>
      <c r="FS196" s="20"/>
      <c r="FT196" s="22"/>
      <c r="FU196" s="20"/>
      <c r="FV196" s="22"/>
      <c r="FW196" s="20"/>
      <c r="FX196" s="22"/>
      <c r="FY196" s="20"/>
      <c r="FZ196" s="22"/>
      <c r="GA196" s="20"/>
      <c r="GB196" s="22"/>
      <c r="GC196" s="20"/>
      <c r="GD196" s="22"/>
      <c r="GE196" s="20"/>
      <c r="GF196" s="22"/>
      <c r="GG196" s="20"/>
      <c r="GH196" s="22"/>
      <c r="GI196" s="20"/>
      <c r="GJ196" s="22"/>
      <c r="GK196" s="20"/>
      <c r="GL196" s="22"/>
      <c r="GM196" s="20"/>
      <c r="GN196" s="22"/>
      <c r="GO196" s="20"/>
      <c r="GP196" s="22"/>
      <c r="GQ196" s="20"/>
      <c r="GR196" s="22"/>
      <c r="GS196" s="20"/>
      <c r="GT196" s="22"/>
      <c r="GU196" s="20"/>
      <c r="GV196" s="22"/>
      <c r="GW196" s="20"/>
      <c r="GX196" s="22"/>
      <c r="GY196" s="20"/>
      <c r="GZ196" s="22"/>
      <c r="HA196" s="20"/>
      <c r="HB196" s="22"/>
      <c r="HC196" s="20"/>
      <c r="HD196" s="22"/>
      <c r="HE196" s="20"/>
      <c r="HF196" s="22"/>
      <c r="HG196" s="20"/>
      <c r="HH196" s="22"/>
      <c r="HI196" s="20"/>
      <c r="HJ196" s="22"/>
      <c r="HK196" s="20"/>
      <c r="HL196" s="22"/>
      <c r="HM196" s="20"/>
      <c r="HN196" s="22"/>
      <c r="HO196" s="20"/>
      <c r="HP196" s="22"/>
      <c r="HQ196" s="20"/>
      <c r="HR196" s="22"/>
      <c r="HS196" s="20"/>
      <c r="HT196" s="22"/>
      <c r="HU196" s="20"/>
      <c r="HV196" s="22"/>
      <c r="HW196" s="20"/>
      <c r="HX196" s="22"/>
      <c r="HY196" s="20"/>
      <c r="HZ196" s="22"/>
      <c r="IA196" s="20"/>
      <c r="IB196" s="22"/>
      <c r="IC196" s="20"/>
      <c r="ID196" s="22"/>
      <c r="IE196" s="20"/>
      <c r="IF196" s="22"/>
      <c r="IG196" s="20"/>
      <c r="IH196" s="22"/>
      <c r="II196" s="20"/>
      <c r="IJ196" s="22"/>
      <c r="IK196" s="20"/>
      <c r="IL196" s="22"/>
      <c r="IM196" s="20"/>
      <c r="IN196" s="22"/>
      <c r="IO196" s="20"/>
      <c r="IP196" s="22"/>
      <c r="IQ196" s="20"/>
      <c r="IR196" s="22"/>
      <c r="IS196" s="20"/>
      <c r="IT196" s="22"/>
      <c r="IU196" s="20"/>
      <c r="IV196" s="22"/>
      <c r="IW196" s="20"/>
      <c r="IX196" s="22"/>
      <c r="IY196" s="20"/>
      <c r="IZ196" s="22"/>
      <c r="JA196" s="20"/>
      <c r="JB196" s="22"/>
      <c r="JC196" s="20"/>
      <c r="JD196" s="22"/>
      <c r="JE196" s="20"/>
      <c r="JF196" s="22"/>
      <c r="JG196" s="20"/>
      <c r="JH196" s="22"/>
      <c r="JI196" s="20"/>
      <c r="JJ196" s="22"/>
      <c r="JK196" s="20"/>
      <c r="JL196" s="22"/>
      <c r="JM196" s="20"/>
      <c r="JN196" s="22"/>
      <c r="JO196" s="20"/>
      <c r="JP196" s="22"/>
      <c r="JQ196" s="20"/>
      <c r="JR196" s="22"/>
      <c r="JS196" s="20"/>
      <c r="JT196" s="22"/>
      <c r="JU196" s="20"/>
      <c r="JV196" s="22"/>
      <c r="JW196" s="20"/>
      <c r="JX196" s="22"/>
      <c r="JY196" s="20"/>
      <c r="JZ196" s="22"/>
      <c r="KA196" s="20"/>
      <c r="KB196" s="22"/>
      <c r="KC196" s="20"/>
      <c r="KD196" s="22"/>
      <c r="KE196" s="20"/>
      <c r="KF196" s="22"/>
      <c r="KG196" s="20"/>
      <c r="KH196" s="22"/>
      <c r="KI196" s="20"/>
      <c r="KJ196" s="22"/>
      <c r="KK196" s="20"/>
      <c r="KL196" s="22"/>
      <c r="KM196" s="20"/>
      <c r="KN196" s="22"/>
      <c r="KO196" s="20"/>
      <c r="KP196" s="22"/>
      <c r="KQ196" s="20"/>
      <c r="KR196" s="22"/>
      <c r="KS196" s="20"/>
      <c r="KT196" s="22"/>
      <c r="KU196" s="20"/>
      <c r="KV196" s="22"/>
      <c r="KW196" s="20"/>
      <c r="KX196" s="22"/>
      <c r="KY196" s="20"/>
      <c r="KZ196" s="22"/>
      <c r="LA196" s="20"/>
      <c r="LB196" s="22"/>
      <c r="LC196" s="20"/>
      <c r="LD196" s="22"/>
      <c r="LE196" s="20"/>
      <c r="LF196" s="22"/>
      <c r="LG196" s="20"/>
      <c r="LH196" s="22"/>
      <c r="LI196" s="20"/>
      <c r="LJ196" s="22"/>
      <c r="LK196" s="20"/>
      <c r="LL196" s="22"/>
      <c r="LM196" s="20"/>
      <c r="LN196" s="22"/>
      <c r="LO196" s="20"/>
      <c r="LP196" s="22"/>
      <c r="LQ196" s="20"/>
      <c r="LR196" s="22"/>
      <c r="LS196" s="20"/>
      <c r="LT196" s="22"/>
      <c r="LU196" s="20"/>
      <c r="LV196" s="22"/>
      <c r="LW196" s="20"/>
      <c r="LX196" s="22"/>
      <c r="LY196" s="20"/>
      <c r="LZ196" s="22"/>
      <c r="MA196" s="20"/>
      <c r="MB196" s="22"/>
      <c r="MC196" s="20"/>
      <c r="MD196" s="22"/>
      <c r="ME196" s="20"/>
      <c r="MF196" s="22"/>
      <c r="MG196" s="20"/>
      <c r="MH196" s="22"/>
      <c r="MI196" s="20"/>
      <c r="MJ196" s="22"/>
      <c r="MK196" s="20"/>
      <c r="ML196" s="22"/>
      <c r="MM196" s="20"/>
      <c r="MN196" s="22"/>
      <c r="MO196" s="20"/>
      <c r="MP196" s="22"/>
      <c r="MQ196" s="20"/>
      <c r="MR196" s="22"/>
      <c r="MS196" s="20"/>
      <c r="MT196" s="22"/>
      <c r="MU196" s="20"/>
      <c r="MV196" s="22"/>
      <c r="MW196" s="20"/>
      <c r="MX196" s="22"/>
      <c r="MY196" s="20"/>
      <c r="MZ196" s="22"/>
      <c r="NA196" s="20"/>
      <c r="NB196" s="22"/>
      <c r="NC196" s="20"/>
      <c r="ND196" s="22"/>
      <c r="NE196" s="20"/>
      <c r="NF196" s="73"/>
    </row>
    <row r="197">
      <c r="A197" s="237" t="str">
        <f>IF(SUM(IO197:JR197)=0,"-",SUM(IO197:JR197))</f>
        <v>-</v>
      </c>
      <c r="B197" s="267"/>
      <c r="C197" s="277"/>
      <c r="D197" s="278" t="s">
        <v>378</v>
      </c>
      <c r="E197" s="279" t="s">
        <v>25</v>
      </c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  <c r="CK197" s="73"/>
      <c r="CL197" s="73"/>
      <c r="CM197" s="73"/>
      <c r="CN197" s="73"/>
      <c r="CO197" s="73"/>
      <c r="CP197" s="73"/>
      <c r="CQ197" s="73"/>
      <c r="CR197" s="73"/>
      <c r="CS197" s="73"/>
      <c r="CT197" s="73"/>
      <c r="CU197" s="73"/>
      <c r="CV197" s="73"/>
      <c r="CW197" s="73"/>
      <c r="CX197" s="73"/>
      <c r="CY197" s="73"/>
      <c r="CZ197" s="73"/>
      <c r="DA197" s="73"/>
      <c r="DB197" s="73"/>
      <c r="DC197" s="73"/>
      <c r="DD197" s="73"/>
      <c r="DE197" s="73"/>
      <c r="DF197" s="73"/>
      <c r="DG197" s="73"/>
      <c r="DH197" s="73"/>
      <c r="DI197" s="73"/>
      <c r="DJ197" s="73"/>
      <c r="DK197" s="73"/>
      <c r="DL197" s="73"/>
      <c r="DM197" s="73"/>
      <c r="DN197" s="73"/>
      <c r="DO197" s="73"/>
      <c r="DP197" s="73"/>
      <c r="DQ197" s="73"/>
      <c r="DR197" s="73"/>
      <c r="DS197" s="73"/>
      <c r="DT197" s="73"/>
      <c r="DU197" s="73"/>
      <c r="DV197" s="22"/>
      <c r="DW197" s="20"/>
      <c r="DX197" s="22"/>
      <c r="DY197" s="20"/>
      <c r="DZ197" s="22"/>
      <c r="EA197" s="20"/>
      <c r="EB197" s="22"/>
      <c r="EC197" s="20"/>
      <c r="ED197" s="22"/>
      <c r="EE197" s="20"/>
      <c r="EF197" s="22"/>
      <c r="EG197" s="20"/>
      <c r="EH197" s="22"/>
      <c r="EI197" s="20"/>
      <c r="EJ197" s="22"/>
      <c r="EK197" s="20"/>
      <c r="EL197" s="22"/>
      <c r="EM197" s="20"/>
      <c r="EN197" s="22"/>
      <c r="EO197" s="20"/>
      <c r="EP197" s="22"/>
      <c r="EQ197" s="20"/>
      <c r="ER197" s="22"/>
      <c r="ES197" s="20"/>
      <c r="ET197" s="22"/>
      <c r="EU197" s="20"/>
      <c r="EV197" s="22"/>
      <c r="EW197" s="20"/>
      <c r="EX197" s="22"/>
      <c r="EY197" s="20"/>
      <c r="EZ197" s="22"/>
      <c r="FA197" s="20"/>
      <c r="FB197" s="22"/>
      <c r="FC197" s="20"/>
      <c r="FD197" s="22"/>
      <c r="FE197" s="20"/>
      <c r="FF197" s="22"/>
      <c r="FG197" s="20"/>
      <c r="FH197" s="22"/>
      <c r="FI197" s="20"/>
      <c r="FJ197" s="22"/>
      <c r="FK197" s="20"/>
      <c r="FL197" s="22"/>
      <c r="FM197" s="20"/>
      <c r="FN197" s="22"/>
      <c r="FO197" s="20"/>
      <c r="FP197" s="22"/>
      <c r="FQ197" s="20">
        <v>1.0</v>
      </c>
      <c r="FR197" s="20">
        <v>7.0</v>
      </c>
      <c r="FS197" s="20">
        <v>3.0</v>
      </c>
      <c r="FT197" s="22"/>
      <c r="FU197" s="20"/>
      <c r="FV197" s="20">
        <v>2.0</v>
      </c>
      <c r="FW197" s="20">
        <v>4.0</v>
      </c>
      <c r="FX197" s="20">
        <v>5.0</v>
      </c>
      <c r="FY197" s="20">
        <v>2.0</v>
      </c>
      <c r="FZ197" s="20">
        <v>1.0</v>
      </c>
      <c r="GA197" s="20"/>
      <c r="GB197" s="22"/>
      <c r="GC197" s="20">
        <v>2.0</v>
      </c>
      <c r="GD197" s="20">
        <v>2.0</v>
      </c>
      <c r="GE197" s="20"/>
      <c r="GF197" s="20">
        <v>3.0</v>
      </c>
      <c r="GG197" s="20">
        <v>4.0</v>
      </c>
      <c r="GH197" s="22"/>
      <c r="GI197" s="20"/>
      <c r="GJ197" s="20">
        <v>5.0</v>
      </c>
      <c r="GK197" s="20"/>
      <c r="GL197" s="22"/>
      <c r="GM197" s="20">
        <v>1.0</v>
      </c>
      <c r="GN197" s="20">
        <v>1.0</v>
      </c>
      <c r="GO197" s="20"/>
      <c r="GP197" s="22"/>
      <c r="GQ197" s="20"/>
      <c r="GR197" s="22"/>
      <c r="GS197" s="20"/>
      <c r="GT197" s="20"/>
      <c r="GU197" s="20"/>
      <c r="GV197" s="22"/>
      <c r="GW197" s="20"/>
      <c r="GX197" s="22"/>
      <c r="GY197" s="20"/>
      <c r="GZ197" s="22"/>
      <c r="HA197" s="20"/>
      <c r="HB197" s="22"/>
      <c r="HC197" s="20"/>
      <c r="HD197" s="22"/>
      <c r="HE197" s="20"/>
      <c r="HF197" s="20">
        <v>2.0</v>
      </c>
      <c r="HG197" s="20"/>
      <c r="HH197" s="20">
        <v>3.0</v>
      </c>
      <c r="HI197" s="20">
        <v>1.0</v>
      </c>
      <c r="HJ197" s="22"/>
      <c r="HK197" s="20"/>
      <c r="HL197" s="22"/>
      <c r="HM197" s="20"/>
      <c r="HN197" s="22"/>
      <c r="HO197" s="20"/>
      <c r="HP197" s="22"/>
      <c r="HQ197" s="20"/>
      <c r="HR197" s="22"/>
      <c r="HS197" s="20"/>
      <c r="HT197" s="22"/>
      <c r="HU197" s="20"/>
      <c r="HV197" s="22"/>
      <c r="HW197" s="20"/>
      <c r="HX197" s="22"/>
      <c r="HY197" s="20"/>
      <c r="HZ197" s="22"/>
      <c r="IA197" s="20">
        <v>2.0</v>
      </c>
      <c r="IB197" s="22"/>
      <c r="IC197" s="20"/>
      <c r="ID197" s="22"/>
      <c r="IE197" s="20"/>
      <c r="IF197" s="22"/>
      <c r="IG197" s="20"/>
      <c r="IH197" s="22"/>
      <c r="II197" s="20"/>
      <c r="IJ197" s="22"/>
      <c r="IK197" s="20"/>
      <c r="IL197" s="22"/>
      <c r="IM197" s="20"/>
      <c r="IN197" s="22"/>
      <c r="IO197" s="20"/>
      <c r="IP197" s="22"/>
      <c r="IQ197" s="20"/>
      <c r="IR197" s="22"/>
      <c r="IS197" s="20"/>
      <c r="IT197" s="22"/>
      <c r="IU197" s="20"/>
      <c r="IV197" s="22"/>
      <c r="IW197" s="20"/>
      <c r="IX197" s="22"/>
      <c r="IY197" s="20"/>
      <c r="IZ197" s="22"/>
      <c r="JA197" s="20"/>
      <c r="JB197" s="22"/>
      <c r="JC197" s="20"/>
      <c r="JD197" s="22"/>
      <c r="JE197" s="20"/>
      <c r="JF197" s="22"/>
      <c r="JG197" s="20"/>
      <c r="JH197" s="22"/>
      <c r="JI197" s="20"/>
      <c r="JJ197" s="22"/>
      <c r="JK197" s="20"/>
      <c r="JL197" s="22"/>
      <c r="JM197" s="20"/>
      <c r="JN197" s="22"/>
      <c r="JO197" s="20"/>
      <c r="JP197" s="22"/>
      <c r="JQ197" s="20"/>
      <c r="JR197" s="22"/>
      <c r="JS197" s="20"/>
      <c r="JT197" s="22"/>
      <c r="JU197" s="20"/>
      <c r="JV197" s="22"/>
      <c r="JW197" s="20"/>
      <c r="JX197" s="22"/>
      <c r="JY197" s="20"/>
      <c r="JZ197" s="22"/>
      <c r="KA197" s="20"/>
      <c r="KB197" s="22"/>
      <c r="KC197" s="20"/>
      <c r="KD197" s="22"/>
      <c r="KE197" s="20"/>
      <c r="KF197" s="22"/>
      <c r="KG197" s="20"/>
      <c r="KH197" s="22"/>
      <c r="KI197" s="20"/>
      <c r="KJ197" s="22"/>
      <c r="KK197" s="20"/>
      <c r="KL197" s="22"/>
      <c r="KM197" s="20"/>
      <c r="KN197" s="22"/>
      <c r="KO197" s="20"/>
      <c r="KP197" s="22"/>
      <c r="KQ197" s="20"/>
      <c r="KR197" s="22"/>
      <c r="KS197" s="20"/>
      <c r="KT197" s="22"/>
      <c r="KU197" s="20"/>
      <c r="KV197" s="22"/>
      <c r="KW197" s="20"/>
      <c r="KX197" s="22"/>
      <c r="KY197" s="20"/>
      <c r="KZ197" s="22"/>
      <c r="LA197" s="20"/>
      <c r="LB197" s="22"/>
      <c r="LC197" s="20"/>
      <c r="LD197" s="22"/>
      <c r="LE197" s="20"/>
      <c r="LF197" s="22"/>
      <c r="LG197" s="20"/>
      <c r="LH197" s="22"/>
      <c r="LI197" s="20"/>
      <c r="LJ197" s="22"/>
      <c r="LK197" s="20"/>
      <c r="LL197" s="22"/>
      <c r="LM197" s="20"/>
      <c r="LN197" s="22"/>
      <c r="LO197" s="20"/>
      <c r="LP197" s="22"/>
      <c r="LQ197" s="20"/>
      <c r="LR197" s="22"/>
      <c r="LS197" s="20"/>
      <c r="LT197" s="22"/>
      <c r="LU197" s="20"/>
      <c r="LV197" s="22"/>
      <c r="LW197" s="20"/>
      <c r="LX197" s="22"/>
      <c r="LY197" s="20"/>
      <c r="LZ197" s="22"/>
      <c r="MA197" s="20"/>
      <c r="MB197" s="22"/>
      <c r="MC197" s="20"/>
      <c r="MD197" s="22"/>
      <c r="ME197" s="20"/>
      <c r="MF197" s="22"/>
      <c r="MG197" s="20"/>
      <c r="MH197" s="22"/>
      <c r="MI197" s="20"/>
      <c r="MJ197" s="22"/>
      <c r="MK197" s="20"/>
      <c r="ML197" s="22"/>
      <c r="MM197" s="20"/>
      <c r="MN197" s="22"/>
      <c r="MO197" s="20"/>
      <c r="MP197" s="22"/>
      <c r="MQ197" s="20"/>
      <c r="MR197" s="22"/>
      <c r="MS197" s="20"/>
      <c r="MT197" s="22"/>
      <c r="MU197" s="20"/>
      <c r="MV197" s="22"/>
      <c r="MW197" s="20"/>
      <c r="MX197" s="22"/>
      <c r="MY197" s="20"/>
      <c r="MZ197" s="22"/>
      <c r="NA197" s="20"/>
      <c r="NB197" s="22"/>
      <c r="NC197" s="20"/>
      <c r="ND197" s="22"/>
      <c r="NE197" s="20"/>
      <c r="NF197" s="73"/>
    </row>
    <row r="198" hidden="1">
      <c r="A198" s="237"/>
      <c r="B198" s="267"/>
      <c r="C198" s="277">
        <v>46185.0</v>
      </c>
      <c r="D198" s="282" t="s">
        <v>379</v>
      </c>
      <c r="E198" s="279" t="s">
        <v>47</v>
      </c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  <c r="CK198" s="73"/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C198" s="73"/>
      <c r="DD198" s="73"/>
      <c r="DE198" s="73"/>
      <c r="DF198" s="73"/>
      <c r="DG198" s="73"/>
      <c r="DH198" s="73"/>
      <c r="DI198" s="73"/>
      <c r="DJ198" s="73"/>
      <c r="DK198" s="73"/>
      <c r="DL198" s="73"/>
      <c r="DM198" s="73"/>
      <c r="DN198" s="73"/>
      <c r="DO198" s="73"/>
      <c r="DP198" s="73"/>
      <c r="DQ198" s="73"/>
      <c r="DR198" s="73"/>
      <c r="DS198" s="73"/>
      <c r="DT198" s="73"/>
      <c r="DU198" s="73"/>
      <c r="DV198" s="22"/>
      <c r="DW198" s="20"/>
      <c r="DX198" s="22"/>
      <c r="DY198" s="20"/>
      <c r="DZ198" s="22"/>
      <c r="EA198" s="20"/>
      <c r="EB198" s="22"/>
      <c r="EC198" s="20"/>
      <c r="ED198" s="22"/>
      <c r="EE198" s="20"/>
      <c r="EF198" s="22"/>
      <c r="EG198" s="20"/>
      <c r="EH198" s="22"/>
      <c r="EI198" s="20"/>
      <c r="EJ198" s="22"/>
      <c r="EK198" s="20"/>
      <c r="EL198" s="22"/>
      <c r="EM198" s="20"/>
      <c r="EN198" s="22"/>
      <c r="EO198" s="20"/>
      <c r="EP198" s="22"/>
      <c r="EQ198" s="20"/>
      <c r="ER198" s="22"/>
      <c r="ES198" s="20"/>
      <c r="ET198" s="22"/>
      <c r="EU198" s="20"/>
      <c r="EV198" s="22"/>
      <c r="EW198" s="20"/>
      <c r="EX198" s="22"/>
      <c r="EY198" s="20"/>
      <c r="EZ198" s="22"/>
      <c r="FA198" s="20"/>
      <c r="FB198" s="22"/>
      <c r="FC198" s="20"/>
      <c r="FD198" s="22"/>
      <c r="FE198" s="20"/>
      <c r="FF198" s="22"/>
      <c r="FG198" s="20"/>
      <c r="FH198" s="22"/>
      <c r="FI198" s="20"/>
      <c r="FJ198" s="22"/>
      <c r="FK198" s="20">
        <v>1.0</v>
      </c>
      <c r="FL198" s="20">
        <v>4.0</v>
      </c>
      <c r="FM198" s="20"/>
      <c r="FN198" s="22"/>
      <c r="FO198" s="20"/>
      <c r="FP198" s="20"/>
      <c r="FQ198" s="20"/>
      <c r="FR198" s="22"/>
      <c r="FS198" s="20"/>
      <c r="FT198" s="22"/>
      <c r="FU198" s="20"/>
      <c r="FV198" s="22"/>
      <c r="FW198" s="20"/>
      <c r="FX198" s="22"/>
      <c r="FY198" s="20"/>
      <c r="FZ198" s="22"/>
      <c r="GA198" s="20"/>
      <c r="GB198" s="22"/>
      <c r="GC198" s="20"/>
      <c r="GD198" s="22"/>
      <c r="GE198" s="20"/>
      <c r="GF198" s="22"/>
      <c r="GG198" s="20"/>
      <c r="GH198" s="22"/>
      <c r="GI198" s="20"/>
      <c r="GJ198" s="22"/>
      <c r="GK198" s="20"/>
      <c r="GL198" s="22"/>
      <c r="GM198" s="20"/>
      <c r="GN198" s="22"/>
      <c r="GO198" s="20"/>
      <c r="GP198" s="22"/>
      <c r="GQ198" s="20"/>
      <c r="GR198" s="22"/>
      <c r="GS198" s="20"/>
      <c r="GT198" s="22"/>
      <c r="GU198" s="20"/>
      <c r="GV198" s="22"/>
      <c r="GW198" s="20"/>
      <c r="GX198" s="22"/>
      <c r="GY198" s="20"/>
      <c r="GZ198" s="22"/>
      <c r="HA198" s="20"/>
      <c r="HB198" s="22"/>
      <c r="HC198" s="20"/>
      <c r="HD198" s="22"/>
      <c r="HE198" s="20"/>
      <c r="HF198" s="22"/>
      <c r="HG198" s="20"/>
      <c r="HH198" s="22"/>
      <c r="HI198" s="20"/>
      <c r="HJ198" s="22"/>
      <c r="HK198" s="20"/>
      <c r="HL198" s="22"/>
      <c r="HM198" s="20"/>
      <c r="HN198" s="22"/>
      <c r="HO198" s="20"/>
      <c r="HP198" s="22"/>
      <c r="HQ198" s="20"/>
      <c r="HR198" s="22"/>
      <c r="HS198" s="20"/>
      <c r="HT198" s="22"/>
      <c r="HU198" s="20"/>
      <c r="HV198" s="22"/>
      <c r="HW198" s="20"/>
      <c r="HX198" s="22"/>
      <c r="HY198" s="20"/>
      <c r="HZ198" s="22"/>
      <c r="IA198" s="20"/>
      <c r="IB198" s="22"/>
      <c r="IC198" s="20"/>
      <c r="ID198" s="22"/>
      <c r="IE198" s="20"/>
      <c r="IF198" s="22"/>
      <c r="IG198" s="20"/>
      <c r="IH198" s="22"/>
      <c r="II198" s="20"/>
      <c r="IJ198" s="22"/>
      <c r="IK198" s="20"/>
      <c r="IL198" s="22"/>
      <c r="IM198" s="20"/>
      <c r="IN198" s="22"/>
      <c r="IO198" s="20"/>
      <c r="IP198" s="22"/>
      <c r="IQ198" s="20"/>
      <c r="IR198" s="22"/>
      <c r="IS198" s="20"/>
      <c r="IT198" s="22"/>
      <c r="IU198" s="20"/>
      <c r="IV198" s="22"/>
      <c r="IW198" s="20"/>
      <c r="IX198" s="22"/>
      <c r="IY198" s="20"/>
      <c r="IZ198" s="22"/>
      <c r="JA198" s="20"/>
      <c r="JB198" s="22"/>
      <c r="JC198" s="20"/>
      <c r="JD198" s="22"/>
      <c r="JE198" s="20"/>
      <c r="JF198" s="22"/>
      <c r="JG198" s="20"/>
      <c r="JH198" s="22"/>
      <c r="JI198" s="20"/>
      <c r="JJ198" s="22"/>
      <c r="JK198" s="20"/>
      <c r="JL198" s="22"/>
      <c r="JM198" s="20"/>
      <c r="JN198" s="22"/>
      <c r="JO198" s="20"/>
      <c r="JP198" s="22"/>
      <c r="JQ198" s="20"/>
      <c r="JR198" s="22"/>
      <c r="JS198" s="20"/>
      <c r="JT198" s="22"/>
      <c r="JU198" s="20"/>
      <c r="JV198" s="22"/>
      <c r="JW198" s="20"/>
      <c r="JX198" s="22"/>
      <c r="JY198" s="20"/>
      <c r="JZ198" s="22"/>
      <c r="KA198" s="20"/>
      <c r="KB198" s="22"/>
      <c r="KC198" s="20"/>
      <c r="KD198" s="22"/>
      <c r="KE198" s="20"/>
      <c r="KF198" s="22"/>
      <c r="KG198" s="20"/>
      <c r="KH198" s="22"/>
      <c r="KI198" s="20"/>
      <c r="KJ198" s="22"/>
      <c r="KK198" s="20"/>
      <c r="KL198" s="22"/>
      <c r="KM198" s="20"/>
      <c r="KN198" s="22"/>
      <c r="KO198" s="20"/>
      <c r="KP198" s="22"/>
      <c r="KQ198" s="20"/>
      <c r="KR198" s="22"/>
      <c r="KS198" s="20"/>
      <c r="KT198" s="22"/>
      <c r="KU198" s="20"/>
      <c r="KV198" s="22"/>
      <c r="KW198" s="20"/>
      <c r="KX198" s="22"/>
      <c r="KY198" s="20"/>
      <c r="KZ198" s="22"/>
      <c r="LA198" s="20"/>
      <c r="LB198" s="22"/>
      <c r="LC198" s="20"/>
      <c r="LD198" s="22"/>
      <c r="LE198" s="20"/>
      <c r="LF198" s="22"/>
      <c r="LG198" s="20"/>
      <c r="LH198" s="22"/>
      <c r="LI198" s="20"/>
      <c r="LJ198" s="22"/>
      <c r="LK198" s="20"/>
      <c r="LL198" s="22"/>
      <c r="LM198" s="20"/>
      <c r="LN198" s="22"/>
      <c r="LO198" s="20"/>
      <c r="LP198" s="22"/>
      <c r="LQ198" s="20"/>
      <c r="LR198" s="22"/>
      <c r="LS198" s="20"/>
      <c r="LT198" s="22"/>
      <c r="LU198" s="20"/>
      <c r="LV198" s="22"/>
      <c r="LW198" s="20"/>
      <c r="LX198" s="22"/>
      <c r="LY198" s="20"/>
      <c r="LZ198" s="22"/>
      <c r="MA198" s="20"/>
      <c r="MB198" s="22"/>
      <c r="MC198" s="20"/>
      <c r="MD198" s="22"/>
      <c r="ME198" s="20"/>
      <c r="MF198" s="22"/>
      <c r="MG198" s="20"/>
      <c r="MH198" s="22"/>
      <c r="MI198" s="20"/>
      <c r="MJ198" s="22"/>
      <c r="MK198" s="20"/>
      <c r="ML198" s="22"/>
      <c r="MM198" s="20"/>
      <c r="MN198" s="22"/>
      <c r="MO198" s="20"/>
      <c r="MP198" s="22"/>
      <c r="MQ198" s="20"/>
      <c r="MR198" s="22"/>
      <c r="MS198" s="20"/>
      <c r="MT198" s="22"/>
      <c r="MU198" s="20"/>
      <c r="MV198" s="22"/>
      <c r="MW198" s="20"/>
      <c r="MX198" s="22"/>
      <c r="MY198" s="20"/>
      <c r="MZ198" s="22"/>
      <c r="NA198" s="20"/>
      <c r="NB198" s="22"/>
      <c r="NC198" s="20"/>
      <c r="ND198" s="22"/>
      <c r="NE198" s="20"/>
      <c r="NF198" s="73"/>
    </row>
    <row r="199" hidden="1">
      <c r="A199" s="237"/>
      <c r="B199" s="267"/>
      <c r="C199" s="277">
        <v>46189.0</v>
      </c>
      <c r="D199" s="282" t="s">
        <v>380</v>
      </c>
      <c r="E199" s="279" t="s">
        <v>47</v>
      </c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  <c r="CK199" s="73"/>
      <c r="CL199" s="73"/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C199" s="73"/>
      <c r="DD199" s="73"/>
      <c r="DE199" s="73"/>
      <c r="DF199" s="73"/>
      <c r="DG199" s="73"/>
      <c r="DH199" s="73"/>
      <c r="DI199" s="73"/>
      <c r="DJ199" s="73"/>
      <c r="DK199" s="73"/>
      <c r="DL199" s="73"/>
      <c r="DM199" s="73"/>
      <c r="DN199" s="73"/>
      <c r="DO199" s="73"/>
      <c r="DP199" s="73"/>
      <c r="DQ199" s="73"/>
      <c r="DR199" s="73"/>
      <c r="DS199" s="73"/>
      <c r="DT199" s="73"/>
      <c r="DU199" s="73"/>
      <c r="DV199" s="22"/>
      <c r="DW199" s="20"/>
      <c r="DX199" s="22"/>
      <c r="DY199" s="20"/>
      <c r="DZ199" s="22"/>
      <c r="EA199" s="20"/>
      <c r="EB199" s="22"/>
      <c r="EC199" s="20"/>
      <c r="ED199" s="22"/>
      <c r="EE199" s="20"/>
      <c r="EF199" s="22"/>
      <c r="EG199" s="20"/>
      <c r="EH199" s="22"/>
      <c r="EI199" s="20"/>
      <c r="EJ199" s="22"/>
      <c r="EK199" s="20"/>
      <c r="EL199" s="22"/>
      <c r="EM199" s="20"/>
      <c r="EN199" s="22"/>
      <c r="EO199" s="20"/>
      <c r="EP199" s="22"/>
      <c r="EQ199" s="20"/>
      <c r="ER199" s="22"/>
      <c r="ES199" s="20"/>
      <c r="ET199" s="22"/>
      <c r="EU199" s="20"/>
      <c r="EV199" s="22"/>
      <c r="EW199" s="20"/>
      <c r="EX199" s="22"/>
      <c r="EY199" s="20"/>
      <c r="EZ199" s="22"/>
      <c r="FA199" s="20"/>
      <c r="FB199" s="22"/>
      <c r="FC199" s="20"/>
      <c r="FD199" s="22"/>
      <c r="FE199" s="20"/>
      <c r="FF199" s="22"/>
      <c r="FG199" s="20"/>
      <c r="FH199" s="22"/>
      <c r="FI199" s="20"/>
      <c r="FJ199" s="22"/>
      <c r="FK199" s="20"/>
      <c r="FL199" s="22"/>
      <c r="FM199" s="20"/>
      <c r="FN199" s="22"/>
      <c r="FO199" s="20"/>
      <c r="FP199" s="20">
        <v>4.0</v>
      </c>
      <c r="FQ199" s="20"/>
      <c r="FR199" s="22"/>
      <c r="FS199" s="20"/>
      <c r="FT199" s="22"/>
      <c r="FU199" s="20"/>
      <c r="FV199" s="22"/>
      <c r="FW199" s="20"/>
      <c r="FX199" s="22"/>
      <c r="FY199" s="20"/>
      <c r="FZ199" s="22"/>
      <c r="GA199" s="20"/>
      <c r="GB199" s="22"/>
      <c r="GC199" s="20"/>
      <c r="GD199" s="22"/>
      <c r="GE199" s="20"/>
      <c r="GF199" s="22"/>
      <c r="GG199" s="20"/>
      <c r="GH199" s="22"/>
      <c r="GI199" s="20"/>
      <c r="GJ199" s="22"/>
      <c r="GK199" s="20"/>
      <c r="GL199" s="22"/>
      <c r="GM199" s="20"/>
      <c r="GN199" s="22"/>
      <c r="GO199" s="20"/>
      <c r="GP199" s="22"/>
      <c r="GQ199" s="20"/>
      <c r="GR199" s="22"/>
      <c r="GS199" s="20"/>
      <c r="GT199" s="22"/>
      <c r="GU199" s="20"/>
      <c r="GV199" s="22"/>
      <c r="GW199" s="20"/>
      <c r="GX199" s="22"/>
      <c r="GY199" s="20"/>
      <c r="GZ199" s="22"/>
      <c r="HA199" s="20"/>
      <c r="HB199" s="22"/>
      <c r="HC199" s="20"/>
      <c r="HD199" s="22"/>
      <c r="HE199" s="20"/>
      <c r="HF199" s="22"/>
      <c r="HG199" s="20"/>
      <c r="HH199" s="22"/>
      <c r="HI199" s="20"/>
      <c r="HJ199" s="22"/>
      <c r="HK199" s="20"/>
      <c r="HL199" s="22"/>
      <c r="HM199" s="20"/>
      <c r="HN199" s="22"/>
      <c r="HO199" s="20"/>
      <c r="HP199" s="22"/>
      <c r="HQ199" s="20"/>
      <c r="HR199" s="22"/>
      <c r="HS199" s="20"/>
      <c r="HT199" s="22"/>
      <c r="HU199" s="20"/>
      <c r="HV199" s="22"/>
      <c r="HW199" s="20"/>
      <c r="HX199" s="22"/>
      <c r="HY199" s="20"/>
      <c r="HZ199" s="22"/>
      <c r="IA199" s="20"/>
      <c r="IB199" s="22"/>
      <c r="IC199" s="20"/>
      <c r="ID199" s="22"/>
      <c r="IE199" s="20"/>
      <c r="IF199" s="22"/>
      <c r="IG199" s="20"/>
      <c r="IH199" s="22"/>
      <c r="II199" s="20"/>
      <c r="IJ199" s="22"/>
      <c r="IK199" s="20"/>
      <c r="IL199" s="22"/>
      <c r="IM199" s="20"/>
      <c r="IN199" s="22"/>
      <c r="IO199" s="20"/>
      <c r="IP199" s="22"/>
      <c r="IQ199" s="20"/>
      <c r="IR199" s="22"/>
      <c r="IS199" s="20"/>
      <c r="IT199" s="22"/>
      <c r="IU199" s="20"/>
      <c r="IV199" s="22"/>
      <c r="IW199" s="20"/>
      <c r="IX199" s="22"/>
      <c r="IY199" s="20"/>
      <c r="IZ199" s="22"/>
      <c r="JA199" s="20"/>
      <c r="JB199" s="22"/>
      <c r="JC199" s="20"/>
      <c r="JD199" s="22"/>
      <c r="JE199" s="20"/>
      <c r="JF199" s="22"/>
      <c r="JG199" s="20"/>
      <c r="JH199" s="22"/>
      <c r="JI199" s="20"/>
      <c r="JJ199" s="22"/>
      <c r="JK199" s="20"/>
      <c r="JL199" s="22"/>
      <c r="JM199" s="20"/>
      <c r="JN199" s="22"/>
      <c r="JO199" s="20"/>
      <c r="JP199" s="22"/>
      <c r="JQ199" s="20"/>
      <c r="JR199" s="22"/>
      <c r="JS199" s="20"/>
      <c r="JT199" s="22"/>
      <c r="JU199" s="20"/>
      <c r="JV199" s="22"/>
      <c r="JW199" s="20"/>
      <c r="JX199" s="22"/>
      <c r="JY199" s="20"/>
      <c r="JZ199" s="22"/>
      <c r="KA199" s="20"/>
      <c r="KB199" s="22"/>
      <c r="KC199" s="20"/>
      <c r="KD199" s="22"/>
      <c r="KE199" s="20"/>
      <c r="KF199" s="22"/>
      <c r="KG199" s="20"/>
      <c r="KH199" s="22"/>
      <c r="KI199" s="20"/>
      <c r="KJ199" s="22"/>
      <c r="KK199" s="20"/>
      <c r="KL199" s="22"/>
      <c r="KM199" s="20"/>
      <c r="KN199" s="22"/>
      <c r="KO199" s="20"/>
      <c r="KP199" s="22"/>
      <c r="KQ199" s="20"/>
      <c r="KR199" s="22"/>
      <c r="KS199" s="20"/>
      <c r="KT199" s="22"/>
      <c r="KU199" s="20"/>
      <c r="KV199" s="22"/>
      <c r="KW199" s="20"/>
      <c r="KX199" s="22"/>
      <c r="KY199" s="20"/>
      <c r="KZ199" s="22"/>
      <c r="LA199" s="20"/>
      <c r="LB199" s="22"/>
      <c r="LC199" s="20"/>
      <c r="LD199" s="22"/>
      <c r="LE199" s="20"/>
      <c r="LF199" s="22"/>
      <c r="LG199" s="20"/>
      <c r="LH199" s="22"/>
      <c r="LI199" s="20"/>
      <c r="LJ199" s="22"/>
      <c r="LK199" s="20"/>
      <c r="LL199" s="22"/>
      <c r="LM199" s="20"/>
      <c r="LN199" s="22"/>
      <c r="LO199" s="20"/>
      <c r="LP199" s="22"/>
      <c r="LQ199" s="20"/>
      <c r="LR199" s="22"/>
      <c r="LS199" s="20"/>
      <c r="LT199" s="22"/>
      <c r="LU199" s="20"/>
      <c r="LV199" s="22"/>
      <c r="LW199" s="20"/>
      <c r="LX199" s="22"/>
      <c r="LY199" s="20"/>
      <c r="LZ199" s="22"/>
      <c r="MA199" s="20"/>
      <c r="MB199" s="22"/>
      <c r="MC199" s="20"/>
      <c r="MD199" s="22"/>
      <c r="ME199" s="20"/>
      <c r="MF199" s="22"/>
      <c r="MG199" s="20"/>
      <c r="MH199" s="22"/>
      <c r="MI199" s="20"/>
      <c r="MJ199" s="22"/>
      <c r="MK199" s="20"/>
      <c r="ML199" s="22"/>
      <c r="MM199" s="20"/>
      <c r="MN199" s="22"/>
      <c r="MO199" s="20"/>
      <c r="MP199" s="22"/>
      <c r="MQ199" s="20"/>
      <c r="MR199" s="22"/>
      <c r="MS199" s="20"/>
      <c r="MT199" s="22"/>
      <c r="MU199" s="20"/>
      <c r="MV199" s="22"/>
      <c r="MW199" s="20"/>
      <c r="MX199" s="22"/>
      <c r="MY199" s="20"/>
      <c r="MZ199" s="22"/>
      <c r="NA199" s="20"/>
      <c r="NB199" s="22"/>
      <c r="NC199" s="20"/>
      <c r="ND199" s="22"/>
      <c r="NE199" s="20"/>
      <c r="NF199" s="73"/>
    </row>
    <row r="200" hidden="1">
      <c r="A200" s="237"/>
      <c r="B200" s="267"/>
      <c r="C200" s="277">
        <v>46191.0</v>
      </c>
      <c r="D200" s="282" t="s">
        <v>381</v>
      </c>
      <c r="E200" s="279" t="s">
        <v>47</v>
      </c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  <c r="CI200" s="73"/>
      <c r="CJ200" s="73"/>
      <c r="CK200" s="73"/>
      <c r="CL200" s="73"/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C200" s="73"/>
      <c r="DD200" s="73"/>
      <c r="DE200" s="73"/>
      <c r="DF200" s="73"/>
      <c r="DG200" s="73"/>
      <c r="DH200" s="73"/>
      <c r="DI200" s="73"/>
      <c r="DJ200" s="73"/>
      <c r="DK200" s="73"/>
      <c r="DL200" s="73"/>
      <c r="DM200" s="73"/>
      <c r="DN200" s="73"/>
      <c r="DO200" s="73"/>
      <c r="DP200" s="73"/>
      <c r="DQ200" s="73"/>
      <c r="DR200" s="73"/>
      <c r="DS200" s="73"/>
      <c r="DT200" s="73"/>
      <c r="DU200" s="73"/>
      <c r="DV200" s="22"/>
      <c r="DW200" s="20"/>
      <c r="DX200" s="22"/>
      <c r="DY200" s="20"/>
      <c r="DZ200" s="22"/>
      <c r="EA200" s="20"/>
      <c r="EB200" s="22"/>
      <c r="EC200" s="20"/>
      <c r="ED200" s="22"/>
      <c r="EE200" s="20"/>
      <c r="EF200" s="22"/>
      <c r="EG200" s="20"/>
      <c r="EH200" s="22"/>
      <c r="EI200" s="20"/>
      <c r="EJ200" s="22"/>
      <c r="EK200" s="20"/>
      <c r="EL200" s="22"/>
      <c r="EM200" s="20"/>
      <c r="EN200" s="22"/>
      <c r="EO200" s="20"/>
      <c r="EP200" s="22"/>
      <c r="EQ200" s="20"/>
      <c r="ER200" s="22"/>
      <c r="ES200" s="20"/>
      <c r="ET200" s="22"/>
      <c r="EU200" s="20"/>
      <c r="EV200" s="22"/>
      <c r="EW200" s="20"/>
      <c r="EX200" s="22"/>
      <c r="EY200" s="20"/>
      <c r="EZ200" s="22"/>
      <c r="FA200" s="20"/>
      <c r="FB200" s="22"/>
      <c r="FC200" s="20"/>
      <c r="FD200" s="22"/>
      <c r="FE200" s="20"/>
      <c r="FF200" s="22"/>
      <c r="FG200" s="20"/>
      <c r="FH200" s="22"/>
      <c r="FI200" s="20"/>
      <c r="FJ200" s="22"/>
      <c r="FK200" s="20"/>
      <c r="FL200" s="22"/>
      <c r="FM200" s="20"/>
      <c r="FN200" s="22"/>
      <c r="FO200" s="20"/>
      <c r="FP200" s="20">
        <v>2.0</v>
      </c>
      <c r="FQ200" s="20">
        <v>4.0</v>
      </c>
      <c r="FR200" s="22"/>
      <c r="FS200" s="20">
        <v>1.0</v>
      </c>
      <c r="FT200" s="22"/>
      <c r="FU200" s="20"/>
      <c r="FV200" s="22"/>
      <c r="FW200" s="20"/>
      <c r="FX200" s="22"/>
      <c r="FY200" s="20"/>
      <c r="FZ200" s="22"/>
      <c r="GA200" s="20"/>
      <c r="GB200" s="22"/>
      <c r="GC200" s="20"/>
      <c r="GD200" s="22"/>
      <c r="GE200" s="20"/>
      <c r="GF200" s="22"/>
      <c r="GG200" s="20"/>
      <c r="GH200" s="22"/>
      <c r="GI200" s="20"/>
      <c r="GJ200" s="22"/>
      <c r="GK200" s="20"/>
      <c r="GL200" s="22"/>
      <c r="GM200" s="20"/>
      <c r="GN200" s="22"/>
      <c r="GO200" s="20"/>
      <c r="GP200" s="22"/>
      <c r="GQ200" s="20"/>
      <c r="GR200" s="22"/>
      <c r="GS200" s="20"/>
      <c r="GT200" s="22"/>
      <c r="GU200" s="20"/>
      <c r="GV200" s="22"/>
      <c r="GW200" s="20"/>
      <c r="GX200" s="22"/>
      <c r="GY200" s="20"/>
      <c r="GZ200" s="22"/>
      <c r="HA200" s="20"/>
      <c r="HB200" s="22"/>
      <c r="HC200" s="20"/>
      <c r="HD200" s="22"/>
      <c r="HE200" s="20"/>
      <c r="HF200" s="22"/>
      <c r="HG200" s="20"/>
      <c r="HH200" s="22"/>
      <c r="HI200" s="20"/>
      <c r="HJ200" s="22"/>
      <c r="HK200" s="20"/>
      <c r="HL200" s="22"/>
      <c r="HM200" s="20"/>
      <c r="HN200" s="22"/>
      <c r="HO200" s="20"/>
      <c r="HP200" s="22"/>
      <c r="HQ200" s="20"/>
      <c r="HR200" s="22"/>
      <c r="HS200" s="20"/>
      <c r="HT200" s="22"/>
      <c r="HU200" s="20"/>
      <c r="HV200" s="22"/>
      <c r="HW200" s="20"/>
      <c r="HX200" s="22"/>
      <c r="HY200" s="20"/>
      <c r="HZ200" s="22"/>
      <c r="IA200" s="20"/>
      <c r="IB200" s="22"/>
      <c r="IC200" s="20"/>
      <c r="ID200" s="22"/>
      <c r="IE200" s="20"/>
      <c r="IF200" s="22"/>
      <c r="IG200" s="20"/>
      <c r="IH200" s="22"/>
      <c r="II200" s="20"/>
      <c r="IJ200" s="22"/>
      <c r="IK200" s="20"/>
      <c r="IL200" s="22"/>
      <c r="IM200" s="20"/>
      <c r="IN200" s="22"/>
      <c r="IO200" s="20"/>
      <c r="IP200" s="22"/>
      <c r="IQ200" s="20"/>
      <c r="IR200" s="22"/>
      <c r="IS200" s="20"/>
      <c r="IT200" s="22"/>
      <c r="IU200" s="20"/>
      <c r="IV200" s="22"/>
      <c r="IW200" s="20"/>
      <c r="IX200" s="22"/>
      <c r="IY200" s="20"/>
      <c r="IZ200" s="22"/>
      <c r="JA200" s="20"/>
      <c r="JB200" s="22"/>
      <c r="JC200" s="20"/>
      <c r="JD200" s="22"/>
      <c r="JE200" s="20"/>
      <c r="JF200" s="22"/>
      <c r="JG200" s="20"/>
      <c r="JH200" s="22"/>
      <c r="JI200" s="20"/>
      <c r="JJ200" s="22"/>
      <c r="JK200" s="20"/>
      <c r="JL200" s="22"/>
      <c r="JM200" s="20"/>
      <c r="JN200" s="22"/>
      <c r="JO200" s="20"/>
      <c r="JP200" s="22"/>
      <c r="JQ200" s="20"/>
      <c r="JR200" s="22"/>
      <c r="JS200" s="20"/>
      <c r="JT200" s="22"/>
      <c r="JU200" s="20"/>
      <c r="JV200" s="22"/>
      <c r="JW200" s="20"/>
      <c r="JX200" s="22"/>
      <c r="JY200" s="20"/>
      <c r="JZ200" s="22"/>
      <c r="KA200" s="20"/>
      <c r="KB200" s="22"/>
      <c r="KC200" s="20"/>
      <c r="KD200" s="22"/>
      <c r="KE200" s="20"/>
      <c r="KF200" s="22"/>
      <c r="KG200" s="20"/>
      <c r="KH200" s="22"/>
      <c r="KI200" s="20"/>
      <c r="KJ200" s="22"/>
      <c r="KK200" s="20"/>
      <c r="KL200" s="22"/>
      <c r="KM200" s="20"/>
      <c r="KN200" s="22"/>
      <c r="KO200" s="20"/>
      <c r="KP200" s="22"/>
      <c r="KQ200" s="20"/>
      <c r="KR200" s="22"/>
      <c r="KS200" s="20"/>
      <c r="KT200" s="22"/>
      <c r="KU200" s="20"/>
      <c r="KV200" s="22"/>
      <c r="KW200" s="20"/>
      <c r="KX200" s="22"/>
      <c r="KY200" s="20"/>
      <c r="KZ200" s="22"/>
      <c r="LA200" s="20"/>
      <c r="LB200" s="22"/>
      <c r="LC200" s="20"/>
      <c r="LD200" s="22"/>
      <c r="LE200" s="20"/>
      <c r="LF200" s="22"/>
      <c r="LG200" s="20"/>
      <c r="LH200" s="22"/>
      <c r="LI200" s="20"/>
      <c r="LJ200" s="22"/>
      <c r="LK200" s="20"/>
      <c r="LL200" s="22"/>
      <c r="LM200" s="20"/>
      <c r="LN200" s="22"/>
      <c r="LO200" s="20"/>
      <c r="LP200" s="22"/>
      <c r="LQ200" s="20"/>
      <c r="LR200" s="22"/>
      <c r="LS200" s="20"/>
      <c r="LT200" s="22"/>
      <c r="LU200" s="20"/>
      <c r="LV200" s="22"/>
      <c r="LW200" s="20"/>
      <c r="LX200" s="22"/>
      <c r="LY200" s="20"/>
      <c r="LZ200" s="22"/>
      <c r="MA200" s="20"/>
      <c r="MB200" s="22"/>
      <c r="MC200" s="20"/>
      <c r="MD200" s="22"/>
      <c r="ME200" s="20"/>
      <c r="MF200" s="22"/>
      <c r="MG200" s="20"/>
      <c r="MH200" s="22"/>
      <c r="MI200" s="20"/>
      <c r="MJ200" s="22"/>
      <c r="MK200" s="20"/>
      <c r="ML200" s="22"/>
      <c r="MM200" s="20"/>
      <c r="MN200" s="22"/>
      <c r="MO200" s="20"/>
      <c r="MP200" s="22"/>
      <c r="MQ200" s="20"/>
      <c r="MR200" s="22"/>
      <c r="MS200" s="20"/>
      <c r="MT200" s="22"/>
      <c r="MU200" s="20"/>
      <c r="MV200" s="22"/>
      <c r="MW200" s="20"/>
      <c r="MX200" s="22"/>
      <c r="MY200" s="20"/>
      <c r="MZ200" s="22"/>
      <c r="NA200" s="20"/>
      <c r="NB200" s="22"/>
      <c r="NC200" s="20"/>
      <c r="ND200" s="22"/>
      <c r="NE200" s="20"/>
      <c r="NF200" s="73"/>
    </row>
    <row r="201" hidden="1">
      <c r="A201" s="237"/>
      <c r="B201" s="267"/>
      <c r="C201" s="277">
        <v>46196.0</v>
      </c>
      <c r="D201" s="282" t="s">
        <v>382</v>
      </c>
      <c r="E201" s="279" t="s">
        <v>47</v>
      </c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  <c r="CI201" s="73"/>
      <c r="CJ201" s="73"/>
      <c r="CK201" s="73"/>
      <c r="CL201" s="73"/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C201" s="73"/>
      <c r="DD201" s="73"/>
      <c r="DE201" s="73"/>
      <c r="DF201" s="73"/>
      <c r="DG201" s="73"/>
      <c r="DH201" s="73"/>
      <c r="DI201" s="73"/>
      <c r="DJ201" s="73"/>
      <c r="DK201" s="73"/>
      <c r="DL201" s="73"/>
      <c r="DM201" s="73"/>
      <c r="DN201" s="73"/>
      <c r="DO201" s="73"/>
      <c r="DP201" s="73"/>
      <c r="DQ201" s="73"/>
      <c r="DR201" s="73"/>
      <c r="DS201" s="73"/>
      <c r="DT201" s="73"/>
      <c r="DU201" s="73"/>
      <c r="DV201" s="22"/>
      <c r="DW201" s="20"/>
      <c r="DX201" s="22"/>
      <c r="DY201" s="20"/>
      <c r="DZ201" s="22"/>
      <c r="EA201" s="20"/>
      <c r="EB201" s="22"/>
      <c r="EC201" s="20"/>
      <c r="ED201" s="22"/>
      <c r="EE201" s="20"/>
      <c r="EF201" s="22"/>
      <c r="EG201" s="20"/>
      <c r="EH201" s="22"/>
      <c r="EI201" s="20"/>
      <c r="EJ201" s="22"/>
      <c r="EK201" s="20"/>
      <c r="EL201" s="22"/>
      <c r="EM201" s="20"/>
      <c r="EN201" s="22"/>
      <c r="EO201" s="20"/>
      <c r="EP201" s="22"/>
      <c r="EQ201" s="20"/>
      <c r="ER201" s="22"/>
      <c r="ES201" s="20"/>
      <c r="ET201" s="22"/>
      <c r="EU201" s="20"/>
      <c r="EV201" s="22"/>
      <c r="EW201" s="20"/>
      <c r="EX201" s="22"/>
      <c r="EY201" s="20"/>
      <c r="EZ201" s="22"/>
      <c r="FA201" s="20"/>
      <c r="FB201" s="22"/>
      <c r="FC201" s="20"/>
      <c r="FD201" s="22"/>
      <c r="FE201" s="20"/>
      <c r="FF201" s="22"/>
      <c r="FG201" s="20"/>
      <c r="FH201" s="22"/>
      <c r="FI201" s="20"/>
      <c r="FJ201" s="22"/>
      <c r="FK201" s="20"/>
      <c r="FL201" s="22"/>
      <c r="FM201" s="20"/>
      <c r="FN201" s="22"/>
      <c r="FO201" s="20"/>
      <c r="FP201" s="22"/>
      <c r="FQ201" s="20"/>
      <c r="FR201" s="22"/>
      <c r="FS201" s="20"/>
      <c r="FT201" s="22"/>
      <c r="FU201" s="20"/>
      <c r="FV201" s="22"/>
      <c r="FW201" s="20">
        <v>1.0</v>
      </c>
      <c r="FX201" s="22"/>
      <c r="FY201" s="20"/>
      <c r="FZ201" s="22"/>
      <c r="GA201" s="20"/>
      <c r="GB201" s="22"/>
      <c r="GC201" s="20"/>
      <c r="GD201" s="22"/>
      <c r="GE201" s="20"/>
      <c r="GF201" s="22"/>
      <c r="GG201" s="20"/>
      <c r="GH201" s="22"/>
      <c r="GI201" s="20"/>
      <c r="GJ201" s="22"/>
      <c r="GK201" s="20"/>
      <c r="GL201" s="22"/>
      <c r="GM201" s="20"/>
      <c r="GN201" s="22"/>
      <c r="GO201" s="20"/>
      <c r="GP201" s="22"/>
      <c r="GQ201" s="20"/>
      <c r="GR201" s="22"/>
      <c r="GS201" s="20"/>
      <c r="GT201" s="22"/>
      <c r="GU201" s="20"/>
      <c r="GV201" s="22"/>
      <c r="GW201" s="20"/>
      <c r="GX201" s="22"/>
      <c r="GY201" s="20"/>
      <c r="GZ201" s="22"/>
      <c r="HA201" s="20"/>
      <c r="HB201" s="22"/>
      <c r="HC201" s="20"/>
      <c r="HD201" s="22"/>
      <c r="HE201" s="20"/>
      <c r="HF201" s="22"/>
      <c r="HG201" s="20"/>
      <c r="HH201" s="22"/>
      <c r="HI201" s="20"/>
      <c r="HJ201" s="22"/>
      <c r="HK201" s="20"/>
      <c r="HL201" s="22"/>
      <c r="HM201" s="20"/>
      <c r="HN201" s="22"/>
      <c r="HO201" s="20"/>
      <c r="HP201" s="22"/>
      <c r="HQ201" s="20"/>
      <c r="HR201" s="22"/>
      <c r="HS201" s="20"/>
      <c r="HT201" s="22"/>
      <c r="HU201" s="20"/>
      <c r="HV201" s="22"/>
      <c r="HW201" s="20"/>
      <c r="HX201" s="22"/>
      <c r="HY201" s="20"/>
      <c r="HZ201" s="22"/>
      <c r="IA201" s="20"/>
      <c r="IB201" s="22"/>
      <c r="IC201" s="20"/>
      <c r="ID201" s="22"/>
      <c r="IE201" s="20"/>
      <c r="IF201" s="22"/>
      <c r="IG201" s="20"/>
      <c r="IH201" s="22"/>
      <c r="II201" s="20"/>
      <c r="IJ201" s="22"/>
      <c r="IK201" s="20"/>
      <c r="IL201" s="22"/>
      <c r="IM201" s="20"/>
      <c r="IN201" s="22"/>
      <c r="IO201" s="20"/>
      <c r="IP201" s="22"/>
      <c r="IQ201" s="20"/>
      <c r="IR201" s="22"/>
      <c r="IS201" s="20"/>
      <c r="IT201" s="22"/>
      <c r="IU201" s="20"/>
      <c r="IV201" s="22"/>
      <c r="IW201" s="20"/>
      <c r="IX201" s="22"/>
      <c r="IY201" s="20"/>
      <c r="IZ201" s="22"/>
      <c r="JA201" s="20"/>
      <c r="JB201" s="22"/>
      <c r="JC201" s="20"/>
      <c r="JD201" s="22"/>
      <c r="JE201" s="20"/>
      <c r="JF201" s="22"/>
      <c r="JG201" s="20"/>
      <c r="JH201" s="22"/>
      <c r="JI201" s="20"/>
      <c r="JJ201" s="22"/>
      <c r="JK201" s="20"/>
      <c r="JL201" s="22"/>
      <c r="JM201" s="20"/>
      <c r="JN201" s="22"/>
      <c r="JO201" s="20"/>
      <c r="JP201" s="22"/>
      <c r="JQ201" s="20"/>
      <c r="JR201" s="22"/>
      <c r="JS201" s="20"/>
      <c r="JT201" s="22"/>
      <c r="JU201" s="20"/>
      <c r="JV201" s="22"/>
      <c r="JW201" s="20"/>
      <c r="JX201" s="22"/>
      <c r="JY201" s="20"/>
      <c r="JZ201" s="22"/>
      <c r="KA201" s="20"/>
      <c r="KB201" s="22"/>
      <c r="KC201" s="20"/>
      <c r="KD201" s="22"/>
      <c r="KE201" s="20"/>
      <c r="KF201" s="22"/>
      <c r="KG201" s="20"/>
      <c r="KH201" s="22"/>
      <c r="KI201" s="20"/>
      <c r="KJ201" s="22"/>
      <c r="KK201" s="20"/>
      <c r="KL201" s="22"/>
      <c r="KM201" s="20"/>
      <c r="KN201" s="22"/>
      <c r="KO201" s="20"/>
      <c r="KP201" s="22"/>
      <c r="KQ201" s="20"/>
      <c r="KR201" s="22"/>
      <c r="KS201" s="20"/>
      <c r="KT201" s="22"/>
      <c r="KU201" s="20"/>
      <c r="KV201" s="22"/>
      <c r="KW201" s="20"/>
      <c r="KX201" s="22"/>
      <c r="KY201" s="20"/>
      <c r="KZ201" s="22"/>
      <c r="LA201" s="20"/>
      <c r="LB201" s="22"/>
      <c r="LC201" s="20"/>
      <c r="LD201" s="22"/>
      <c r="LE201" s="20"/>
      <c r="LF201" s="22"/>
      <c r="LG201" s="20"/>
      <c r="LH201" s="22"/>
      <c r="LI201" s="20"/>
      <c r="LJ201" s="22"/>
      <c r="LK201" s="20"/>
      <c r="LL201" s="22"/>
      <c r="LM201" s="20"/>
      <c r="LN201" s="22"/>
      <c r="LO201" s="20"/>
      <c r="LP201" s="22"/>
      <c r="LQ201" s="20"/>
      <c r="LR201" s="22"/>
      <c r="LS201" s="20"/>
      <c r="LT201" s="22"/>
      <c r="LU201" s="20"/>
      <c r="LV201" s="22"/>
      <c r="LW201" s="20"/>
      <c r="LX201" s="22"/>
      <c r="LY201" s="20"/>
      <c r="LZ201" s="22"/>
      <c r="MA201" s="20"/>
      <c r="MB201" s="22"/>
      <c r="MC201" s="20"/>
      <c r="MD201" s="22"/>
      <c r="ME201" s="20"/>
      <c r="MF201" s="22"/>
      <c r="MG201" s="20"/>
      <c r="MH201" s="22"/>
      <c r="MI201" s="20"/>
      <c r="MJ201" s="22"/>
      <c r="MK201" s="20"/>
      <c r="ML201" s="22"/>
      <c r="MM201" s="20"/>
      <c r="MN201" s="22"/>
      <c r="MO201" s="20"/>
      <c r="MP201" s="22"/>
      <c r="MQ201" s="20"/>
      <c r="MR201" s="22"/>
      <c r="MS201" s="20"/>
      <c r="MT201" s="22"/>
      <c r="MU201" s="20"/>
      <c r="MV201" s="22"/>
      <c r="MW201" s="20"/>
      <c r="MX201" s="22"/>
      <c r="MY201" s="20"/>
      <c r="MZ201" s="22"/>
      <c r="NA201" s="20"/>
      <c r="NB201" s="22"/>
      <c r="NC201" s="20"/>
      <c r="ND201" s="22"/>
      <c r="NE201" s="20"/>
      <c r="NF201" s="73"/>
    </row>
    <row r="202" hidden="1">
      <c r="A202" s="237"/>
      <c r="B202" s="267"/>
      <c r="C202" s="277">
        <v>46196.0</v>
      </c>
      <c r="D202" s="282" t="s">
        <v>383</v>
      </c>
      <c r="E202" s="279" t="s">
        <v>47</v>
      </c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  <c r="CI202" s="73"/>
      <c r="CJ202" s="73"/>
      <c r="CK202" s="73"/>
      <c r="CL202" s="73"/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C202" s="73"/>
      <c r="DD202" s="73"/>
      <c r="DE202" s="73"/>
      <c r="DF202" s="73"/>
      <c r="DG202" s="73"/>
      <c r="DH202" s="73"/>
      <c r="DI202" s="73"/>
      <c r="DJ202" s="73"/>
      <c r="DK202" s="73"/>
      <c r="DL202" s="73"/>
      <c r="DM202" s="73"/>
      <c r="DN202" s="73"/>
      <c r="DO202" s="73"/>
      <c r="DP202" s="73"/>
      <c r="DQ202" s="73"/>
      <c r="DR202" s="73"/>
      <c r="DS202" s="73"/>
      <c r="DT202" s="73"/>
      <c r="DU202" s="73"/>
      <c r="DV202" s="22"/>
      <c r="DW202" s="20"/>
      <c r="DX202" s="22"/>
      <c r="DY202" s="20"/>
      <c r="DZ202" s="22"/>
      <c r="EA202" s="20"/>
      <c r="EB202" s="22"/>
      <c r="EC202" s="20"/>
      <c r="ED202" s="22"/>
      <c r="EE202" s="20"/>
      <c r="EF202" s="22"/>
      <c r="EG202" s="20"/>
      <c r="EH202" s="22"/>
      <c r="EI202" s="20"/>
      <c r="EJ202" s="22"/>
      <c r="EK202" s="20"/>
      <c r="EL202" s="22"/>
      <c r="EM202" s="20"/>
      <c r="EN202" s="22"/>
      <c r="EO202" s="20"/>
      <c r="EP202" s="22"/>
      <c r="EQ202" s="20"/>
      <c r="ER202" s="22"/>
      <c r="ES202" s="20"/>
      <c r="ET202" s="22"/>
      <c r="EU202" s="20"/>
      <c r="EV202" s="22"/>
      <c r="EW202" s="20"/>
      <c r="EX202" s="22"/>
      <c r="EY202" s="20"/>
      <c r="EZ202" s="22"/>
      <c r="FA202" s="20"/>
      <c r="FB202" s="22"/>
      <c r="FC202" s="20"/>
      <c r="FD202" s="22"/>
      <c r="FE202" s="20"/>
      <c r="FF202" s="22"/>
      <c r="FG202" s="20"/>
      <c r="FH202" s="22"/>
      <c r="FI202" s="20"/>
      <c r="FJ202" s="22"/>
      <c r="FK202" s="20"/>
      <c r="FL202" s="22"/>
      <c r="FM202" s="20"/>
      <c r="FN202" s="22"/>
      <c r="FO202" s="20"/>
      <c r="FP202" s="22"/>
      <c r="FQ202" s="20"/>
      <c r="FR202" s="22"/>
      <c r="FS202" s="20">
        <v>2.0</v>
      </c>
      <c r="FT202" s="22"/>
      <c r="FU202" s="20"/>
      <c r="FV202" s="20">
        <v>3.0</v>
      </c>
      <c r="FW202" s="20">
        <v>2.0</v>
      </c>
      <c r="FX202" s="22"/>
      <c r="FY202" s="20"/>
      <c r="FZ202" s="22"/>
      <c r="GA202" s="20"/>
      <c r="GB202" s="22"/>
      <c r="GC202" s="20"/>
      <c r="GD202" s="22"/>
      <c r="GE202" s="20"/>
      <c r="GF202" s="22"/>
      <c r="GG202" s="20"/>
      <c r="GH202" s="22"/>
      <c r="GI202" s="20"/>
      <c r="GJ202" s="22"/>
      <c r="GK202" s="20"/>
      <c r="GL202" s="22"/>
      <c r="GM202" s="20"/>
      <c r="GN202" s="22"/>
      <c r="GO202" s="20"/>
      <c r="GP202" s="22"/>
      <c r="GQ202" s="20"/>
      <c r="GR202" s="22"/>
      <c r="GS202" s="20"/>
      <c r="GT202" s="22"/>
      <c r="GU202" s="20"/>
      <c r="GV202" s="22"/>
      <c r="GW202" s="20"/>
      <c r="GX202" s="22"/>
      <c r="GY202" s="20"/>
      <c r="GZ202" s="22"/>
      <c r="HA202" s="20"/>
      <c r="HB202" s="22"/>
      <c r="HC202" s="20"/>
      <c r="HD202" s="22"/>
      <c r="HE202" s="20"/>
      <c r="HF202" s="22"/>
      <c r="HG202" s="20"/>
      <c r="HH202" s="22"/>
      <c r="HI202" s="20"/>
      <c r="HJ202" s="22"/>
      <c r="HK202" s="20"/>
      <c r="HL202" s="22"/>
      <c r="HM202" s="20"/>
      <c r="HN202" s="22"/>
      <c r="HO202" s="20"/>
      <c r="HP202" s="22"/>
      <c r="HQ202" s="20"/>
      <c r="HR202" s="22"/>
      <c r="HS202" s="20"/>
      <c r="HT202" s="22"/>
      <c r="HU202" s="20"/>
      <c r="HV202" s="22"/>
      <c r="HW202" s="20"/>
      <c r="HX202" s="22"/>
      <c r="HY202" s="20"/>
      <c r="HZ202" s="22"/>
      <c r="IA202" s="20"/>
      <c r="IB202" s="22"/>
      <c r="IC202" s="20"/>
      <c r="ID202" s="22"/>
      <c r="IE202" s="20"/>
      <c r="IF202" s="22"/>
      <c r="IG202" s="20"/>
      <c r="IH202" s="22"/>
      <c r="II202" s="20"/>
      <c r="IJ202" s="22"/>
      <c r="IK202" s="20"/>
      <c r="IL202" s="22"/>
      <c r="IM202" s="20"/>
      <c r="IN202" s="22"/>
      <c r="IO202" s="20"/>
      <c r="IP202" s="22"/>
      <c r="IQ202" s="20"/>
      <c r="IR202" s="22"/>
      <c r="IS202" s="20"/>
      <c r="IT202" s="22"/>
      <c r="IU202" s="20"/>
      <c r="IV202" s="22"/>
      <c r="IW202" s="20"/>
      <c r="IX202" s="22"/>
      <c r="IY202" s="20"/>
      <c r="IZ202" s="22"/>
      <c r="JA202" s="20"/>
      <c r="JB202" s="22"/>
      <c r="JC202" s="20"/>
      <c r="JD202" s="22"/>
      <c r="JE202" s="20"/>
      <c r="JF202" s="22"/>
      <c r="JG202" s="20"/>
      <c r="JH202" s="22"/>
      <c r="JI202" s="20"/>
      <c r="JJ202" s="22"/>
      <c r="JK202" s="20"/>
      <c r="JL202" s="22"/>
      <c r="JM202" s="20"/>
      <c r="JN202" s="22"/>
      <c r="JO202" s="20"/>
      <c r="JP202" s="22"/>
      <c r="JQ202" s="20"/>
      <c r="JR202" s="22"/>
      <c r="JS202" s="20"/>
      <c r="JT202" s="22"/>
      <c r="JU202" s="20"/>
      <c r="JV202" s="22"/>
      <c r="JW202" s="20"/>
      <c r="JX202" s="22"/>
      <c r="JY202" s="20"/>
      <c r="JZ202" s="22"/>
      <c r="KA202" s="20"/>
      <c r="KB202" s="22"/>
      <c r="KC202" s="20"/>
      <c r="KD202" s="22"/>
      <c r="KE202" s="20"/>
      <c r="KF202" s="22"/>
      <c r="KG202" s="20"/>
      <c r="KH202" s="22"/>
      <c r="KI202" s="20"/>
      <c r="KJ202" s="22"/>
      <c r="KK202" s="20"/>
      <c r="KL202" s="22"/>
      <c r="KM202" s="20"/>
      <c r="KN202" s="22"/>
      <c r="KO202" s="20"/>
      <c r="KP202" s="22"/>
      <c r="KQ202" s="20"/>
      <c r="KR202" s="22"/>
      <c r="KS202" s="20"/>
      <c r="KT202" s="22"/>
      <c r="KU202" s="20"/>
      <c r="KV202" s="22"/>
      <c r="KW202" s="20"/>
      <c r="KX202" s="22"/>
      <c r="KY202" s="20"/>
      <c r="KZ202" s="22"/>
      <c r="LA202" s="20"/>
      <c r="LB202" s="22"/>
      <c r="LC202" s="20"/>
      <c r="LD202" s="22"/>
      <c r="LE202" s="20"/>
      <c r="LF202" s="22"/>
      <c r="LG202" s="20"/>
      <c r="LH202" s="22"/>
      <c r="LI202" s="20"/>
      <c r="LJ202" s="22"/>
      <c r="LK202" s="20"/>
      <c r="LL202" s="22"/>
      <c r="LM202" s="20"/>
      <c r="LN202" s="22"/>
      <c r="LO202" s="20"/>
      <c r="LP202" s="22"/>
      <c r="LQ202" s="20"/>
      <c r="LR202" s="22"/>
      <c r="LS202" s="20"/>
      <c r="LT202" s="22"/>
      <c r="LU202" s="20"/>
      <c r="LV202" s="22"/>
      <c r="LW202" s="20"/>
      <c r="LX202" s="22"/>
      <c r="LY202" s="20"/>
      <c r="LZ202" s="22"/>
      <c r="MA202" s="20"/>
      <c r="MB202" s="22"/>
      <c r="MC202" s="20"/>
      <c r="MD202" s="22"/>
      <c r="ME202" s="20"/>
      <c r="MF202" s="22"/>
      <c r="MG202" s="20"/>
      <c r="MH202" s="22"/>
      <c r="MI202" s="20"/>
      <c r="MJ202" s="22"/>
      <c r="MK202" s="20"/>
      <c r="ML202" s="22"/>
      <c r="MM202" s="20"/>
      <c r="MN202" s="22"/>
      <c r="MO202" s="20"/>
      <c r="MP202" s="22"/>
      <c r="MQ202" s="20"/>
      <c r="MR202" s="22"/>
      <c r="MS202" s="20"/>
      <c r="MT202" s="22"/>
      <c r="MU202" s="20"/>
      <c r="MV202" s="22"/>
      <c r="MW202" s="20"/>
      <c r="MX202" s="22"/>
      <c r="MY202" s="20"/>
      <c r="MZ202" s="22"/>
      <c r="NA202" s="20"/>
      <c r="NB202" s="22"/>
      <c r="NC202" s="20"/>
      <c r="ND202" s="22"/>
      <c r="NE202" s="20"/>
      <c r="NF202" s="73"/>
    </row>
    <row r="203" hidden="1">
      <c r="A203" s="237"/>
      <c r="B203" s="267"/>
      <c r="C203" s="277">
        <v>46192.0</v>
      </c>
      <c r="D203" s="282" t="s">
        <v>384</v>
      </c>
      <c r="E203" s="279" t="s">
        <v>47</v>
      </c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  <c r="CI203" s="73"/>
      <c r="CJ203" s="73"/>
      <c r="CK203" s="73"/>
      <c r="CL203" s="73"/>
      <c r="CM203" s="73"/>
      <c r="CN203" s="73"/>
      <c r="CO203" s="73"/>
      <c r="CP203" s="73"/>
      <c r="CQ203" s="73"/>
      <c r="CR203" s="73"/>
      <c r="CS203" s="73"/>
      <c r="CT203" s="73"/>
      <c r="CU203" s="73"/>
      <c r="CV203" s="73"/>
      <c r="CW203" s="73"/>
      <c r="CX203" s="73"/>
      <c r="CY203" s="73"/>
      <c r="CZ203" s="73"/>
      <c r="DA203" s="73"/>
      <c r="DB203" s="73"/>
      <c r="DC203" s="73"/>
      <c r="DD203" s="73"/>
      <c r="DE203" s="73"/>
      <c r="DF203" s="73"/>
      <c r="DG203" s="73"/>
      <c r="DH203" s="73"/>
      <c r="DI203" s="73"/>
      <c r="DJ203" s="73"/>
      <c r="DK203" s="73"/>
      <c r="DL203" s="73"/>
      <c r="DM203" s="73"/>
      <c r="DN203" s="73"/>
      <c r="DO203" s="73"/>
      <c r="DP203" s="73"/>
      <c r="DQ203" s="73"/>
      <c r="DR203" s="73"/>
      <c r="DS203" s="73"/>
      <c r="DT203" s="73"/>
      <c r="DU203" s="73"/>
      <c r="DV203" s="22"/>
      <c r="DW203" s="20"/>
      <c r="DX203" s="22"/>
      <c r="DY203" s="20"/>
      <c r="DZ203" s="22"/>
      <c r="EA203" s="20"/>
      <c r="EB203" s="22"/>
      <c r="EC203" s="20"/>
      <c r="ED203" s="22"/>
      <c r="EE203" s="20"/>
      <c r="EF203" s="22"/>
      <c r="EG203" s="20"/>
      <c r="EH203" s="22"/>
      <c r="EI203" s="20"/>
      <c r="EJ203" s="22"/>
      <c r="EK203" s="20"/>
      <c r="EL203" s="22"/>
      <c r="EM203" s="20"/>
      <c r="EN203" s="22"/>
      <c r="EO203" s="20"/>
      <c r="EP203" s="22"/>
      <c r="EQ203" s="20"/>
      <c r="ER203" s="22"/>
      <c r="ES203" s="20"/>
      <c r="ET203" s="22"/>
      <c r="EU203" s="20"/>
      <c r="EV203" s="22"/>
      <c r="EW203" s="20"/>
      <c r="EX203" s="22"/>
      <c r="EY203" s="20"/>
      <c r="EZ203" s="22"/>
      <c r="FA203" s="20"/>
      <c r="FB203" s="22"/>
      <c r="FC203" s="20"/>
      <c r="FD203" s="22"/>
      <c r="FE203" s="20"/>
      <c r="FF203" s="22"/>
      <c r="FG203" s="20"/>
      <c r="FH203" s="22"/>
      <c r="FI203" s="20"/>
      <c r="FJ203" s="22"/>
      <c r="FK203" s="20"/>
      <c r="FL203" s="22"/>
      <c r="FM203" s="20"/>
      <c r="FN203" s="22"/>
      <c r="FO203" s="20"/>
      <c r="FP203" s="22"/>
      <c r="FQ203" s="20"/>
      <c r="FR203" s="22"/>
      <c r="FS203" s="20">
        <v>1.0</v>
      </c>
      <c r="FT203" s="22"/>
      <c r="FU203" s="20"/>
      <c r="FV203" s="20">
        <v>1.0</v>
      </c>
      <c r="FW203" s="20"/>
      <c r="FX203" s="22"/>
      <c r="FY203" s="20"/>
      <c r="FZ203" s="22"/>
      <c r="GA203" s="20"/>
      <c r="GB203" s="22"/>
      <c r="GC203" s="20"/>
      <c r="GD203" s="22"/>
      <c r="GE203" s="20"/>
      <c r="GF203" s="22"/>
      <c r="GG203" s="20"/>
      <c r="GH203" s="22"/>
      <c r="GI203" s="20"/>
      <c r="GJ203" s="22"/>
      <c r="GK203" s="20"/>
      <c r="GL203" s="22"/>
      <c r="GM203" s="20"/>
      <c r="GN203" s="22"/>
      <c r="GO203" s="20"/>
      <c r="GP203" s="22"/>
      <c r="GQ203" s="20"/>
      <c r="GR203" s="22"/>
      <c r="GS203" s="20"/>
      <c r="GT203" s="22"/>
      <c r="GU203" s="20"/>
      <c r="GV203" s="22"/>
      <c r="GW203" s="20"/>
      <c r="GX203" s="22"/>
      <c r="GY203" s="20"/>
      <c r="GZ203" s="22"/>
      <c r="HA203" s="20"/>
      <c r="HB203" s="22"/>
      <c r="HC203" s="20"/>
      <c r="HD203" s="22"/>
      <c r="HE203" s="20"/>
      <c r="HF203" s="22"/>
      <c r="HG203" s="20"/>
      <c r="HH203" s="22"/>
      <c r="HI203" s="20"/>
      <c r="HJ203" s="22"/>
      <c r="HK203" s="20"/>
      <c r="HL203" s="22"/>
      <c r="HM203" s="20"/>
      <c r="HN203" s="22"/>
      <c r="HO203" s="20"/>
      <c r="HP203" s="22"/>
      <c r="HQ203" s="20"/>
      <c r="HR203" s="22"/>
      <c r="HS203" s="20"/>
      <c r="HT203" s="22"/>
      <c r="HU203" s="20"/>
      <c r="HV203" s="22"/>
      <c r="HW203" s="20"/>
      <c r="HX203" s="22"/>
      <c r="HY203" s="20"/>
      <c r="HZ203" s="22"/>
      <c r="IA203" s="20"/>
      <c r="IB203" s="22"/>
      <c r="IC203" s="20"/>
      <c r="ID203" s="22"/>
      <c r="IE203" s="20"/>
      <c r="IF203" s="22"/>
      <c r="IG203" s="20"/>
      <c r="IH203" s="22"/>
      <c r="II203" s="20"/>
      <c r="IJ203" s="22"/>
      <c r="IK203" s="20"/>
      <c r="IL203" s="22"/>
      <c r="IM203" s="20"/>
      <c r="IN203" s="22"/>
      <c r="IO203" s="20"/>
      <c r="IP203" s="22"/>
      <c r="IQ203" s="20"/>
      <c r="IR203" s="22"/>
      <c r="IS203" s="20"/>
      <c r="IT203" s="22"/>
      <c r="IU203" s="20"/>
      <c r="IV203" s="22"/>
      <c r="IW203" s="20"/>
      <c r="IX203" s="22"/>
      <c r="IY203" s="20"/>
      <c r="IZ203" s="22"/>
      <c r="JA203" s="20"/>
      <c r="JB203" s="22"/>
      <c r="JC203" s="20"/>
      <c r="JD203" s="22"/>
      <c r="JE203" s="20"/>
      <c r="JF203" s="22"/>
      <c r="JG203" s="20"/>
      <c r="JH203" s="22"/>
      <c r="JI203" s="20"/>
      <c r="JJ203" s="22"/>
      <c r="JK203" s="20"/>
      <c r="JL203" s="22"/>
      <c r="JM203" s="20"/>
      <c r="JN203" s="22"/>
      <c r="JO203" s="20"/>
      <c r="JP203" s="22"/>
      <c r="JQ203" s="20"/>
      <c r="JR203" s="22"/>
      <c r="JS203" s="20"/>
      <c r="JT203" s="22"/>
      <c r="JU203" s="20"/>
      <c r="JV203" s="22"/>
      <c r="JW203" s="20"/>
      <c r="JX203" s="22"/>
      <c r="JY203" s="20"/>
      <c r="JZ203" s="22"/>
      <c r="KA203" s="20"/>
      <c r="KB203" s="22"/>
      <c r="KC203" s="20"/>
      <c r="KD203" s="22"/>
      <c r="KE203" s="20"/>
      <c r="KF203" s="22"/>
      <c r="KG203" s="20"/>
      <c r="KH203" s="22"/>
      <c r="KI203" s="20"/>
      <c r="KJ203" s="22"/>
      <c r="KK203" s="20"/>
      <c r="KL203" s="22"/>
      <c r="KM203" s="20"/>
      <c r="KN203" s="22"/>
      <c r="KO203" s="20"/>
      <c r="KP203" s="22"/>
      <c r="KQ203" s="20"/>
      <c r="KR203" s="22"/>
      <c r="KS203" s="20"/>
      <c r="KT203" s="22"/>
      <c r="KU203" s="20"/>
      <c r="KV203" s="22"/>
      <c r="KW203" s="20"/>
      <c r="KX203" s="22"/>
      <c r="KY203" s="20"/>
      <c r="KZ203" s="22"/>
      <c r="LA203" s="20"/>
      <c r="LB203" s="22"/>
      <c r="LC203" s="20"/>
      <c r="LD203" s="22"/>
      <c r="LE203" s="20"/>
      <c r="LF203" s="22"/>
      <c r="LG203" s="20"/>
      <c r="LH203" s="22"/>
      <c r="LI203" s="20"/>
      <c r="LJ203" s="22"/>
      <c r="LK203" s="20"/>
      <c r="LL203" s="22"/>
      <c r="LM203" s="20"/>
      <c r="LN203" s="22"/>
      <c r="LO203" s="20"/>
      <c r="LP203" s="22"/>
      <c r="LQ203" s="20"/>
      <c r="LR203" s="22"/>
      <c r="LS203" s="20"/>
      <c r="LT203" s="22"/>
      <c r="LU203" s="20"/>
      <c r="LV203" s="22"/>
      <c r="LW203" s="20"/>
      <c r="LX203" s="22"/>
      <c r="LY203" s="20"/>
      <c r="LZ203" s="22"/>
      <c r="MA203" s="20"/>
      <c r="MB203" s="22"/>
      <c r="MC203" s="20"/>
      <c r="MD203" s="22"/>
      <c r="ME203" s="20"/>
      <c r="MF203" s="22"/>
      <c r="MG203" s="20"/>
      <c r="MH203" s="22"/>
      <c r="MI203" s="20"/>
      <c r="MJ203" s="22"/>
      <c r="MK203" s="20"/>
      <c r="ML203" s="22"/>
      <c r="MM203" s="20"/>
      <c r="MN203" s="22"/>
      <c r="MO203" s="20"/>
      <c r="MP203" s="22"/>
      <c r="MQ203" s="20"/>
      <c r="MR203" s="22"/>
      <c r="MS203" s="20"/>
      <c r="MT203" s="22"/>
      <c r="MU203" s="20"/>
      <c r="MV203" s="22"/>
      <c r="MW203" s="20"/>
      <c r="MX203" s="22"/>
      <c r="MY203" s="20"/>
      <c r="MZ203" s="22"/>
      <c r="NA203" s="20"/>
      <c r="NB203" s="22"/>
      <c r="NC203" s="20"/>
      <c r="ND203" s="22"/>
      <c r="NE203" s="20"/>
      <c r="NF203" s="73"/>
    </row>
    <row r="204" hidden="1">
      <c r="A204" s="237"/>
      <c r="B204" s="267"/>
      <c r="C204" s="277">
        <v>46190.0</v>
      </c>
      <c r="D204" s="282" t="s">
        <v>385</v>
      </c>
      <c r="E204" s="279" t="s">
        <v>47</v>
      </c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3"/>
      <c r="DL204" s="73"/>
      <c r="DM204" s="73"/>
      <c r="DN204" s="73"/>
      <c r="DO204" s="73"/>
      <c r="DP204" s="73"/>
      <c r="DQ204" s="73"/>
      <c r="DR204" s="73"/>
      <c r="DS204" s="73"/>
      <c r="DT204" s="73"/>
      <c r="DU204" s="73"/>
      <c r="DV204" s="22"/>
      <c r="DW204" s="20"/>
      <c r="DX204" s="22"/>
      <c r="DY204" s="20"/>
      <c r="DZ204" s="22"/>
      <c r="EA204" s="20"/>
      <c r="EB204" s="22"/>
      <c r="EC204" s="20"/>
      <c r="ED204" s="22"/>
      <c r="EE204" s="20"/>
      <c r="EF204" s="22"/>
      <c r="EG204" s="20"/>
      <c r="EH204" s="22"/>
      <c r="EI204" s="20"/>
      <c r="EJ204" s="22"/>
      <c r="EK204" s="20"/>
      <c r="EL204" s="22"/>
      <c r="EM204" s="20"/>
      <c r="EN204" s="22"/>
      <c r="EO204" s="20"/>
      <c r="EP204" s="22"/>
      <c r="EQ204" s="20"/>
      <c r="ER204" s="22"/>
      <c r="ES204" s="20"/>
      <c r="ET204" s="22"/>
      <c r="EU204" s="20"/>
      <c r="EV204" s="22"/>
      <c r="EW204" s="20"/>
      <c r="EX204" s="22"/>
      <c r="EY204" s="20"/>
      <c r="EZ204" s="22"/>
      <c r="FA204" s="20"/>
      <c r="FB204" s="22"/>
      <c r="FC204" s="20"/>
      <c r="FD204" s="22"/>
      <c r="FE204" s="20"/>
      <c r="FF204" s="22"/>
      <c r="FG204" s="20"/>
      <c r="FH204" s="22"/>
      <c r="FI204" s="20"/>
      <c r="FJ204" s="22"/>
      <c r="FK204" s="20"/>
      <c r="FL204" s="22"/>
      <c r="FM204" s="20"/>
      <c r="FN204" s="22"/>
      <c r="FO204" s="20"/>
      <c r="FP204" s="22"/>
      <c r="FQ204" s="20">
        <v>1.0</v>
      </c>
      <c r="FR204" s="22"/>
      <c r="FS204" s="20"/>
      <c r="FT204" s="22"/>
      <c r="FU204" s="20"/>
      <c r="FV204" s="20">
        <v>1.0</v>
      </c>
      <c r="FW204" s="20"/>
      <c r="FX204" s="22"/>
      <c r="FY204" s="20"/>
      <c r="FZ204" s="22"/>
      <c r="GA204" s="20"/>
      <c r="GB204" s="22"/>
      <c r="GC204" s="20"/>
      <c r="GD204" s="22"/>
      <c r="GE204" s="20"/>
      <c r="GF204" s="22"/>
      <c r="GG204" s="20"/>
      <c r="GH204" s="22"/>
      <c r="GI204" s="20"/>
      <c r="GJ204" s="22"/>
      <c r="GK204" s="20"/>
      <c r="GL204" s="22"/>
      <c r="GM204" s="20"/>
      <c r="GN204" s="22"/>
      <c r="GO204" s="20"/>
      <c r="GP204" s="22"/>
      <c r="GQ204" s="20"/>
      <c r="GR204" s="22"/>
      <c r="GS204" s="20"/>
      <c r="GT204" s="22"/>
      <c r="GU204" s="20"/>
      <c r="GV204" s="22"/>
      <c r="GW204" s="20"/>
      <c r="GX204" s="22"/>
      <c r="GY204" s="20"/>
      <c r="GZ204" s="22"/>
      <c r="HA204" s="20"/>
      <c r="HB204" s="22"/>
      <c r="HC204" s="20"/>
      <c r="HD204" s="22"/>
      <c r="HE204" s="20"/>
      <c r="HF204" s="22"/>
      <c r="HG204" s="20"/>
      <c r="HH204" s="22"/>
      <c r="HI204" s="20"/>
      <c r="HJ204" s="22"/>
      <c r="HK204" s="20"/>
      <c r="HL204" s="22"/>
      <c r="HM204" s="20"/>
      <c r="HN204" s="22"/>
      <c r="HO204" s="20"/>
      <c r="HP204" s="22"/>
      <c r="HQ204" s="20"/>
      <c r="HR204" s="22"/>
      <c r="HS204" s="20"/>
      <c r="HT204" s="22"/>
      <c r="HU204" s="20"/>
      <c r="HV204" s="22"/>
      <c r="HW204" s="20"/>
      <c r="HX204" s="22"/>
      <c r="HY204" s="20"/>
      <c r="HZ204" s="22"/>
      <c r="IA204" s="20"/>
      <c r="IB204" s="22"/>
      <c r="IC204" s="20"/>
      <c r="ID204" s="22"/>
      <c r="IE204" s="20"/>
      <c r="IF204" s="22"/>
      <c r="IG204" s="20"/>
      <c r="IH204" s="22"/>
      <c r="II204" s="20"/>
      <c r="IJ204" s="22"/>
      <c r="IK204" s="20"/>
      <c r="IL204" s="22"/>
      <c r="IM204" s="20"/>
      <c r="IN204" s="22"/>
      <c r="IO204" s="20"/>
      <c r="IP204" s="22"/>
      <c r="IQ204" s="20"/>
      <c r="IR204" s="22"/>
      <c r="IS204" s="20"/>
      <c r="IT204" s="22"/>
      <c r="IU204" s="20"/>
      <c r="IV204" s="22"/>
      <c r="IW204" s="20"/>
      <c r="IX204" s="22"/>
      <c r="IY204" s="20"/>
      <c r="IZ204" s="22"/>
      <c r="JA204" s="20"/>
      <c r="JB204" s="22"/>
      <c r="JC204" s="20"/>
      <c r="JD204" s="22"/>
      <c r="JE204" s="20"/>
      <c r="JF204" s="22"/>
      <c r="JG204" s="20"/>
      <c r="JH204" s="22"/>
      <c r="JI204" s="20"/>
      <c r="JJ204" s="22"/>
      <c r="JK204" s="20"/>
      <c r="JL204" s="22"/>
      <c r="JM204" s="20"/>
      <c r="JN204" s="22"/>
      <c r="JO204" s="20"/>
      <c r="JP204" s="22"/>
      <c r="JQ204" s="20"/>
      <c r="JR204" s="22"/>
      <c r="JS204" s="20"/>
      <c r="JT204" s="22"/>
      <c r="JU204" s="20"/>
      <c r="JV204" s="22"/>
      <c r="JW204" s="20"/>
      <c r="JX204" s="22"/>
      <c r="JY204" s="20"/>
      <c r="JZ204" s="22"/>
      <c r="KA204" s="20"/>
      <c r="KB204" s="22"/>
      <c r="KC204" s="20"/>
      <c r="KD204" s="22"/>
      <c r="KE204" s="20"/>
      <c r="KF204" s="22"/>
      <c r="KG204" s="20"/>
      <c r="KH204" s="22"/>
      <c r="KI204" s="20"/>
      <c r="KJ204" s="22"/>
      <c r="KK204" s="20"/>
      <c r="KL204" s="22"/>
      <c r="KM204" s="20"/>
      <c r="KN204" s="22"/>
      <c r="KO204" s="20"/>
      <c r="KP204" s="22"/>
      <c r="KQ204" s="20"/>
      <c r="KR204" s="22"/>
      <c r="KS204" s="20"/>
      <c r="KT204" s="22"/>
      <c r="KU204" s="20"/>
      <c r="KV204" s="22"/>
      <c r="KW204" s="20"/>
      <c r="KX204" s="22"/>
      <c r="KY204" s="20"/>
      <c r="KZ204" s="22"/>
      <c r="LA204" s="20"/>
      <c r="LB204" s="22"/>
      <c r="LC204" s="20"/>
      <c r="LD204" s="22"/>
      <c r="LE204" s="20"/>
      <c r="LF204" s="22"/>
      <c r="LG204" s="20"/>
      <c r="LH204" s="22"/>
      <c r="LI204" s="20"/>
      <c r="LJ204" s="22"/>
      <c r="LK204" s="20"/>
      <c r="LL204" s="22"/>
      <c r="LM204" s="20"/>
      <c r="LN204" s="22"/>
      <c r="LO204" s="20"/>
      <c r="LP204" s="22"/>
      <c r="LQ204" s="20"/>
      <c r="LR204" s="22"/>
      <c r="LS204" s="20"/>
      <c r="LT204" s="22"/>
      <c r="LU204" s="20"/>
      <c r="LV204" s="22"/>
      <c r="LW204" s="20"/>
      <c r="LX204" s="22"/>
      <c r="LY204" s="20"/>
      <c r="LZ204" s="22"/>
      <c r="MA204" s="20"/>
      <c r="MB204" s="22"/>
      <c r="MC204" s="20"/>
      <c r="MD204" s="22"/>
      <c r="ME204" s="20"/>
      <c r="MF204" s="22"/>
      <c r="MG204" s="20"/>
      <c r="MH204" s="22"/>
      <c r="MI204" s="20"/>
      <c r="MJ204" s="22"/>
      <c r="MK204" s="20"/>
      <c r="ML204" s="22"/>
      <c r="MM204" s="20"/>
      <c r="MN204" s="22"/>
      <c r="MO204" s="20"/>
      <c r="MP204" s="22"/>
      <c r="MQ204" s="20"/>
      <c r="MR204" s="22"/>
      <c r="MS204" s="20"/>
      <c r="MT204" s="22"/>
      <c r="MU204" s="20"/>
      <c r="MV204" s="22"/>
      <c r="MW204" s="20"/>
      <c r="MX204" s="22"/>
      <c r="MY204" s="20"/>
      <c r="MZ204" s="22"/>
      <c r="NA204" s="20"/>
      <c r="NB204" s="22"/>
      <c r="NC204" s="20"/>
      <c r="ND204" s="22"/>
      <c r="NE204" s="20"/>
      <c r="NF204" s="73"/>
    </row>
    <row r="205" hidden="1">
      <c r="A205" s="237"/>
      <c r="B205" s="267"/>
      <c r="C205" s="277">
        <v>46190.0</v>
      </c>
      <c r="D205" s="282" t="s">
        <v>386</v>
      </c>
      <c r="E205" s="279" t="s">
        <v>47</v>
      </c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  <c r="CI205" s="73"/>
      <c r="CJ205" s="73"/>
      <c r="CK205" s="73"/>
      <c r="CL205" s="73"/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C205" s="73"/>
      <c r="DD205" s="73"/>
      <c r="DE205" s="73"/>
      <c r="DF205" s="73"/>
      <c r="DG205" s="73"/>
      <c r="DH205" s="73"/>
      <c r="DI205" s="73"/>
      <c r="DJ205" s="73"/>
      <c r="DK205" s="73"/>
      <c r="DL205" s="73"/>
      <c r="DM205" s="73"/>
      <c r="DN205" s="73"/>
      <c r="DO205" s="73"/>
      <c r="DP205" s="73"/>
      <c r="DQ205" s="73"/>
      <c r="DR205" s="73"/>
      <c r="DS205" s="73"/>
      <c r="DT205" s="73"/>
      <c r="DU205" s="73"/>
      <c r="DV205" s="22"/>
      <c r="DW205" s="20"/>
      <c r="DX205" s="22"/>
      <c r="DY205" s="20"/>
      <c r="DZ205" s="22"/>
      <c r="EA205" s="20"/>
      <c r="EB205" s="22"/>
      <c r="EC205" s="20"/>
      <c r="ED205" s="22"/>
      <c r="EE205" s="20"/>
      <c r="EF205" s="22"/>
      <c r="EG205" s="20"/>
      <c r="EH205" s="22"/>
      <c r="EI205" s="20"/>
      <c r="EJ205" s="22"/>
      <c r="EK205" s="20"/>
      <c r="EL205" s="22"/>
      <c r="EM205" s="20"/>
      <c r="EN205" s="22"/>
      <c r="EO205" s="20"/>
      <c r="EP205" s="22"/>
      <c r="EQ205" s="20"/>
      <c r="ER205" s="22"/>
      <c r="ES205" s="20"/>
      <c r="ET205" s="22"/>
      <c r="EU205" s="20"/>
      <c r="EV205" s="22"/>
      <c r="EW205" s="20"/>
      <c r="EX205" s="22"/>
      <c r="EY205" s="20"/>
      <c r="EZ205" s="22"/>
      <c r="FA205" s="20"/>
      <c r="FB205" s="22"/>
      <c r="FC205" s="20"/>
      <c r="FD205" s="22"/>
      <c r="FE205" s="20"/>
      <c r="FF205" s="22"/>
      <c r="FG205" s="20"/>
      <c r="FH205" s="22"/>
      <c r="FI205" s="20"/>
      <c r="FJ205" s="22"/>
      <c r="FK205" s="20"/>
      <c r="FL205" s="22"/>
      <c r="FM205" s="20"/>
      <c r="FN205" s="22"/>
      <c r="FO205" s="20"/>
      <c r="FP205" s="22"/>
      <c r="FQ205" s="20">
        <v>1.0</v>
      </c>
      <c r="FR205" s="22"/>
      <c r="FS205" s="20"/>
      <c r="FT205" s="22"/>
      <c r="FU205" s="20"/>
      <c r="FV205" s="22"/>
      <c r="FW205" s="20"/>
      <c r="FX205" s="22"/>
      <c r="FY205" s="20"/>
      <c r="FZ205" s="22"/>
      <c r="GA205" s="20"/>
      <c r="GB205" s="22"/>
      <c r="GC205" s="20"/>
      <c r="GD205" s="22"/>
      <c r="GE205" s="20"/>
      <c r="GF205" s="22"/>
      <c r="GG205" s="20"/>
      <c r="GH205" s="22"/>
      <c r="GI205" s="20"/>
      <c r="GJ205" s="22"/>
      <c r="GK205" s="20"/>
      <c r="GL205" s="22"/>
      <c r="GM205" s="20"/>
      <c r="GN205" s="22"/>
      <c r="GO205" s="20"/>
      <c r="GP205" s="22"/>
      <c r="GQ205" s="20"/>
      <c r="GR205" s="22"/>
      <c r="GS205" s="20"/>
      <c r="GT205" s="22"/>
      <c r="GU205" s="20"/>
      <c r="GV205" s="22"/>
      <c r="GW205" s="20"/>
      <c r="GX205" s="22"/>
      <c r="GY205" s="20"/>
      <c r="GZ205" s="22"/>
      <c r="HA205" s="20"/>
      <c r="HB205" s="22"/>
      <c r="HC205" s="20"/>
      <c r="HD205" s="22"/>
      <c r="HE205" s="20"/>
      <c r="HF205" s="22"/>
      <c r="HG205" s="20"/>
      <c r="HH205" s="22"/>
      <c r="HI205" s="20"/>
      <c r="HJ205" s="22"/>
      <c r="HK205" s="20"/>
      <c r="HL205" s="22"/>
      <c r="HM205" s="20"/>
      <c r="HN205" s="22"/>
      <c r="HO205" s="20"/>
      <c r="HP205" s="22"/>
      <c r="HQ205" s="20"/>
      <c r="HR205" s="22"/>
      <c r="HS205" s="20"/>
      <c r="HT205" s="22"/>
      <c r="HU205" s="20"/>
      <c r="HV205" s="22"/>
      <c r="HW205" s="20"/>
      <c r="HX205" s="22"/>
      <c r="HY205" s="20"/>
      <c r="HZ205" s="22"/>
      <c r="IA205" s="20"/>
      <c r="IB205" s="22"/>
      <c r="IC205" s="20"/>
      <c r="ID205" s="22"/>
      <c r="IE205" s="20"/>
      <c r="IF205" s="22"/>
      <c r="IG205" s="20"/>
      <c r="IH205" s="22"/>
      <c r="II205" s="20"/>
      <c r="IJ205" s="22"/>
      <c r="IK205" s="20"/>
      <c r="IL205" s="22"/>
      <c r="IM205" s="20"/>
      <c r="IN205" s="22"/>
      <c r="IO205" s="20"/>
      <c r="IP205" s="22"/>
      <c r="IQ205" s="20"/>
      <c r="IR205" s="22"/>
      <c r="IS205" s="20"/>
      <c r="IT205" s="22"/>
      <c r="IU205" s="20"/>
      <c r="IV205" s="22"/>
      <c r="IW205" s="20"/>
      <c r="IX205" s="22"/>
      <c r="IY205" s="20"/>
      <c r="IZ205" s="22"/>
      <c r="JA205" s="20"/>
      <c r="JB205" s="22"/>
      <c r="JC205" s="20"/>
      <c r="JD205" s="22"/>
      <c r="JE205" s="20"/>
      <c r="JF205" s="22"/>
      <c r="JG205" s="20"/>
      <c r="JH205" s="22"/>
      <c r="JI205" s="20"/>
      <c r="JJ205" s="22"/>
      <c r="JK205" s="20"/>
      <c r="JL205" s="22"/>
      <c r="JM205" s="20"/>
      <c r="JN205" s="22"/>
      <c r="JO205" s="20"/>
      <c r="JP205" s="22"/>
      <c r="JQ205" s="20"/>
      <c r="JR205" s="22"/>
      <c r="JS205" s="20"/>
      <c r="JT205" s="22"/>
      <c r="JU205" s="20"/>
      <c r="JV205" s="22"/>
      <c r="JW205" s="20"/>
      <c r="JX205" s="22"/>
      <c r="JY205" s="20"/>
      <c r="JZ205" s="22"/>
      <c r="KA205" s="20"/>
      <c r="KB205" s="22"/>
      <c r="KC205" s="20"/>
      <c r="KD205" s="22"/>
      <c r="KE205" s="20"/>
      <c r="KF205" s="22"/>
      <c r="KG205" s="20"/>
      <c r="KH205" s="22"/>
      <c r="KI205" s="20"/>
      <c r="KJ205" s="22"/>
      <c r="KK205" s="20"/>
      <c r="KL205" s="22"/>
      <c r="KM205" s="20"/>
      <c r="KN205" s="22"/>
      <c r="KO205" s="20"/>
      <c r="KP205" s="22"/>
      <c r="KQ205" s="20"/>
      <c r="KR205" s="22"/>
      <c r="KS205" s="20"/>
      <c r="KT205" s="22"/>
      <c r="KU205" s="20"/>
      <c r="KV205" s="22"/>
      <c r="KW205" s="20"/>
      <c r="KX205" s="22"/>
      <c r="KY205" s="20"/>
      <c r="KZ205" s="22"/>
      <c r="LA205" s="20"/>
      <c r="LB205" s="22"/>
      <c r="LC205" s="20"/>
      <c r="LD205" s="22"/>
      <c r="LE205" s="20"/>
      <c r="LF205" s="22"/>
      <c r="LG205" s="20"/>
      <c r="LH205" s="22"/>
      <c r="LI205" s="20"/>
      <c r="LJ205" s="22"/>
      <c r="LK205" s="20"/>
      <c r="LL205" s="22"/>
      <c r="LM205" s="20"/>
      <c r="LN205" s="22"/>
      <c r="LO205" s="20"/>
      <c r="LP205" s="22"/>
      <c r="LQ205" s="20"/>
      <c r="LR205" s="22"/>
      <c r="LS205" s="20"/>
      <c r="LT205" s="22"/>
      <c r="LU205" s="20"/>
      <c r="LV205" s="22"/>
      <c r="LW205" s="20"/>
      <c r="LX205" s="22"/>
      <c r="LY205" s="20"/>
      <c r="LZ205" s="22"/>
      <c r="MA205" s="20"/>
      <c r="MB205" s="22"/>
      <c r="MC205" s="20"/>
      <c r="MD205" s="22"/>
      <c r="ME205" s="20"/>
      <c r="MF205" s="22"/>
      <c r="MG205" s="20"/>
      <c r="MH205" s="22"/>
      <c r="MI205" s="20"/>
      <c r="MJ205" s="22"/>
      <c r="MK205" s="20"/>
      <c r="ML205" s="22"/>
      <c r="MM205" s="20"/>
      <c r="MN205" s="22"/>
      <c r="MO205" s="20"/>
      <c r="MP205" s="22"/>
      <c r="MQ205" s="20"/>
      <c r="MR205" s="22"/>
      <c r="MS205" s="20"/>
      <c r="MT205" s="22"/>
      <c r="MU205" s="20"/>
      <c r="MV205" s="22"/>
      <c r="MW205" s="20"/>
      <c r="MX205" s="22"/>
      <c r="MY205" s="20"/>
      <c r="MZ205" s="22"/>
      <c r="NA205" s="20"/>
      <c r="NB205" s="22"/>
      <c r="NC205" s="20"/>
      <c r="ND205" s="22"/>
      <c r="NE205" s="20"/>
      <c r="NF205" s="73"/>
    </row>
    <row r="206" hidden="1">
      <c r="A206" s="237"/>
      <c r="B206" s="267"/>
      <c r="C206" s="277">
        <v>46199.0</v>
      </c>
      <c r="D206" s="282" t="s">
        <v>387</v>
      </c>
      <c r="E206" s="279" t="s">
        <v>47</v>
      </c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C206" s="73"/>
      <c r="DD206" s="73"/>
      <c r="DE206" s="73"/>
      <c r="DF206" s="73"/>
      <c r="DG206" s="73"/>
      <c r="DH206" s="73"/>
      <c r="DI206" s="73"/>
      <c r="DJ206" s="73"/>
      <c r="DK206" s="73"/>
      <c r="DL206" s="73"/>
      <c r="DM206" s="73"/>
      <c r="DN206" s="73"/>
      <c r="DO206" s="73"/>
      <c r="DP206" s="73"/>
      <c r="DQ206" s="73"/>
      <c r="DR206" s="73"/>
      <c r="DS206" s="73"/>
      <c r="DT206" s="73"/>
      <c r="DU206" s="73"/>
      <c r="DV206" s="22"/>
      <c r="DW206" s="20"/>
      <c r="DX206" s="22"/>
      <c r="DY206" s="20"/>
      <c r="DZ206" s="22"/>
      <c r="EA206" s="20"/>
      <c r="EB206" s="22"/>
      <c r="EC206" s="20"/>
      <c r="ED206" s="22"/>
      <c r="EE206" s="20"/>
      <c r="EF206" s="22"/>
      <c r="EG206" s="20"/>
      <c r="EH206" s="22"/>
      <c r="EI206" s="20"/>
      <c r="EJ206" s="22"/>
      <c r="EK206" s="20"/>
      <c r="EL206" s="22"/>
      <c r="EM206" s="20"/>
      <c r="EN206" s="22"/>
      <c r="EO206" s="20"/>
      <c r="EP206" s="22"/>
      <c r="EQ206" s="20"/>
      <c r="ER206" s="22"/>
      <c r="ES206" s="20"/>
      <c r="ET206" s="22"/>
      <c r="EU206" s="20"/>
      <c r="EV206" s="22"/>
      <c r="EW206" s="20"/>
      <c r="EX206" s="22"/>
      <c r="EY206" s="20"/>
      <c r="EZ206" s="22"/>
      <c r="FA206" s="20"/>
      <c r="FB206" s="22"/>
      <c r="FC206" s="20"/>
      <c r="FD206" s="22"/>
      <c r="FE206" s="20"/>
      <c r="FF206" s="22"/>
      <c r="FG206" s="20"/>
      <c r="FH206" s="22"/>
      <c r="FI206" s="20"/>
      <c r="FJ206" s="22"/>
      <c r="FK206" s="20"/>
      <c r="FL206" s="22"/>
      <c r="FM206" s="20"/>
      <c r="FN206" s="22"/>
      <c r="FO206" s="20"/>
      <c r="FP206" s="22"/>
      <c r="FQ206" s="20"/>
      <c r="FR206" s="22"/>
      <c r="FS206" s="20"/>
      <c r="FT206" s="22"/>
      <c r="FU206" s="20"/>
      <c r="FV206" s="22"/>
      <c r="FW206" s="20"/>
      <c r="FX206" s="22"/>
      <c r="FY206" s="20">
        <v>1.0</v>
      </c>
      <c r="FZ206" s="20">
        <v>1.0</v>
      </c>
      <c r="GA206" s="20"/>
      <c r="GB206" s="22"/>
      <c r="GC206" s="20"/>
      <c r="GD206" s="22"/>
      <c r="GE206" s="20"/>
      <c r="GF206" s="20">
        <v>2.0</v>
      </c>
      <c r="GG206" s="20">
        <v>2.0</v>
      </c>
      <c r="GH206" s="22"/>
      <c r="GI206" s="20"/>
      <c r="GJ206" s="22"/>
      <c r="GK206" s="20"/>
      <c r="GL206" s="22"/>
      <c r="GM206" s="20"/>
      <c r="GN206" s="22"/>
      <c r="GO206" s="20"/>
      <c r="GP206" s="22"/>
      <c r="GQ206" s="20"/>
      <c r="GR206" s="22"/>
      <c r="GS206" s="20"/>
      <c r="GT206" s="22"/>
      <c r="GU206" s="20"/>
      <c r="GV206" s="22"/>
      <c r="GW206" s="20"/>
      <c r="GX206" s="22"/>
      <c r="GY206" s="20"/>
      <c r="GZ206" s="22"/>
      <c r="HA206" s="20"/>
      <c r="HB206" s="22"/>
      <c r="HC206" s="20"/>
      <c r="HD206" s="22"/>
      <c r="HE206" s="20"/>
      <c r="HF206" s="22"/>
      <c r="HG206" s="20"/>
      <c r="HH206" s="22"/>
      <c r="HI206" s="20"/>
      <c r="HJ206" s="22"/>
      <c r="HK206" s="20"/>
      <c r="HL206" s="22"/>
      <c r="HM206" s="20"/>
      <c r="HN206" s="22"/>
      <c r="HO206" s="20"/>
      <c r="HP206" s="22"/>
      <c r="HQ206" s="20"/>
      <c r="HR206" s="22"/>
      <c r="HS206" s="20"/>
      <c r="HT206" s="22"/>
      <c r="HU206" s="20"/>
      <c r="HV206" s="22"/>
      <c r="HW206" s="20"/>
      <c r="HX206" s="22"/>
      <c r="HY206" s="20"/>
      <c r="HZ206" s="22"/>
      <c r="IA206" s="20"/>
      <c r="IB206" s="22"/>
      <c r="IC206" s="20"/>
      <c r="ID206" s="22"/>
      <c r="IE206" s="20"/>
      <c r="IF206" s="22"/>
      <c r="IG206" s="20"/>
      <c r="IH206" s="22"/>
      <c r="II206" s="20"/>
      <c r="IJ206" s="22"/>
      <c r="IK206" s="20"/>
      <c r="IL206" s="22"/>
      <c r="IM206" s="20"/>
      <c r="IN206" s="22"/>
      <c r="IO206" s="20"/>
      <c r="IP206" s="22"/>
      <c r="IQ206" s="20"/>
      <c r="IR206" s="22"/>
      <c r="IS206" s="20"/>
      <c r="IT206" s="22"/>
      <c r="IU206" s="20"/>
      <c r="IV206" s="22"/>
      <c r="IW206" s="20"/>
      <c r="IX206" s="22"/>
      <c r="IY206" s="20"/>
      <c r="IZ206" s="22"/>
      <c r="JA206" s="20"/>
      <c r="JB206" s="22"/>
      <c r="JC206" s="20"/>
      <c r="JD206" s="22"/>
      <c r="JE206" s="20"/>
      <c r="JF206" s="22"/>
      <c r="JG206" s="20"/>
      <c r="JH206" s="22"/>
      <c r="JI206" s="20"/>
      <c r="JJ206" s="22"/>
      <c r="JK206" s="20"/>
      <c r="JL206" s="22"/>
      <c r="JM206" s="20"/>
      <c r="JN206" s="22"/>
      <c r="JO206" s="20"/>
      <c r="JP206" s="22"/>
      <c r="JQ206" s="20"/>
      <c r="JR206" s="22"/>
      <c r="JS206" s="20"/>
      <c r="JT206" s="22"/>
      <c r="JU206" s="20"/>
      <c r="JV206" s="22"/>
      <c r="JW206" s="20"/>
      <c r="JX206" s="22"/>
      <c r="JY206" s="20"/>
      <c r="JZ206" s="22"/>
      <c r="KA206" s="20"/>
      <c r="KB206" s="22"/>
      <c r="KC206" s="20"/>
      <c r="KD206" s="22"/>
      <c r="KE206" s="20"/>
      <c r="KF206" s="22"/>
      <c r="KG206" s="20"/>
      <c r="KH206" s="22"/>
      <c r="KI206" s="20"/>
      <c r="KJ206" s="22"/>
      <c r="KK206" s="20"/>
      <c r="KL206" s="22"/>
      <c r="KM206" s="20"/>
      <c r="KN206" s="22"/>
      <c r="KO206" s="20"/>
      <c r="KP206" s="22"/>
      <c r="KQ206" s="20"/>
      <c r="KR206" s="22"/>
      <c r="KS206" s="20"/>
      <c r="KT206" s="22"/>
      <c r="KU206" s="20"/>
      <c r="KV206" s="22"/>
      <c r="KW206" s="20"/>
      <c r="KX206" s="22"/>
      <c r="KY206" s="20"/>
      <c r="KZ206" s="22"/>
      <c r="LA206" s="20"/>
      <c r="LB206" s="22"/>
      <c r="LC206" s="20"/>
      <c r="LD206" s="22"/>
      <c r="LE206" s="20"/>
      <c r="LF206" s="22"/>
      <c r="LG206" s="20"/>
      <c r="LH206" s="22"/>
      <c r="LI206" s="20"/>
      <c r="LJ206" s="22"/>
      <c r="LK206" s="20"/>
      <c r="LL206" s="22"/>
      <c r="LM206" s="20"/>
      <c r="LN206" s="22"/>
      <c r="LO206" s="20"/>
      <c r="LP206" s="22"/>
      <c r="LQ206" s="20"/>
      <c r="LR206" s="22"/>
      <c r="LS206" s="20"/>
      <c r="LT206" s="22"/>
      <c r="LU206" s="20"/>
      <c r="LV206" s="22"/>
      <c r="LW206" s="20"/>
      <c r="LX206" s="22"/>
      <c r="LY206" s="20"/>
      <c r="LZ206" s="22"/>
      <c r="MA206" s="20"/>
      <c r="MB206" s="22"/>
      <c r="MC206" s="20"/>
      <c r="MD206" s="22"/>
      <c r="ME206" s="20"/>
      <c r="MF206" s="22"/>
      <c r="MG206" s="20"/>
      <c r="MH206" s="22"/>
      <c r="MI206" s="20"/>
      <c r="MJ206" s="22"/>
      <c r="MK206" s="20"/>
      <c r="ML206" s="22"/>
      <c r="MM206" s="20"/>
      <c r="MN206" s="22"/>
      <c r="MO206" s="20"/>
      <c r="MP206" s="22"/>
      <c r="MQ206" s="20"/>
      <c r="MR206" s="22"/>
      <c r="MS206" s="20"/>
      <c r="MT206" s="22"/>
      <c r="MU206" s="20"/>
      <c r="MV206" s="22"/>
      <c r="MW206" s="20"/>
      <c r="MX206" s="22"/>
      <c r="MY206" s="20"/>
      <c r="MZ206" s="22"/>
      <c r="NA206" s="20"/>
      <c r="NB206" s="22"/>
      <c r="NC206" s="20"/>
      <c r="ND206" s="22"/>
      <c r="NE206" s="20"/>
      <c r="NF206" s="73"/>
    </row>
    <row r="207" hidden="1">
      <c r="A207" s="237"/>
      <c r="B207" s="267"/>
      <c r="C207" s="277">
        <v>46197.0</v>
      </c>
      <c r="D207" s="282" t="s">
        <v>388</v>
      </c>
      <c r="E207" s="279" t="s">
        <v>47</v>
      </c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  <c r="CI207" s="73"/>
      <c r="CJ207" s="73"/>
      <c r="CK207" s="73"/>
      <c r="CL207" s="73"/>
      <c r="CM207" s="73"/>
      <c r="CN207" s="73"/>
      <c r="CO207" s="73"/>
      <c r="CP207" s="73"/>
      <c r="CQ207" s="73"/>
      <c r="CR207" s="73"/>
      <c r="CS207" s="73"/>
      <c r="CT207" s="73"/>
      <c r="CU207" s="73"/>
      <c r="CV207" s="73"/>
      <c r="CW207" s="73"/>
      <c r="CX207" s="73"/>
      <c r="CY207" s="73"/>
      <c r="CZ207" s="73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3"/>
      <c r="DL207" s="73"/>
      <c r="DM207" s="73"/>
      <c r="DN207" s="73"/>
      <c r="DO207" s="73"/>
      <c r="DP207" s="73"/>
      <c r="DQ207" s="73"/>
      <c r="DR207" s="73"/>
      <c r="DS207" s="73"/>
      <c r="DT207" s="73"/>
      <c r="DU207" s="73"/>
      <c r="DV207" s="22"/>
      <c r="DW207" s="20"/>
      <c r="DX207" s="22"/>
      <c r="DY207" s="20"/>
      <c r="DZ207" s="22"/>
      <c r="EA207" s="20"/>
      <c r="EB207" s="22"/>
      <c r="EC207" s="20"/>
      <c r="ED207" s="22"/>
      <c r="EE207" s="20"/>
      <c r="EF207" s="22"/>
      <c r="EG207" s="20"/>
      <c r="EH207" s="22"/>
      <c r="EI207" s="20"/>
      <c r="EJ207" s="22"/>
      <c r="EK207" s="20"/>
      <c r="EL207" s="22"/>
      <c r="EM207" s="20"/>
      <c r="EN207" s="22"/>
      <c r="EO207" s="20"/>
      <c r="EP207" s="22"/>
      <c r="EQ207" s="20"/>
      <c r="ER207" s="22"/>
      <c r="ES207" s="20"/>
      <c r="ET207" s="22"/>
      <c r="EU207" s="20"/>
      <c r="EV207" s="22"/>
      <c r="EW207" s="20"/>
      <c r="EX207" s="22"/>
      <c r="EY207" s="20"/>
      <c r="EZ207" s="22"/>
      <c r="FA207" s="20"/>
      <c r="FB207" s="22"/>
      <c r="FC207" s="20"/>
      <c r="FD207" s="22"/>
      <c r="FE207" s="20"/>
      <c r="FF207" s="22"/>
      <c r="FG207" s="20"/>
      <c r="FH207" s="22"/>
      <c r="FI207" s="20"/>
      <c r="FJ207" s="22"/>
      <c r="FK207" s="20"/>
      <c r="FL207" s="22"/>
      <c r="FM207" s="20"/>
      <c r="FN207" s="22"/>
      <c r="FO207" s="20"/>
      <c r="FP207" s="22"/>
      <c r="FQ207" s="20"/>
      <c r="FR207" s="22"/>
      <c r="FS207" s="20"/>
      <c r="FT207" s="22"/>
      <c r="FU207" s="20"/>
      <c r="FV207" s="22"/>
      <c r="FW207" s="20"/>
      <c r="FX207" s="20">
        <v>1.0</v>
      </c>
      <c r="FY207" s="20"/>
      <c r="FZ207" s="22"/>
      <c r="GA207" s="20"/>
      <c r="GB207" s="22"/>
      <c r="GC207" s="20"/>
      <c r="GD207" s="22"/>
      <c r="GE207" s="20"/>
      <c r="GF207" s="22"/>
      <c r="GG207" s="20"/>
      <c r="GH207" s="22"/>
      <c r="GI207" s="20"/>
      <c r="GJ207" s="22"/>
      <c r="GK207" s="20"/>
      <c r="GL207" s="22"/>
      <c r="GM207" s="20"/>
      <c r="GN207" s="22"/>
      <c r="GO207" s="20"/>
      <c r="GP207" s="22"/>
      <c r="GQ207" s="20"/>
      <c r="GR207" s="22"/>
      <c r="GS207" s="20"/>
      <c r="GT207" s="22"/>
      <c r="GU207" s="20"/>
      <c r="GV207" s="22"/>
      <c r="GW207" s="20"/>
      <c r="GX207" s="22"/>
      <c r="GY207" s="20"/>
      <c r="GZ207" s="22"/>
      <c r="HA207" s="20"/>
      <c r="HB207" s="22"/>
      <c r="HC207" s="20"/>
      <c r="HD207" s="22"/>
      <c r="HE207" s="20"/>
      <c r="HF207" s="22"/>
      <c r="HG207" s="20"/>
      <c r="HH207" s="22"/>
      <c r="HI207" s="20"/>
      <c r="HJ207" s="22"/>
      <c r="HK207" s="20"/>
      <c r="HL207" s="22"/>
      <c r="HM207" s="20"/>
      <c r="HN207" s="22"/>
      <c r="HO207" s="20"/>
      <c r="HP207" s="22"/>
      <c r="HQ207" s="20"/>
      <c r="HR207" s="22"/>
      <c r="HS207" s="20"/>
      <c r="HT207" s="22"/>
      <c r="HU207" s="20"/>
      <c r="HV207" s="22"/>
      <c r="HW207" s="20"/>
      <c r="HX207" s="22"/>
      <c r="HY207" s="20"/>
      <c r="HZ207" s="22"/>
      <c r="IA207" s="20"/>
      <c r="IB207" s="22"/>
      <c r="IC207" s="20"/>
      <c r="ID207" s="22"/>
      <c r="IE207" s="20"/>
      <c r="IF207" s="22"/>
      <c r="IG207" s="20"/>
      <c r="IH207" s="22"/>
      <c r="II207" s="20"/>
      <c r="IJ207" s="22"/>
      <c r="IK207" s="20"/>
      <c r="IL207" s="22"/>
      <c r="IM207" s="20"/>
      <c r="IN207" s="22"/>
      <c r="IO207" s="20"/>
      <c r="IP207" s="22"/>
      <c r="IQ207" s="20"/>
      <c r="IR207" s="22"/>
      <c r="IS207" s="20"/>
      <c r="IT207" s="22"/>
      <c r="IU207" s="20"/>
      <c r="IV207" s="22"/>
      <c r="IW207" s="20"/>
      <c r="IX207" s="22"/>
      <c r="IY207" s="20"/>
      <c r="IZ207" s="22"/>
      <c r="JA207" s="20"/>
      <c r="JB207" s="22"/>
      <c r="JC207" s="20"/>
      <c r="JD207" s="22"/>
      <c r="JE207" s="20"/>
      <c r="JF207" s="22"/>
      <c r="JG207" s="20"/>
      <c r="JH207" s="22"/>
      <c r="JI207" s="20"/>
      <c r="JJ207" s="22"/>
      <c r="JK207" s="20"/>
      <c r="JL207" s="22"/>
      <c r="JM207" s="20"/>
      <c r="JN207" s="22"/>
      <c r="JO207" s="20"/>
      <c r="JP207" s="22"/>
      <c r="JQ207" s="20"/>
      <c r="JR207" s="22"/>
      <c r="JS207" s="20"/>
      <c r="JT207" s="22"/>
      <c r="JU207" s="20"/>
      <c r="JV207" s="22"/>
      <c r="JW207" s="20"/>
      <c r="JX207" s="22"/>
      <c r="JY207" s="20"/>
      <c r="JZ207" s="22"/>
      <c r="KA207" s="20"/>
      <c r="KB207" s="22"/>
      <c r="KC207" s="20"/>
      <c r="KD207" s="22"/>
      <c r="KE207" s="20"/>
      <c r="KF207" s="22"/>
      <c r="KG207" s="20"/>
      <c r="KH207" s="22"/>
      <c r="KI207" s="20"/>
      <c r="KJ207" s="22"/>
      <c r="KK207" s="20"/>
      <c r="KL207" s="22"/>
      <c r="KM207" s="20"/>
      <c r="KN207" s="22"/>
      <c r="KO207" s="20"/>
      <c r="KP207" s="22"/>
      <c r="KQ207" s="20"/>
      <c r="KR207" s="22"/>
      <c r="KS207" s="20"/>
      <c r="KT207" s="22"/>
      <c r="KU207" s="20"/>
      <c r="KV207" s="22"/>
      <c r="KW207" s="20"/>
      <c r="KX207" s="22"/>
      <c r="KY207" s="20"/>
      <c r="KZ207" s="22"/>
      <c r="LA207" s="20"/>
      <c r="LB207" s="22"/>
      <c r="LC207" s="20"/>
      <c r="LD207" s="22"/>
      <c r="LE207" s="20"/>
      <c r="LF207" s="22"/>
      <c r="LG207" s="20"/>
      <c r="LH207" s="22"/>
      <c r="LI207" s="20"/>
      <c r="LJ207" s="22"/>
      <c r="LK207" s="20"/>
      <c r="LL207" s="22"/>
      <c r="LM207" s="20"/>
      <c r="LN207" s="22"/>
      <c r="LO207" s="20"/>
      <c r="LP207" s="22"/>
      <c r="LQ207" s="20"/>
      <c r="LR207" s="22"/>
      <c r="LS207" s="20"/>
      <c r="LT207" s="22"/>
      <c r="LU207" s="20"/>
      <c r="LV207" s="22"/>
      <c r="LW207" s="20"/>
      <c r="LX207" s="22"/>
      <c r="LY207" s="20"/>
      <c r="LZ207" s="22"/>
      <c r="MA207" s="20"/>
      <c r="MB207" s="22"/>
      <c r="MC207" s="20"/>
      <c r="MD207" s="22"/>
      <c r="ME207" s="20"/>
      <c r="MF207" s="22"/>
      <c r="MG207" s="20"/>
      <c r="MH207" s="22"/>
      <c r="MI207" s="20"/>
      <c r="MJ207" s="22"/>
      <c r="MK207" s="20"/>
      <c r="ML207" s="22"/>
      <c r="MM207" s="20"/>
      <c r="MN207" s="22"/>
      <c r="MO207" s="20"/>
      <c r="MP207" s="22"/>
      <c r="MQ207" s="20"/>
      <c r="MR207" s="22"/>
      <c r="MS207" s="20"/>
      <c r="MT207" s="22"/>
      <c r="MU207" s="20"/>
      <c r="MV207" s="22"/>
      <c r="MW207" s="20"/>
      <c r="MX207" s="22"/>
      <c r="MY207" s="20"/>
      <c r="MZ207" s="22"/>
      <c r="NA207" s="20"/>
      <c r="NB207" s="22"/>
      <c r="NC207" s="20"/>
      <c r="ND207" s="22"/>
      <c r="NE207" s="20"/>
      <c r="NF207" s="73"/>
    </row>
    <row r="208" hidden="1">
      <c r="A208" s="237"/>
      <c r="B208" s="267"/>
      <c r="C208" s="277">
        <v>46198.0</v>
      </c>
      <c r="D208" s="282" t="s">
        <v>389</v>
      </c>
      <c r="E208" s="279" t="s">
        <v>47</v>
      </c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  <c r="CI208" s="73"/>
      <c r="CJ208" s="73"/>
      <c r="CK208" s="73"/>
      <c r="CL208" s="73"/>
      <c r="CM208" s="73"/>
      <c r="CN208" s="73"/>
      <c r="CO208" s="73"/>
      <c r="CP208" s="73"/>
      <c r="CQ208" s="73"/>
      <c r="CR208" s="73"/>
      <c r="CS208" s="73"/>
      <c r="CT208" s="73"/>
      <c r="CU208" s="73"/>
      <c r="CV208" s="73"/>
      <c r="CW208" s="73"/>
      <c r="CX208" s="73"/>
      <c r="CY208" s="73"/>
      <c r="CZ208" s="73"/>
      <c r="DA208" s="73"/>
      <c r="DB208" s="73"/>
      <c r="DC208" s="73"/>
      <c r="DD208" s="73"/>
      <c r="DE208" s="73"/>
      <c r="DF208" s="73"/>
      <c r="DG208" s="73"/>
      <c r="DH208" s="73"/>
      <c r="DI208" s="73"/>
      <c r="DJ208" s="73"/>
      <c r="DK208" s="73"/>
      <c r="DL208" s="73"/>
      <c r="DM208" s="73"/>
      <c r="DN208" s="73"/>
      <c r="DO208" s="73"/>
      <c r="DP208" s="73"/>
      <c r="DQ208" s="73"/>
      <c r="DR208" s="73"/>
      <c r="DS208" s="73"/>
      <c r="DT208" s="73"/>
      <c r="DU208" s="73"/>
      <c r="DV208" s="22"/>
      <c r="DW208" s="20"/>
      <c r="DX208" s="22"/>
      <c r="DY208" s="20"/>
      <c r="DZ208" s="22"/>
      <c r="EA208" s="20"/>
      <c r="EB208" s="22"/>
      <c r="EC208" s="20"/>
      <c r="ED208" s="22"/>
      <c r="EE208" s="20"/>
      <c r="EF208" s="22"/>
      <c r="EG208" s="20"/>
      <c r="EH208" s="22"/>
      <c r="EI208" s="20"/>
      <c r="EJ208" s="22"/>
      <c r="EK208" s="20"/>
      <c r="EL208" s="22"/>
      <c r="EM208" s="20"/>
      <c r="EN208" s="22"/>
      <c r="EO208" s="20"/>
      <c r="EP208" s="22"/>
      <c r="EQ208" s="20"/>
      <c r="ER208" s="22"/>
      <c r="ES208" s="20"/>
      <c r="ET208" s="22"/>
      <c r="EU208" s="20"/>
      <c r="EV208" s="22"/>
      <c r="EW208" s="20"/>
      <c r="EX208" s="22"/>
      <c r="EY208" s="20"/>
      <c r="EZ208" s="22"/>
      <c r="FA208" s="20"/>
      <c r="FB208" s="22"/>
      <c r="FC208" s="20"/>
      <c r="FD208" s="22"/>
      <c r="FE208" s="20"/>
      <c r="FF208" s="22"/>
      <c r="FG208" s="20"/>
      <c r="FH208" s="22"/>
      <c r="FI208" s="20"/>
      <c r="FJ208" s="22"/>
      <c r="FK208" s="20"/>
      <c r="FL208" s="22"/>
      <c r="FM208" s="20"/>
      <c r="FN208" s="22"/>
      <c r="FO208" s="20"/>
      <c r="FP208" s="22"/>
      <c r="FQ208" s="20"/>
      <c r="FR208" s="22"/>
      <c r="FS208" s="20"/>
      <c r="FT208" s="22"/>
      <c r="FU208" s="20"/>
      <c r="FV208" s="22"/>
      <c r="FW208" s="20"/>
      <c r="FX208" s="22"/>
      <c r="FY208" s="20">
        <v>1.0</v>
      </c>
      <c r="FZ208" s="22"/>
      <c r="GA208" s="20"/>
      <c r="GB208" s="22"/>
      <c r="GC208" s="20"/>
      <c r="GD208" s="22"/>
      <c r="GE208" s="20"/>
      <c r="GF208" s="22"/>
      <c r="GG208" s="20"/>
      <c r="GH208" s="22"/>
      <c r="GI208" s="20"/>
      <c r="GJ208" s="22"/>
      <c r="GK208" s="20"/>
      <c r="GL208" s="22"/>
      <c r="GM208" s="20"/>
      <c r="GN208" s="22"/>
      <c r="GO208" s="20"/>
      <c r="GP208" s="22"/>
      <c r="GQ208" s="20"/>
      <c r="GR208" s="22"/>
      <c r="GS208" s="20"/>
      <c r="GT208" s="22"/>
      <c r="GU208" s="20"/>
      <c r="GV208" s="22"/>
      <c r="GW208" s="20"/>
      <c r="GX208" s="22"/>
      <c r="GY208" s="20"/>
      <c r="GZ208" s="22"/>
      <c r="HA208" s="20"/>
      <c r="HB208" s="22"/>
      <c r="HC208" s="20"/>
      <c r="HD208" s="22"/>
      <c r="HE208" s="20"/>
      <c r="HF208" s="22"/>
      <c r="HG208" s="20"/>
      <c r="HH208" s="22"/>
      <c r="HI208" s="20"/>
      <c r="HJ208" s="22"/>
      <c r="HK208" s="20"/>
      <c r="HL208" s="22"/>
      <c r="HM208" s="20"/>
      <c r="HN208" s="22"/>
      <c r="HO208" s="20"/>
      <c r="HP208" s="22"/>
      <c r="HQ208" s="20"/>
      <c r="HR208" s="22"/>
      <c r="HS208" s="20"/>
      <c r="HT208" s="22"/>
      <c r="HU208" s="20"/>
      <c r="HV208" s="22"/>
      <c r="HW208" s="20"/>
      <c r="HX208" s="22"/>
      <c r="HY208" s="20"/>
      <c r="HZ208" s="22"/>
      <c r="IA208" s="20"/>
      <c r="IB208" s="22"/>
      <c r="IC208" s="20"/>
      <c r="ID208" s="22"/>
      <c r="IE208" s="20"/>
      <c r="IF208" s="22"/>
      <c r="IG208" s="20"/>
      <c r="IH208" s="22"/>
      <c r="II208" s="20"/>
      <c r="IJ208" s="22"/>
      <c r="IK208" s="20"/>
      <c r="IL208" s="22"/>
      <c r="IM208" s="20"/>
      <c r="IN208" s="22"/>
      <c r="IO208" s="20"/>
      <c r="IP208" s="22"/>
      <c r="IQ208" s="20"/>
      <c r="IR208" s="22"/>
      <c r="IS208" s="20"/>
      <c r="IT208" s="22"/>
      <c r="IU208" s="20"/>
      <c r="IV208" s="22"/>
      <c r="IW208" s="20"/>
      <c r="IX208" s="22"/>
      <c r="IY208" s="20"/>
      <c r="IZ208" s="22"/>
      <c r="JA208" s="20"/>
      <c r="JB208" s="22"/>
      <c r="JC208" s="20"/>
      <c r="JD208" s="22"/>
      <c r="JE208" s="20"/>
      <c r="JF208" s="22"/>
      <c r="JG208" s="20"/>
      <c r="JH208" s="22"/>
      <c r="JI208" s="20"/>
      <c r="JJ208" s="22"/>
      <c r="JK208" s="20"/>
      <c r="JL208" s="22"/>
      <c r="JM208" s="20"/>
      <c r="JN208" s="22"/>
      <c r="JO208" s="20"/>
      <c r="JP208" s="22"/>
      <c r="JQ208" s="20"/>
      <c r="JR208" s="22"/>
      <c r="JS208" s="20"/>
      <c r="JT208" s="22"/>
      <c r="JU208" s="20"/>
      <c r="JV208" s="22"/>
      <c r="JW208" s="20"/>
      <c r="JX208" s="22"/>
      <c r="JY208" s="20"/>
      <c r="JZ208" s="22"/>
      <c r="KA208" s="20"/>
      <c r="KB208" s="22"/>
      <c r="KC208" s="20"/>
      <c r="KD208" s="22"/>
      <c r="KE208" s="20"/>
      <c r="KF208" s="22"/>
      <c r="KG208" s="20"/>
      <c r="KH208" s="22"/>
      <c r="KI208" s="20"/>
      <c r="KJ208" s="22"/>
      <c r="KK208" s="20"/>
      <c r="KL208" s="22"/>
      <c r="KM208" s="20"/>
      <c r="KN208" s="22"/>
      <c r="KO208" s="20"/>
      <c r="KP208" s="22"/>
      <c r="KQ208" s="20"/>
      <c r="KR208" s="22"/>
      <c r="KS208" s="20"/>
      <c r="KT208" s="22"/>
      <c r="KU208" s="20"/>
      <c r="KV208" s="22"/>
      <c r="KW208" s="20"/>
      <c r="KX208" s="22"/>
      <c r="KY208" s="20"/>
      <c r="KZ208" s="22"/>
      <c r="LA208" s="20"/>
      <c r="LB208" s="22"/>
      <c r="LC208" s="20"/>
      <c r="LD208" s="22"/>
      <c r="LE208" s="20"/>
      <c r="LF208" s="22"/>
      <c r="LG208" s="20"/>
      <c r="LH208" s="22"/>
      <c r="LI208" s="20"/>
      <c r="LJ208" s="22"/>
      <c r="LK208" s="20"/>
      <c r="LL208" s="22"/>
      <c r="LM208" s="20"/>
      <c r="LN208" s="22"/>
      <c r="LO208" s="20"/>
      <c r="LP208" s="22"/>
      <c r="LQ208" s="20"/>
      <c r="LR208" s="22"/>
      <c r="LS208" s="20"/>
      <c r="LT208" s="22"/>
      <c r="LU208" s="20"/>
      <c r="LV208" s="22"/>
      <c r="LW208" s="20"/>
      <c r="LX208" s="22"/>
      <c r="LY208" s="20"/>
      <c r="LZ208" s="22"/>
      <c r="MA208" s="20"/>
      <c r="MB208" s="22"/>
      <c r="MC208" s="20"/>
      <c r="MD208" s="22"/>
      <c r="ME208" s="20"/>
      <c r="MF208" s="22"/>
      <c r="MG208" s="20"/>
      <c r="MH208" s="22"/>
      <c r="MI208" s="20"/>
      <c r="MJ208" s="22"/>
      <c r="MK208" s="20"/>
      <c r="ML208" s="22"/>
      <c r="MM208" s="20"/>
      <c r="MN208" s="22"/>
      <c r="MO208" s="20"/>
      <c r="MP208" s="22"/>
      <c r="MQ208" s="20"/>
      <c r="MR208" s="22"/>
      <c r="MS208" s="20"/>
      <c r="MT208" s="22"/>
      <c r="MU208" s="20"/>
      <c r="MV208" s="22"/>
      <c r="MW208" s="20"/>
      <c r="MX208" s="22"/>
      <c r="MY208" s="20"/>
      <c r="MZ208" s="22"/>
      <c r="NA208" s="20"/>
      <c r="NB208" s="22"/>
      <c r="NC208" s="20"/>
      <c r="ND208" s="22"/>
      <c r="NE208" s="20"/>
      <c r="NF208" s="73"/>
    </row>
    <row r="209" hidden="1">
      <c r="A209" s="237"/>
      <c r="B209" s="267"/>
      <c r="C209" s="277">
        <v>46202.0</v>
      </c>
      <c r="D209" s="282" t="s">
        <v>390</v>
      </c>
      <c r="E209" s="279" t="s">
        <v>47</v>
      </c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  <c r="CK209" s="73"/>
      <c r="CL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C209" s="73"/>
      <c r="DD209" s="73"/>
      <c r="DE209" s="73"/>
      <c r="DF209" s="73"/>
      <c r="DG209" s="73"/>
      <c r="DH209" s="73"/>
      <c r="DI209" s="73"/>
      <c r="DJ209" s="73"/>
      <c r="DK209" s="73"/>
      <c r="DL209" s="73"/>
      <c r="DM209" s="73"/>
      <c r="DN209" s="73"/>
      <c r="DO209" s="73"/>
      <c r="DP209" s="73"/>
      <c r="DQ209" s="73"/>
      <c r="DR209" s="73"/>
      <c r="DS209" s="73"/>
      <c r="DT209" s="73"/>
      <c r="DU209" s="73"/>
      <c r="DV209" s="22"/>
      <c r="DW209" s="20"/>
      <c r="DX209" s="22"/>
      <c r="DY209" s="20"/>
      <c r="DZ209" s="22"/>
      <c r="EA209" s="20"/>
      <c r="EB209" s="22"/>
      <c r="EC209" s="20"/>
      <c r="ED209" s="22"/>
      <c r="EE209" s="20"/>
      <c r="EF209" s="22"/>
      <c r="EG209" s="20"/>
      <c r="EH209" s="22"/>
      <c r="EI209" s="20"/>
      <c r="EJ209" s="22"/>
      <c r="EK209" s="20"/>
      <c r="EL209" s="22"/>
      <c r="EM209" s="20"/>
      <c r="EN209" s="22"/>
      <c r="EO209" s="20"/>
      <c r="EP209" s="22"/>
      <c r="EQ209" s="20"/>
      <c r="ER209" s="22"/>
      <c r="ES209" s="20"/>
      <c r="ET209" s="22"/>
      <c r="EU209" s="20"/>
      <c r="EV209" s="22"/>
      <c r="EW209" s="20"/>
      <c r="EX209" s="22"/>
      <c r="EY209" s="20"/>
      <c r="EZ209" s="22"/>
      <c r="FA209" s="20"/>
      <c r="FB209" s="22"/>
      <c r="FC209" s="20"/>
      <c r="FD209" s="22"/>
      <c r="FE209" s="20"/>
      <c r="FF209" s="22"/>
      <c r="FG209" s="20"/>
      <c r="FH209" s="22"/>
      <c r="FI209" s="20"/>
      <c r="FJ209" s="22"/>
      <c r="FK209" s="20"/>
      <c r="FL209" s="22"/>
      <c r="FM209" s="20"/>
      <c r="FN209" s="22"/>
      <c r="FO209" s="20"/>
      <c r="FP209" s="22"/>
      <c r="FQ209" s="20"/>
      <c r="FR209" s="22"/>
      <c r="FS209" s="20"/>
      <c r="FT209" s="22"/>
      <c r="FU209" s="20"/>
      <c r="FV209" s="22"/>
      <c r="FW209" s="20"/>
      <c r="FX209" s="22"/>
      <c r="FY209" s="20"/>
      <c r="FZ209" s="20">
        <v>3.0</v>
      </c>
      <c r="GA209" s="20"/>
      <c r="GB209" s="22"/>
      <c r="GC209" s="20">
        <v>3.0</v>
      </c>
      <c r="GD209" s="22"/>
      <c r="GE209" s="20"/>
      <c r="GF209" s="22"/>
      <c r="GG209" s="20"/>
      <c r="GH209" s="22"/>
      <c r="GI209" s="20"/>
      <c r="GJ209" s="22"/>
      <c r="GK209" s="20"/>
      <c r="GL209" s="22"/>
      <c r="GM209" s="20"/>
      <c r="GN209" s="22"/>
      <c r="GO209" s="20"/>
      <c r="GP209" s="22"/>
      <c r="GQ209" s="20"/>
      <c r="GR209" s="22"/>
      <c r="GS209" s="20"/>
      <c r="GT209" s="22"/>
      <c r="GU209" s="20"/>
      <c r="GV209" s="22"/>
      <c r="GW209" s="20"/>
      <c r="GX209" s="22"/>
      <c r="GY209" s="20"/>
      <c r="GZ209" s="22"/>
      <c r="HA209" s="20"/>
      <c r="HB209" s="22"/>
      <c r="HC209" s="20"/>
      <c r="HD209" s="22"/>
      <c r="HE209" s="20"/>
      <c r="HF209" s="22"/>
      <c r="HG209" s="20"/>
      <c r="HH209" s="22"/>
      <c r="HI209" s="20"/>
      <c r="HJ209" s="22"/>
      <c r="HK209" s="20"/>
      <c r="HL209" s="22"/>
      <c r="HM209" s="20"/>
      <c r="HN209" s="22"/>
      <c r="HO209" s="20"/>
      <c r="HP209" s="22"/>
      <c r="HQ209" s="20"/>
      <c r="HR209" s="22"/>
      <c r="HS209" s="20"/>
      <c r="HT209" s="22"/>
      <c r="HU209" s="20"/>
      <c r="HV209" s="22"/>
      <c r="HW209" s="20"/>
      <c r="HX209" s="22"/>
      <c r="HY209" s="20"/>
      <c r="HZ209" s="22"/>
      <c r="IA209" s="20"/>
      <c r="IB209" s="22"/>
      <c r="IC209" s="20"/>
      <c r="ID209" s="22"/>
      <c r="IE209" s="20"/>
      <c r="IF209" s="22"/>
      <c r="IG209" s="20"/>
      <c r="IH209" s="22"/>
      <c r="II209" s="20"/>
      <c r="IJ209" s="22"/>
      <c r="IK209" s="20"/>
      <c r="IL209" s="22"/>
      <c r="IM209" s="20"/>
      <c r="IN209" s="22"/>
      <c r="IO209" s="20"/>
      <c r="IP209" s="22"/>
      <c r="IQ209" s="20"/>
      <c r="IR209" s="22"/>
      <c r="IS209" s="20"/>
      <c r="IT209" s="22"/>
      <c r="IU209" s="20"/>
      <c r="IV209" s="22"/>
      <c r="IW209" s="20"/>
      <c r="IX209" s="22"/>
      <c r="IY209" s="20"/>
      <c r="IZ209" s="22"/>
      <c r="JA209" s="20"/>
      <c r="JB209" s="22"/>
      <c r="JC209" s="20"/>
      <c r="JD209" s="22"/>
      <c r="JE209" s="20"/>
      <c r="JF209" s="22"/>
      <c r="JG209" s="20"/>
      <c r="JH209" s="22"/>
      <c r="JI209" s="20"/>
      <c r="JJ209" s="22"/>
      <c r="JK209" s="20"/>
      <c r="JL209" s="22"/>
      <c r="JM209" s="20"/>
      <c r="JN209" s="22"/>
      <c r="JO209" s="20"/>
      <c r="JP209" s="22"/>
      <c r="JQ209" s="20"/>
      <c r="JR209" s="22"/>
      <c r="JS209" s="20"/>
      <c r="JT209" s="22"/>
      <c r="JU209" s="20"/>
      <c r="JV209" s="22"/>
      <c r="JW209" s="20"/>
      <c r="JX209" s="22"/>
      <c r="JY209" s="20"/>
      <c r="JZ209" s="22"/>
      <c r="KA209" s="20"/>
      <c r="KB209" s="22"/>
      <c r="KC209" s="20"/>
      <c r="KD209" s="22"/>
      <c r="KE209" s="20"/>
      <c r="KF209" s="22"/>
      <c r="KG209" s="20"/>
      <c r="KH209" s="22"/>
      <c r="KI209" s="20"/>
      <c r="KJ209" s="22"/>
      <c r="KK209" s="20"/>
      <c r="KL209" s="22"/>
      <c r="KM209" s="20"/>
      <c r="KN209" s="22"/>
      <c r="KO209" s="20"/>
      <c r="KP209" s="22"/>
      <c r="KQ209" s="20"/>
      <c r="KR209" s="22"/>
      <c r="KS209" s="20"/>
      <c r="KT209" s="22"/>
      <c r="KU209" s="20"/>
      <c r="KV209" s="22"/>
      <c r="KW209" s="20"/>
      <c r="KX209" s="22"/>
      <c r="KY209" s="20"/>
      <c r="KZ209" s="22"/>
      <c r="LA209" s="20"/>
      <c r="LB209" s="22"/>
      <c r="LC209" s="20"/>
      <c r="LD209" s="22"/>
      <c r="LE209" s="20"/>
      <c r="LF209" s="22"/>
      <c r="LG209" s="20"/>
      <c r="LH209" s="22"/>
      <c r="LI209" s="20"/>
      <c r="LJ209" s="22"/>
      <c r="LK209" s="20"/>
      <c r="LL209" s="22"/>
      <c r="LM209" s="20"/>
      <c r="LN209" s="22"/>
      <c r="LO209" s="20"/>
      <c r="LP209" s="22"/>
      <c r="LQ209" s="20"/>
      <c r="LR209" s="22"/>
      <c r="LS209" s="20"/>
      <c r="LT209" s="22"/>
      <c r="LU209" s="20"/>
      <c r="LV209" s="22"/>
      <c r="LW209" s="20"/>
      <c r="LX209" s="22"/>
      <c r="LY209" s="20"/>
      <c r="LZ209" s="22"/>
      <c r="MA209" s="20"/>
      <c r="MB209" s="22"/>
      <c r="MC209" s="20"/>
      <c r="MD209" s="22"/>
      <c r="ME209" s="20"/>
      <c r="MF209" s="22"/>
      <c r="MG209" s="20"/>
      <c r="MH209" s="22"/>
      <c r="MI209" s="20"/>
      <c r="MJ209" s="22"/>
      <c r="MK209" s="20"/>
      <c r="ML209" s="22"/>
      <c r="MM209" s="20"/>
      <c r="MN209" s="22"/>
      <c r="MO209" s="20"/>
      <c r="MP209" s="22"/>
      <c r="MQ209" s="20"/>
      <c r="MR209" s="22"/>
      <c r="MS209" s="20"/>
      <c r="MT209" s="22"/>
      <c r="MU209" s="20"/>
      <c r="MV209" s="22"/>
      <c r="MW209" s="20"/>
      <c r="MX209" s="22"/>
      <c r="MY209" s="20"/>
      <c r="MZ209" s="22"/>
      <c r="NA209" s="20"/>
      <c r="NB209" s="22"/>
      <c r="NC209" s="20"/>
      <c r="ND209" s="22"/>
      <c r="NE209" s="20"/>
      <c r="NF209" s="73"/>
    </row>
    <row r="210" hidden="1">
      <c r="A210" s="237"/>
      <c r="B210" s="267"/>
      <c r="C210" s="277">
        <v>46202.0</v>
      </c>
      <c r="D210" s="282" t="s">
        <v>391</v>
      </c>
      <c r="E210" s="279" t="s">
        <v>47</v>
      </c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  <c r="CI210" s="73"/>
      <c r="CJ210" s="73"/>
      <c r="CK210" s="73"/>
      <c r="CL210" s="73"/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C210" s="73"/>
      <c r="DD210" s="73"/>
      <c r="DE210" s="73"/>
      <c r="DF210" s="73"/>
      <c r="DG210" s="73"/>
      <c r="DH210" s="73"/>
      <c r="DI210" s="73"/>
      <c r="DJ210" s="73"/>
      <c r="DK210" s="73"/>
      <c r="DL210" s="73"/>
      <c r="DM210" s="73"/>
      <c r="DN210" s="73"/>
      <c r="DO210" s="73"/>
      <c r="DP210" s="73"/>
      <c r="DQ210" s="73"/>
      <c r="DR210" s="73"/>
      <c r="DS210" s="73"/>
      <c r="DT210" s="73"/>
      <c r="DU210" s="73"/>
      <c r="DV210" s="22"/>
      <c r="DW210" s="20"/>
      <c r="DX210" s="22"/>
      <c r="DY210" s="20"/>
      <c r="DZ210" s="22"/>
      <c r="EA210" s="20"/>
      <c r="EB210" s="22"/>
      <c r="EC210" s="20"/>
      <c r="ED210" s="22"/>
      <c r="EE210" s="20"/>
      <c r="EF210" s="22"/>
      <c r="EG210" s="20"/>
      <c r="EH210" s="22"/>
      <c r="EI210" s="20"/>
      <c r="EJ210" s="22"/>
      <c r="EK210" s="20"/>
      <c r="EL210" s="22"/>
      <c r="EM210" s="20"/>
      <c r="EN210" s="22"/>
      <c r="EO210" s="20"/>
      <c r="EP210" s="22"/>
      <c r="EQ210" s="20"/>
      <c r="ER210" s="22"/>
      <c r="ES210" s="20"/>
      <c r="ET210" s="22"/>
      <c r="EU210" s="20"/>
      <c r="EV210" s="22"/>
      <c r="EW210" s="20"/>
      <c r="EX210" s="22"/>
      <c r="EY210" s="20"/>
      <c r="EZ210" s="22"/>
      <c r="FA210" s="20"/>
      <c r="FB210" s="22"/>
      <c r="FC210" s="20"/>
      <c r="FD210" s="22"/>
      <c r="FE210" s="20"/>
      <c r="FF210" s="22"/>
      <c r="FG210" s="20"/>
      <c r="FH210" s="22"/>
      <c r="FI210" s="20"/>
      <c r="FJ210" s="22"/>
      <c r="FK210" s="20"/>
      <c r="FL210" s="22"/>
      <c r="FM210" s="20"/>
      <c r="FN210" s="22"/>
      <c r="FO210" s="20"/>
      <c r="FP210" s="22"/>
      <c r="FQ210" s="20"/>
      <c r="FR210" s="22"/>
      <c r="FS210" s="20"/>
      <c r="FT210" s="22"/>
      <c r="FU210" s="20"/>
      <c r="FV210" s="22"/>
      <c r="FW210" s="20"/>
      <c r="FX210" s="22"/>
      <c r="FY210" s="20"/>
      <c r="FZ210" s="20">
        <v>1.0</v>
      </c>
      <c r="GA210" s="20"/>
      <c r="GB210" s="22"/>
      <c r="GC210" s="20">
        <v>1.0</v>
      </c>
      <c r="GD210" s="22"/>
      <c r="GE210" s="20"/>
      <c r="GF210" s="22"/>
      <c r="GG210" s="20"/>
      <c r="GH210" s="22"/>
      <c r="GI210" s="20"/>
      <c r="GJ210" s="22"/>
      <c r="GK210" s="20"/>
      <c r="GL210" s="22"/>
      <c r="GM210" s="20"/>
      <c r="GN210" s="22"/>
      <c r="GO210" s="20"/>
      <c r="GP210" s="22"/>
      <c r="GQ210" s="20"/>
      <c r="GR210" s="22"/>
      <c r="GS210" s="20"/>
      <c r="GT210" s="22"/>
      <c r="GU210" s="20"/>
      <c r="GV210" s="22"/>
      <c r="GW210" s="20"/>
      <c r="GX210" s="22"/>
      <c r="GY210" s="20"/>
      <c r="GZ210" s="22"/>
      <c r="HA210" s="20"/>
      <c r="HB210" s="22"/>
      <c r="HC210" s="20"/>
      <c r="HD210" s="22"/>
      <c r="HE210" s="20"/>
      <c r="HF210" s="22"/>
      <c r="HG210" s="20"/>
      <c r="HH210" s="22"/>
      <c r="HI210" s="20"/>
      <c r="HJ210" s="22"/>
      <c r="HK210" s="20"/>
      <c r="HL210" s="22"/>
      <c r="HM210" s="20"/>
      <c r="HN210" s="22"/>
      <c r="HO210" s="20"/>
      <c r="HP210" s="22"/>
      <c r="HQ210" s="20"/>
      <c r="HR210" s="22"/>
      <c r="HS210" s="20"/>
      <c r="HT210" s="22"/>
      <c r="HU210" s="20"/>
      <c r="HV210" s="22"/>
      <c r="HW210" s="20"/>
      <c r="HX210" s="22"/>
      <c r="HY210" s="20"/>
      <c r="HZ210" s="22"/>
      <c r="IA210" s="20"/>
      <c r="IB210" s="22"/>
      <c r="IC210" s="20"/>
      <c r="ID210" s="22"/>
      <c r="IE210" s="20"/>
      <c r="IF210" s="22"/>
      <c r="IG210" s="20"/>
      <c r="IH210" s="22"/>
      <c r="II210" s="20"/>
      <c r="IJ210" s="22"/>
      <c r="IK210" s="20"/>
      <c r="IL210" s="22"/>
      <c r="IM210" s="20"/>
      <c r="IN210" s="22"/>
      <c r="IO210" s="20"/>
      <c r="IP210" s="22"/>
      <c r="IQ210" s="20"/>
      <c r="IR210" s="22"/>
      <c r="IS210" s="20"/>
      <c r="IT210" s="22"/>
      <c r="IU210" s="20"/>
      <c r="IV210" s="22"/>
      <c r="IW210" s="20"/>
      <c r="IX210" s="22"/>
      <c r="IY210" s="20"/>
      <c r="IZ210" s="22"/>
      <c r="JA210" s="20"/>
      <c r="JB210" s="22"/>
      <c r="JC210" s="20"/>
      <c r="JD210" s="22"/>
      <c r="JE210" s="20"/>
      <c r="JF210" s="22"/>
      <c r="JG210" s="20"/>
      <c r="JH210" s="22"/>
      <c r="JI210" s="20"/>
      <c r="JJ210" s="22"/>
      <c r="JK210" s="20"/>
      <c r="JL210" s="22"/>
      <c r="JM210" s="20"/>
      <c r="JN210" s="22"/>
      <c r="JO210" s="20"/>
      <c r="JP210" s="22"/>
      <c r="JQ210" s="20"/>
      <c r="JR210" s="22"/>
      <c r="JS210" s="20"/>
      <c r="JT210" s="22"/>
      <c r="JU210" s="20"/>
      <c r="JV210" s="22"/>
      <c r="JW210" s="20"/>
      <c r="JX210" s="22"/>
      <c r="JY210" s="20"/>
      <c r="JZ210" s="22"/>
      <c r="KA210" s="20"/>
      <c r="KB210" s="22"/>
      <c r="KC210" s="20"/>
      <c r="KD210" s="22"/>
      <c r="KE210" s="20"/>
      <c r="KF210" s="22"/>
      <c r="KG210" s="20"/>
      <c r="KH210" s="22"/>
      <c r="KI210" s="20"/>
      <c r="KJ210" s="22"/>
      <c r="KK210" s="20"/>
      <c r="KL210" s="22"/>
      <c r="KM210" s="20"/>
      <c r="KN210" s="22"/>
      <c r="KO210" s="20"/>
      <c r="KP210" s="22"/>
      <c r="KQ210" s="20"/>
      <c r="KR210" s="22"/>
      <c r="KS210" s="20"/>
      <c r="KT210" s="22"/>
      <c r="KU210" s="20"/>
      <c r="KV210" s="22"/>
      <c r="KW210" s="20"/>
      <c r="KX210" s="22"/>
      <c r="KY210" s="20"/>
      <c r="KZ210" s="22"/>
      <c r="LA210" s="20"/>
      <c r="LB210" s="22"/>
      <c r="LC210" s="20"/>
      <c r="LD210" s="22"/>
      <c r="LE210" s="20"/>
      <c r="LF210" s="22"/>
      <c r="LG210" s="20"/>
      <c r="LH210" s="22"/>
      <c r="LI210" s="20"/>
      <c r="LJ210" s="22"/>
      <c r="LK210" s="20"/>
      <c r="LL210" s="22"/>
      <c r="LM210" s="20"/>
      <c r="LN210" s="22"/>
      <c r="LO210" s="20"/>
      <c r="LP210" s="22"/>
      <c r="LQ210" s="20"/>
      <c r="LR210" s="22"/>
      <c r="LS210" s="20"/>
      <c r="LT210" s="22"/>
      <c r="LU210" s="20"/>
      <c r="LV210" s="22"/>
      <c r="LW210" s="20"/>
      <c r="LX210" s="22"/>
      <c r="LY210" s="20"/>
      <c r="LZ210" s="22"/>
      <c r="MA210" s="20"/>
      <c r="MB210" s="22"/>
      <c r="MC210" s="20"/>
      <c r="MD210" s="22"/>
      <c r="ME210" s="20"/>
      <c r="MF210" s="22"/>
      <c r="MG210" s="20"/>
      <c r="MH210" s="22"/>
      <c r="MI210" s="20"/>
      <c r="MJ210" s="22"/>
      <c r="MK210" s="20"/>
      <c r="ML210" s="22"/>
      <c r="MM210" s="20"/>
      <c r="MN210" s="22"/>
      <c r="MO210" s="20"/>
      <c r="MP210" s="22"/>
      <c r="MQ210" s="20"/>
      <c r="MR210" s="22"/>
      <c r="MS210" s="20"/>
      <c r="MT210" s="22"/>
      <c r="MU210" s="20"/>
      <c r="MV210" s="22"/>
      <c r="MW210" s="20"/>
      <c r="MX210" s="22"/>
      <c r="MY210" s="20"/>
      <c r="MZ210" s="22"/>
      <c r="NA210" s="20"/>
      <c r="NB210" s="22"/>
      <c r="NC210" s="20"/>
      <c r="ND210" s="22"/>
      <c r="NE210" s="20"/>
      <c r="NF210" s="73"/>
    </row>
    <row r="211" hidden="1">
      <c r="A211" s="237"/>
      <c r="B211" s="267"/>
      <c r="C211" s="277">
        <v>46219.0</v>
      </c>
      <c r="D211" s="283" t="s">
        <v>392</v>
      </c>
      <c r="E211" s="279" t="s">
        <v>34</v>
      </c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  <c r="CI211" s="73"/>
      <c r="CJ211" s="73"/>
      <c r="CK211" s="73"/>
      <c r="CL211" s="73"/>
      <c r="CM211" s="73"/>
      <c r="CN211" s="73"/>
      <c r="CO211" s="73"/>
      <c r="CP211" s="73"/>
      <c r="CQ211" s="73"/>
      <c r="CR211" s="73"/>
      <c r="CS211" s="73"/>
      <c r="CT211" s="73"/>
      <c r="CU211" s="73"/>
      <c r="CV211" s="73"/>
      <c r="CW211" s="73"/>
      <c r="CX211" s="73"/>
      <c r="CY211" s="73"/>
      <c r="CZ211" s="73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3"/>
      <c r="DL211" s="73"/>
      <c r="DM211" s="73"/>
      <c r="DN211" s="73"/>
      <c r="DO211" s="73"/>
      <c r="DP211" s="73"/>
      <c r="DQ211" s="73"/>
      <c r="DR211" s="73"/>
      <c r="DS211" s="73"/>
      <c r="DT211" s="73"/>
      <c r="DU211" s="73"/>
      <c r="DV211" s="22"/>
      <c r="DW211" s="20"/>
      <c r="DX211" s="22"/>
      <c r="DY211" s="20"/>
      <c r="DZ211" s="22"/>
      <c r="EA211" s="20"/>
      <c r="EB211" s="22"/>
      <c r="EC211" s="20"/>
      <c r="ED211" s="22"/>
      <c r="EE211" s="20"/>
      <c r="EF211" s="22"/>
      <c r="EG211" s="20"/>
      <c r="EH211" s="22"/>
      <c r="EI211" s="20"/>
      <c r="EJ211" s="22"/>
      <c r="EK211" s="20"/>
      <c r="EL211" s="22"/>
      <c r="EM211" s="20"/>
      <c r="EN211" s="22"/>
      <c r="EO211" s="20"/>
      <c r="EP211" s="22"/>
      <c r="EQ211" s="20"/>
      <c r="ER211" s="22"/>
      <c r="ES211" s="20"/>
      <c r="ET211" s="22"/>
      <c r="EU211" s="20"/>
      <c r="EV211" s="22"/>
      <c r="EW211" s="20"/>
      <c r="EX211" s="22"/>
      <c r="EY211" s="20"/>
      <c r="EZ211" s="22"/>
      <c r="FA211" s="20"/>
      <c r="FB211" s="22"/>
      <c r="FC211" s="20"/>
      <c r="FD211" s="22"/>
      <c r="FE211" s="20"/>
      <c r="FF211" s="22"/>
      <c r="FG211" s="20"/>
      <c r="FH211" s="22"/>
      <c r="FI211" s="20"/>
      <c r="FJ211" s="22"/>
      <c r="FK211" s="20"/>
      <c r="FL211" s="22"/>
      <c r="FM211" s="20"/>
      <c r="FN211" s="22"/>
      <c r="FO211" s="20"/>
      <c r="FP211" s="22"/>
      <c r="FQ211" s="20"/>
      <c r="FR211" s="22"/>
      <c r="FS211" s="20"/>
      <c r="FT211" s="22"/>
      <c r="FU211" s="20"/>
      <c r="FV211" s="22"/>
      <c r="FW211" s="20"/>
      <c r="FX211" s="22"/>
      <c r="FY211" s="20"/>
      <c r="FZ211" s="20"/>
      <c r="GA211" s="20"/>
      <c r="GB211" s="22"/>
      <c r="GC211" s="20"/>
      <c r="GD211" s="22"/>
      <c r="GE211" s="20"/>
      <c r="GF211" s="22"/>
      <c r="GG211" s="20"/>
      <c r="GH211" s="22"/>
      <c r="GI211" s="20"/>
      <c r="GJ211" s="22"/>
      <c r="GK211" s="20"/>
      <c r="GL211" s="22"/>
      <c r="GM211" s="20"/>
      <c r="GN211" s="20"/>
      <c r="GO211" s="20"/>
      <c r="GP211" s="22"/>
      <c r="GQ211" s="20"/>
      <c r="GR211" s="22"/>
      <c r="GS211" s="20"/>
      <c r="GT211" s="22"/>
      <c r="GU211" s="20"/>
      <c r="GV211" s="22"/>
      <c r="GW211" s="20"/>
      <c r="GX211" s="22"/>
      <c r="GY211" s="20"/>
      <c r="GZ211" s="22"/>
      <c r="HA211" s="20"/>
      <c r="HB211" s="22"/>
      <c r="HC211" s="20"/>
      <c r="HD211" s="22"/>
      <c r="HE211" s="20"/>
      <c r="HF211" s="22"/>
      <c r="HG211" s="20"/>
      <c r="HH211" s="22"/>
      <c r="HI211" s="20"/>
      <c r="HJ211" s="22"/>
      <c r="HK211" s="20"/>
      <c r="HL211" s="22"/>
      <c r="HM211" s="20"/>
      <c r="HN211" s="22"/>
      <c r="HO211" s="20"/>
      <c r="HP211" s="22"/>
      <c r="HQ211" s="20"/>
      <c r="HR211" s="22"/>
      <c r="HS211" s="20"/>
      <c r="HT211" s="22"/>
      <c r="HU211" s="20"/>
      <c r="HV211" s="22"/>
      <c r="HW211" s="20"/>
      <c r="HX211" s="22"/>
      <c r="HY211" s="20"/>
      <c r="HZ211" s="22"/>
      <c r="IA211" s="20"/>
      <c r="IB211" s="22"/>
      <c r="IC211" s="20"/>
      <c r="ID211" s="22"/>
      <c r="IE211" s="20"/>
      <c r="IF211" s="22"/>
      <c r="IG211" s="20"/>
      <c r="IH211" s="22"/>
      <c r="II211" s="20"/>
      <c r="IJ211" s="22"/>
      <c r="IK211" s="20"/>
      <c r="IL211" s="22"/>
      <c r="IM211" s="20"/>
      <c r="IN211" s="22"/>
      <c r="IO211" s="20"/>
      <c r="IP211" s="22"/>
      <c r="IQ211" s="20"/>
      <c r="IR211" s="22"/>
      <c r="IS211" s="20"/>
      <c r="IT211" s="22"/>
      <c r="IU211" s="20"/>
      <c r="IV211" s="22"/>
      <c r="IW211" s="20"/>
      <c r="IX211" s="22"/>
      <c r="IY211" s="20"/>
      <c r="IZ211" s="22"/>
      <c r="JA211" s="20"/>
      <c r="JB211" s="22"/>
      <c r="JC211" s="20"/>
      <c r="JD211" s="22"/>
      <c r="JE211" s="20"/>
      <c r="JF211" s="22"/>
      <c r="JG211" s="20"/>
      <c r="JH211" s="22"/>
      <c r="JI211" s="20"/>
      <c r="JJ211" s="22"/>
      <c r="JK211" s="20"/>
      <c r="JL211" s="22"/>
      <c r="JM211" s="20"/>
      <c r="JN211" s="22"/>
      <c r="JO211" s="20"/>
      <c r="JP211" s="22"/>
      <c r="JQ211" s="20"/>
      <c r="JR211" s="22"/>
      <c r="JS211" s="20"/>
      <c r="JT211" s="22"/>
      <c r="JU211" s="20"/>
      <c r="JV211" s="22"/>
      <c r="JW211" s="20"/>
      <c r="JX211" s="22"/>
      <c r="JY211" s="20"/>
      <c r="JZ211" s="22"/>
      <c r="KA211" s="20"/>
      <c r="KB211" s="22"/>
      <c r="KC211" s="20"/>
      <c r="KD211" s="22"/>
      <c r="KE211" s="20"/>
      <c r="KF211" s="22"/>
      <c r="KG211" s="20"/>
      <c r="KH211" s="22"/>
      <c r="KI211" s="20"/>
      <c r="KJ211" s="22"/>
      <c r="KK211" s="20"/>
      <c r="KL211" s="22"/>
      <c r="KM211" s="20"/>
      <c r="KN211" s="22"/>
      <c r="KO211" s="20"/>
      <c r="KP211" s="22"/>
      <c r="KQ211" s="20"/>
      <c r="KR211" s="22"/>
      <c r="KS211" s="20"/>
      <c r="KT211" s="22"/>
      <c r="KU211" s="20"/>
      <c r="KV211" s="22"/>
      <c r="KW211" s="20"/>
      <c r="KX211" s="22"/>
      <c r="KY211" s="20"/>
      <c r="KZ211" s="22"/>
      <c r="LA211" s="20"/>
      <c r="LB211" s="22"/>
      <c r="LC211" s="20"/>
      <c r="LD211" s="22"/>
      <c r="LE211" s="20"/>
      <c r="LF211" s="22"/>
      <c r="LG211" s="20"/>
      <c r="LH211" s="22"/>
      <c r="LI211" s="20"/>
      <c r="LJ211" s="22"/>
      <c r="LK211" s="20"/>
      <c r="LL211" s="22"/>
      <c r="LM211" s="20"/>
      <c r="LN211" s="22"/>
      <c r="LO211" s="20"/>
      <c r="LP211" s="22"/>
      <c r="LQ211" s="20"/>
      <c r="LR211" s="22"/>
      <c r="LS211" s="20"/>
      <c r="LT211" s="22"/>
      <c r="LU211" s="20"/>
      <c r="LV211" s="22"/>
      <c r="LW211" s="20"/>
      <c r="LX211" s="22"/>
      <c r="LY211" s="20"/>
      <c r="LZ211" s="22"/>
      <c r="MA211" s="20"/>
      <c r="MB211" s="22"/>
      <c r="MC211" s="20"/>
      <c r="MD211" s="22"/>
      <c r="ME211" s="20"/>
      <c r="MF211" s="22"/>
      <c r="MG211" s="20"/>
      <c r="MH211" s="22"/>
      <c r="MI211" s="20"/>
      <c r="MJ211" s="22"/>
      <c r="MK211" s="20"/>
      <c r="ML211" s="22"/>
      <c r="MM211" s="20"/>
      <c r="MN211" s="22"/>
      <c r="MO211" s="20"/>
      <c r="MP211" s="22"/>
      <c r="MQ211" s="20"/>
      <c r="MR211" s="22"/>
      <c r="MS211" s="20"/>
      <c r="MT211" s="22"/>
      <c r="MU211" s="20"/>
      <c r="MV211" s="22"/>
      <c r="MW211" s="20"/>
      <c r="MX211" s="22"/>
      <c r="MY211" s="20"/>
      <c r="MZ211" s="22"/>
      <c r="NA211" s="20"/>
      <c r="NB211" s="22"/>
      <c r="NC211" s="20"/>
      <c r="ND211" s="22"/>
      <c r="NE211" s="20"/>
      <c r="NF211" s="73"/>
    </row>
    <row r="212" hidden="1">
      <c r="A212" s="237"/>
      <c r="B212" s="267"/>
      <c r="C212" s="277">
        <v>46199.0</v>
      </c>
      <c r="D212" s="282" t="s">
        <v>393</v>
      </c>
      <c r="E212" s="279" t="s">
        <v>47</v>
      </c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  <c r="CK212" s="73"/>
      <c r="CL212" s="73"/>
      <c r="CM212" s="73"/>
      <c r="CN212" s="73"/>
      <c r="CO212" s="73"/>
      <c r="CP212" s="73"/>
      <c r="CQ212" s="73"/>
      <c r="CR212" s="73"/>
      <c r="CS212" s="73"/>
      <c r="CT212" s="73"/>
      <c r="CU212" s="73"/>
      <c r="CV212" s="73"/>
      <c r="CW212" s="73"/>
      <c r="CX212" s="73"/>
      <c r="CY212" s="73"/>
      <c r="CZ212" s="73"/>
      <c r="DA212" s="73"/>
      <c r="DB212" s="73"/>
      <c r="DC212" s="73"/>
      <c r="DD212" s="73"/>
      <c r="DE212" s="73"/>
      <c r="DF212" s="73"/>
      <c r="DG212" s="73"/>
      <c r="DH212" s="73"/>
      <c r="DI212" s="73"/>
      <c r="DJ212" s="73"/>
      <c r="DK212" s="73"/>
      <c r="DL212" s="73"/>
      <c r="DM212" s="73"/>
      <c r="DN212" s="73"/>
      <c r="DO212" s="73"/>
      <c r="DP212" s="73"/>
      <c r="DQ212" s="73"/>
      <c r="DR212" s="73"/>
      <c r="DS212" s="73"/>
      <c r="DT212" s="73"/>
      <c r="DU212" s="73"/>
      <c r="DV212" s="22"/>
      <c r="DW212" s="20"/>
      <c r="DX212" s="22"/>
      <c r="DY212" s="20"/>
      <c r="DZ212" s="22"/>
      <c r="EA212" s="20"/>
      <c r="EB212" s="22"/>
      <c r="EC212" s="20"/>
      <c r="ED212" s="22"/>
      <c r="EE212" s="20"/>
      <c r="EF212" s="22"/>
      <c r="EG212" s="20"/>
      <c r="EH212" s="22"/>
      <c r="EI212" s="20"/>
      <c r="EJ212" s="22"/>
      <c r="EK212" s="20"/>
      <c r="EL212" s="22"/>
      <c r="EM212" s="20"/>
      <c r="EN212" s="22"/>
      <c r="EO212" s="20"/>
      <c r="EP212" s="22"/>
      <c r="EQ212" s="20"/>
      <c r="ER212" s="22"/>
      <c r="ES212" s="20"/>
      <c r="ET212" s="22"/>
      <c r="EU212" s="20"/>
      <c r="EV212" s="22"/>
      <c r="EW212" s="20"/>
      <c r="EX212" s="22"/>
      <c r="EY212" s="20"/>
      <c r="EZ212" s="22"/>
      <c r="FA212" s="20"/>
      <c r="FB212" s="22"/>
      <c r="FC212" s="20"/>
      <c r="FD212" s="22"/>
      <c r="FE212" s="20"/>
      <c r="FF212" s="22"/>
      <c r="FG212" s="20"/>
      <c r="FH212" s="22"/>
      <c r="FI212" s="20"/>
      <c r="FJ212" s="22"/>
      <c r="FK212" s="20"/>
      <c r="FL212" s="22"/>
      <c r="FM212" s="20"/>
      <c r="FN212" s="22"/>
      <c r="FO212" s="20"/>
      <c r="FP212" s="22"/>
      <c r="FQ212" s="20"/>
      <c r="FR212" s="22"/>
      <c r="FS212" s="20"/>
      <c r="FT212" s="22"/>
      <c r="FU212" s="20"/>
      <c r="FV212" s="22"/>
      <c r="FW212" s="20"/>
      <c r="FX212" s="22"/>
      <c r="FY212" s="20">
        <v>3.0</v>
      </c>
      <c r="FZ212" s="20">
        <v>2.0</v>
      </c>
      <c r="GA212" s="20"/>
      <c r="GB212" s="22"/>
      <c r="GC212" s="20"/>
      <c r="GD212" s="22"/>
      <c r="GE212" s="20"/>
      <c r="GF212" s="22"/>
      <c r="GG212" s="20"/>
      <c r="GH212" s="22"/>
      <c r="GI212" s="20"/>
      <c r="GJ212" s="22"/>
      <c r="GK212" s="20"/>
      <c r="GL212" s="22"/>
      <c r="GM212" s="20"/>
      <c r="GN212" s="22"/>
      <c r="GO212" s="20"/>
      <c r="GP212" s="22"/>
      <c r="GQ212" s="20"/>
      <c r="GR212" s="22"/>
      <c r="GS212" s="20"/>
      <c r="GT212" s="22"/>
      <c r="GU212" s="20"/>
      <c r="GV212" s="22"/>
      <c r="GW212" s="20"/>
      <c r="GX212" s="22"/>
      <c r="GY212" s="20"/>
      <c r="GZ212" s="22"/>
      <c r="HA212" s="20"/>
      <c r="HB212" s="22"/>
      <c r="HC212" s="20"/>
      <c r="HD212" s="22"/>
      <c r="HE212" s="20"/>
      <c r="HF212" s="22"/>
      <c r="HG212" s="20"/>
      <c r="HH212" s="22"/>
      <c r="HI212" s="20"/>
      <c r="HJ212" s="22"/>
      <c r="HK212" s="20"/>
      <c r="HL212" s="22"/>
      <c r="HM212" s="20"/>
      <c r="HN212" s="22"/>
      <c r="HO212" s="20"/>
      <c r="HP212" s="22"/>
      <c r="HQ212" s="20"/>
      <c r="HR212" s="22"/>
      <c r="HS212" s="20"/>
      <c r="HT212" s="22"/>
      <c r="HU212" s="20"/>
      <c r="HV212" s="22"/>
      <c r="HW212" s="20"/>
      <c r="HX212" s="22"/>
      <c r="HY212" s="20"/>
      <c r="HZ212" s="22"/>
      <c r="IA212" s="20"/>
      <c r="IB212" s="22"/>
      <c r="IC212" s="20"/>
      <c r="ID212" s="22"/>
      <c r="IE212" s="20"/>
      <c r="IF212" s="22"/>
      <c r="IG212" s="20"/>
      <c r="IH212" s="22"/>
      <c r="II212" s="20"/>
      <c r="IJ212" s="22"/>
      <c r="IK212" s="20"/>
      <c r="IL212" s="22"/>
      <c r="IM212" s="20"/>
      <c r="IN212" s="22"/>
      <c r="IO212" s="20"/>
      <c r="IP212" s="22"/>
      <c r="IQ212" s="20"/>
      <c r="IR212" s="22"/>
      <c r="IS212" s="20"/>
      <c r="IT212" s="22"/>
      <c r="IU212" s="20"/>
      <c r="IV212" s="22"/>
      <c r="IW212" s="20"/>
      <c r="IX212" s="22"/>
      <c r="IY212" s="20"/>
      <c r="IZ212" s="22"/>
      <c r="JA212" s="20"/>
      <c r="JB212" s="22"/>
      <c r="JC212" s="20"/>
      <c r="JD212" s="22"/>
      <c r="JE212" s="20"/>
      <c r="JF212" s="22"/>
      <c r="JG212" s="20"/>
      <c r="JH212" s="22"/>
      <c r="JI212" s="20"/>
      <c r="JJ212" s="22"/>
      <c r="JK212" s="20"/>
      <c r="JL212" s="22"/>
      <c r="JM212" s="20"/>
      <c r="JN212" s="22"/>
      <c r="JO212" s="20"/>
      <c r="JP212" s="22"/>
      <c r="JQ212" s="20"/>
      <c r="JR212" s="22"/>
      <c r="JS212" s="20"/>
      <c r="JT212" s="22"/>
      <c r="JU212" s="20"/>
      <c r="JV212" s="22"/>
      <c r="JW212" s="20"/>
      <c r="JX212" s="22"/>
      <c r="JY212" s="20"/>
      <c r="JZ212" s="22"/>
      <c r="KA212" s="20"/>
      <c r="KB212" s="22"/>
      <c r="KC212" s="20"/>
      <c r="KD212" s="22"/>
      <c r="KE212" s="20"/>
      <c r="KF212" s="22"/>
      <c r="KG212" s="20"/>
      <c r="KH212" s="22"/>
      <c r="KI212" s="20"/>
      <c r="KJ212" s="22"/>
      <c r="KK212" s="20"/>
      <c r="KL212" s="22"/>
      <c r="KM212" s="20"/>
      <c r="KN212" s="22"/>
      <c r="KO212" s="20"/>
      <c r="KP212" s="22"/>
      <c r="KQ212" s="20"/>
      <c r="KR212" s="22"/>
      <c r="KS212" s="20"/>
      <c r="KT212" s="22"/>
      <c r="KU212" s="20"/>
      <c r="KV212" s="22"/>
      <c r="KW212" s="20"/>
      <c r="KX212" s="22"/>
      <c r="KY212" s="20"/>
      <c r="KZ212" s="22"/>
      <c r="LA212" s="20"/>
      <c r="LB212" s="22"/>
      <c r="LC212" s="20"/>
      <c r="LD212" s="22"/>
      <c r="LE212" s="20"/>
      <c r="LF212" s="22"/>
      <c r="LG212" s="20"/>
      <c r="LH212" s="22"/>
      <c r="LI212" s="20"/>
      <c r="LJ212" s="22"/>
      <c r="LK212" s="20"/>
      <c r="LL212" s="22"/>
      <c r="LM212" s="20"/>
      <c r="LN212" s="22"/>
      <c r="LO212" s="20"/>
      <c r="LP212" s="22"/>
      <c r="LQ212" s="20"/>
      <c r="LR212" s="22"/>
      <c r="LS212" s="20"/>
      <c r="LT212" s="22"/>
      <c r="LU212" s="20"/>
      <c r="LV212" s="22"/>
      <c r="LW212" s="20"/>
      <c r="LX212" s="22"/>
      <c r="LY212" s="20"/>
      <c r="LZ212" s="22"/>
      <c r="MA212" s="20"/>
      <c r="MB212" s="22"/>
      <c r="MC212" s="20"/>
      <c r="MD212" s="22"/>
      <c r="ME212" s="20"/>
      <c r="MF212" s="22"/>
      <c r="MG212" s="20"/>
      <c r="MH212" s="22"/>
      <c r="MI212" s="20"/>
      <c r="MJ212" s="22"/>
      <c r="MK212" s="20"/>
      <c r="ML212" s="22"/>
      <c r="MM212" s="20"/>
      <c r="MN212" s="22"/>
      <c r="MO212" s="20"/>
      <c r="MP212" s="22"/>
      <c r="MQ212" s="20"/>
      <c r="MR212" s="22"/>
      <c r="MS212" s="20"/>
      <c r="MT212" s="22"/>
      <c r="MU212" s="20"/>
      <c r="MV212" s="22"/>
      <c r="MW212" s="20"/>
      <c r="MX212" s="22"/>
      <c r="MY212" s="20"/>
      <c r="MZ212" s="22"/>
      <c r="NA212" s="20"/>
      <c r="NB212" s="22"/>
      <c r="NC212" s="20"/>
      <c r="ND212" s="22"/>
      <c r="NE212" s="20"/>
      <c r="NF212" s="73"/>
    </row>
    <row r="213" hidden="1">
      <c r="A213" s="237"/>
      <c r="B213" s="267"/>
      <c r="C213" s="277">
        <v>46204.0</v>
      </c>
      <c r="D213" s="284" t="s">
        <v>394</v>
      </c>
      <c r="E213" s="279" t="s">
        <v>47</v>
      </c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  <c r="CI213" s="73"/>
      <c r="CJ213" s="73"/>
      <c r="CK213" s="73"/>
      <c r="CL213" s="73"/>
      <c r="CM213" s="73"/>
      <c r="CN213" s="73"/>
      <c r="CO213" s="73"/>
      <c r="CP213" s="73"/>
      <c r="CQ213" s="73"/>
      <c r="CR213" s="73"/>
      <c r="CS213" s="73"/>
      <c r="CT213" s="73"/>
      <c r="CU213" s="73"/>
      <c r="CV213" s="73"/>
      <c r="CW213" s="73"/>
      <c r="CX213" s="73"/>
      <c r="CY213" s="73"/>
      <c r="CZ213" s="73"/>
      <c r="DA213" s="73"/>
      <c r="DB213" s="73"/>
      <c r="DC213" s="73"/>
      <c r="DD213" s="73"/>
      <c r="DE213" s="73"/>
      <c r="DF213" s="73"/>
      <c r="DG213" s="73"/>
      <c r="DH213" s="73"/>
      <c r="DI213" s="73"/>
      <c r="DJ213" s="73"/>
      <c r="DK213" s="73"/>
      <c r="DL213" s="73"/>
      <c r="DM213" s="73"/>
      <c r="DN213" s="73"/>
      <c r="DO213" s="73"/>
      <c r="DP213" s="73"/>
      <c r="DQ213" s="73"/>
      <c r="DR213" s="73"/>
      <c r="DS213" s="73"/>
      <c r="DT213" s="73"/>
      <c r="DU213" s="73"/>
      <c r="DV213" s="22"/>
      <c r="DW213" s="20"/>
      <c r="DX213" s="22"/>
      <c r="DY213" s="20"/>
      <c r="DZ213" s="22"/>
      <c r="EA213" s="20"/>
      <c r="EB213" s="22"/>
      <c r="EC213" s="20"/>
      <c r="ED213" s="22"/>
      <c r="EE213" s="20"/>
      <c r="EF213" s="22"/>
      <c r="EG213" s="20"/>
      <c r="EH213" s="22"/>
      <c r="EI213" s="20"/>
      <c r="EJ213" s="22"/>
      <c r="EK213" s="20"/>
      <c r="EL213" s="22"/>
      <c r="EM213" s="20"/>
      <c r="EN213" s="22"/>
      <c r="EO213" s="20"/>
      <c r="EP213" s="22"/>
      <c r="EQ213" s="20"/>
      <c r="ER213" s="22"/>
      <c r="ES213" s="20"/>
      <c r="ET213" s="22"/>
      <c r="EU213" s="20"/>
      <c r="EV213" s="22"/>
      <c r="EW213" s="20"/>
      <c r="EX213" s="22"/>
      <c r="EY213" s="20"/>
      <c r="EZ213" s="22"/>
      <c r="FA213" s="20"/>
      <c r="FB213" s="22"/>
      <c r="FC213" s="20"/>
      <c r="FD213" s="22"/>
      <c r="FE213" s="20"/>
      <c r="FF213" s="22"/>
      <c r="FG213" s="20"/>
      <c r="FH213" s="22"/>
      <c r="FI213" s="20"/>
      <c r="FJ213" s="22"/>
      <c r="FK213" s="20"/>
      <c r="FL213" s="22"/>
      <c r="FM213" s="20"/>
      <c r="FN213" s="22"/>
      <c r="FO213" s="20"/>
      <c r="FP213" s="22"/>
      <c r="FQ213" s="20"/>
      <c r="FR213" s="22"/>
      <c r="FS213" s="20"/>
      <c r="FT213" s="22"/>
      <c r="FU213" s="20"/>
      <c r="FV213" s="22"/>
      <c r="FW213" s="20"/>
      <c r="FX213" s="20"/>
      <c r="FY213" s="20"/>
      <c r="FZ213" s="22"/>
      <c r="GA213" s="20"/>
      <c r="GB213" s="22"/>
      <c r="GC213" s="20">
        <v>1.0</v>
      </c>
      <c r="GD213" s="20">
        <v>1.0</v>
      </c>
      <c r="GE213" s="20"/>
      <c r="GF213" s="22"/>
      <c r="GG213" s="20"/>
      <c r="GH213" s="22"/>
      <c r="GI213" s="20"/>
      <c r="GJ213" s="22"/>
      <c r="GK213" s="20"/>
      <c r="GL213" s="22"/>
      <c r="GM213" s="20"/>
      <c r="GN213" s="22"/>
      <c r="GO213" s="20"/>
      <c r="GP213" s="22"/>
      <c r="GQ213" s="20"/>
      <c r="GR213" s="22"/>
      <c r="GS213" s="20"/>
      <c r="GT213" s="22"/>
      <c r="GU213" s="20"/>
      <c r="GV213" s="22"/>
      <c r="GW213" s="20"/>
      <c r="GX213" s="22"/>
      <c r="GY213" s="20"/>
      <c r="GZ213" s="22"/>
      <c r="HA213" s="20"/>
      <c r="HB213" s="22"/>
      <c r="HC213" s="20"/>
      <c r="HD213" s="22"/>
      <c r="HE213" s="20"/>
      <c r="HF213" s="22"/>
      <c r="HG213" s="20"/>
      <c r="HH213" s="22"/>
      <c r="HI213" s="20"/>
      <c r="HJ213" s="22"/>
      <c r="HK213" s="20"/>
      <c r="HL213" s="22"/>
      <c r="HM213" s="20"/>
      <c r="HN213" s="22"/>
      <c r="HO213" s="20"/>
      <c r="HP213" s="22"/>
      <c r="HQ213" s="20"/>
      <c r="HR213" s="22"/>
      <c r="HS213" s="20"/>
      <c r="HT213" s="22"/>
      <c r="HU213" s="20"/>
      <c r="HV213" s="22"/>
      <c r="HW213" s="20"/>
      <c r="HX213" s="22"/>
      <c r="HY213" s="20"/>
      <c r="HZ213" s="22"/>
      <c r="IA213" s="20"/>
      <c r="IB213" s="22"/>
      <c r="IC213" s="20"/>
      <c r="ID213" s="22"/>
      <c r="IE213" s="20"/>
      <c r="IF213" s="22"/>
      <c r="IG213" s="20"/>
      <c r="IH213" s="22"/>
      <c r="II213" s="20"/>
      <c r="IJ213" s="22"/>
      <c r="IK213" s="20"/>
      <c r="IL213" s="22"/>
      <c r="IM213" s="20"/>
      <c r="IN213" s="22"/>
      <c r="IO213" s="20"/>
      <c r="IP213" s="22"/>
      <c r="IQ213" s="20"/>
      <c r="IR213" s="22"/>
      <c r="IS213" s="20"/>
      <c r="IT213" s="22"/>
      <c r="IU213" s="20"/>
      <c r="IV213" s="22"/>
      <c r="IW213" s="20"/>
      <c r="IX213" s="22"/>
      <c r="IY213" s="20"/>
      <c r="IZ213" s="22"/>
      <c r="JA213" s="20"/>
      <c r="JB213" s="22"/>
      <c r="JC213" s="20"/>
      <c r="JD213" s="22"/>
      <c r="JE213" s="20"/>
      <c r="JF213" s="22"/>
      <c r="JG213" s="20"/>
      <c r="JH213" s="22"/>
      <c r="JI213" s="20"/>
      <c r="JJ213" s="22"/>
      <c r="JK213" s="20"/>
      <c r="JL213" s="22"/>
      <c r="JM213" s="20"/>
      <c r="JN213" s="22"/>
      <c r="JO213" s="20"/>
      <c r="JP213" s="22"/>
      <c r="JQ213" s="20"/>
      <c r="JR213" s="22"/>
      <c r="JS213" s="20"/>
      <c r="JT213" s="22"/>
      <c r="JU213" s="20"/>
      <c r="JV213" s="22"/>
      <c r="JW213" s="20"/>
      <c r="JX213" s="22"/>
      <c r="JY213" s="20"/>
      <c r="JZ213" s="22"/>
      <c r="KA213" s="20"/>
      <c r="KB213" s="22"/>
      <c r="KC213" s="20"/>
      <c r="KD213" s="22"/>
      <c r="KE213" s="20"/>
      <c r="KF213" s="22"/>
      <c r="KG213" s="20"/>
      <c r="KH213" s="22"/>
      <c r="KI213" s="20"/>
      <c r="KJ213" s="22"/>
      <c r="KK213" s="20"/>
      <c r="KL213" s="22"/>
      <c r="KM213" s="20"/>
      <c r="KN213" s="22"/>
      <c r="KO213" s="20"/>
      <c r="KP213" s="22"/>
      <c r="KQ213" s="20"/>
      <c r="KR213" s="22"/>
      <c r="KS213" s="20"/>
      <c r="KT213" s="22"/>
      <c r="KU213" s="20"/>
      <c r="KV213" s="22"/>
      <c r="KW213" s="20"/>
      <c r="KX213" s="22"/>
      <c r="KY213" s="20"/>
      <c r="KZ213" s="22"/>
      <c r="LA213" s="20"/>
      <c r="LB213" s="22"/>
      <c r="LC213" s="20"/>
      <c r="LD213" s="22"/>
      <c r="LE213" s="20"/>
      <c r="LF213" s="22"/>
      <c r="LG213" s="20"/>
      <c r="LH213" s="22"/>
      <c r="LI213" s="20"/>
      <c r="LJ213" s="22"/>
      <c r="LK213" s="20"/>
      <c r="LL213" s="22"/>
      <c r="LM213" s="20"/>
      <c r="LN213" s="22"/>
      <c r="LO213" s="20"/>
      <c r="LP213" s="22"/>
      <c r="LQ213" s="20"/>
      <c r="LR213" s="22"/>
      <c r="LS213" s="20"/>
      <c r="LT213" s="22"/>
      <c r="LU213" s="20"/>
      <c r="LV213" s="22"/>
      <c r="LW213" s="20"/>
      <c r="LX213" s="22"/>
      <c r="LY213" s="20"/>
      <c r="LZ213" s="22"/>
      <c r="MA213" s="20"/>
      <c r="MB213" s="22"/>
      <c r="MC213" s="20"/>
      <c r="MD213" s="22"/>
      <c r="ME213" s="20"/>
      <c r="MF213" s="22"/>
      <c r="MG213" s="20"/>
      <c r="MH213" s="22"/>
      <c r="MI213" s="20"/>
      <c r="MJ213" s="22"/>
      <c r="MK213" s="20"/>
      <c r="ML213" s="22"/>
      <c r="MM213" s="20"/>
      <c r="MN213" s="22"/>
      <c r="MO213" s="20"/>
      <c r="MP213" s="22"/>
      <c r="MQ213" s="20"/>
      <c r="MR213" s="22"/>
      <c r="MS213" s="20"/>
      <c r="MT213" s="22"/>
      <c r="MU213" s="20"/>
      <c r="MV213" s="22"/>
      <c r="MW213" s="20"/>
      <c r="MX213" s="22"/>
      <c r="MY213" s="20"/>
      <c r="MZ213" s="22"/>
      <c r="NA213" s="20"/>
      <c r="NB213" s="22"/>
      <c r="NC213" s="20"/>
      <c r="ND213" s="22"/>
      <c r="NE213" s="20"/>
      <c r="NF213" s="73"/>
    </row>
    <row r="214" hidden="1">
      <c r="A214" s="237"/>
      <c r="B214" s="267"/>
      <c r="C214" s="239">
        <v>46203.0</v>
      </c>
      <c r="D214" s="284" t="s">
        <v>395</v>
      </c>
      <c r="E214" s="242" t="s">
        <v>47</v>
      </c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  <c r="CI214" s="73"/>
      <c r="CJ214" s="73"/>
      <c r="CK214" s="73"/>
      <c r="CL214" s="73"/>
      <c r="CM214" s="73"/>
      <c r="CN214" s="73"/>
      <c r="CO214" s="73"/>
      <c r="CP214" s="73"/>
      <c r="CQ214" s="73"/>
      <c r="CR214" s="73"/>
      <c r="CS214" s="73"/>
      <c r="CT214" s="73"/>
      <c r="CU214" s="73"/>
      <c r="CV214" s="73"/>
      <c r="CW214" s="73"/>
      <c r="CX214" s="73"/>
      <c r="CY214" s="73"/>
      <c r="CZ214" s="73"/>
      <c r="DA214" s="73"/>
      <c r="DB214" s="73"/>
      <c r="DC214" s="73"/>
      <c r="DD214" s="73"/>
      <c r="DE214" s="73"/>
      <c r="DF214" s="73"/>
      <c r="DG214" s="73"/>
      <c r="DH214" s="73"/>
      <c r="DI214" s="73"/>
      <c r="DJ214" s="73"/>
      <c r="DK214" s="73"/>
      <c r="DL214" s="73"/>
      <c r="DM214" s="73"/>
      <c r="DN214" s="73"/>
      <c r="DO214" s="73"/>
      <c r="DP214" s="73"/>
      <c r="DQ214" s="73"/>
      <c r="DR214" s="73"/>
      <c r="DS214" s="73"/>
      <c r="DT214" s="73"/>
      <c r="DU214" s="73"/>
      <c r="DV214" s="22"/>
      <c r="DW214" s="20"/>
      <c r="DX214" s="22"/>
      <c r="DY214" s="20"/>
      <c r="DZ214" s="22"/>
      <c r="EA214" s="20"/>
      <c r="EB214" s="22"/>
      <c r="EC214" s="20"/>
      <c r="ED214" s="22"/>
      <c r="EE214" s="20"/>
      <c r="EF214" s="22"/>
      <c r="EG214" s="20"/>
      <c r="EH214" s="22"/>
      <c r="EI214" s="20"/>
      <c r="EJ214" s="22"/>
      <c r="EK214" s="20"/>
      <c r="EL214" s="22"/>
      <c r="EM214" s="20"/>
      <c r="EN214" s="22"/>
      <c r="EO214" s="20"/>
      <c r="EP214" s="22"/>
      <c r="EQ214" s="20"/>
      <c r="ER214" s="22"/>
      <c r="ES214" s="20"/>
      <c r="ET214" s="22"/>
      <c r="EU214" s="20"/>
      <c r="EV214" s="22"/>
      <c r="EW214" s="20"/>
      <c r="EX214" s="22"/>
      <c r="EY214" s="20"/>
      <c r="EZ214" s="22"/>
      <c r="FA214" s="20"/>
      <c r="FB214" s="22"/>
      <c r="FC214" s="20"/>
      <c r="FD214" s="22"/>
      <c r="FE214" s="20"/>
      <c r="FF214" s="22"/>
      <c r="FG214" s="20"/>
      <c r="FH214" s="22"/>
      <c r="FI214" s="20"/>
      <c r="FJ214" s="22"/>
      <c r="FK214" s="20"/>
      <c r="FL214" s="22"/>
      <c r="FM214" s="20"/>
      <c r="FN214" s="22"/>
      <c r="FO214" s="20"/>
      <c r="FP214" s="22"/>
      <c r="FQ214" s="20"/>
      <c r="FR214" s="22"/>
      <c r="FS214" s="20"/>
      <c r="FT214" s="22"/>
      <c r="FU214" s="20"/>
      <c r="FV214" s="22"/>
      <c r="FW214" s="20"/>
      <c r="FX214" s="22"/>
      <c r="FY214" s="20"/>
      <c r="FZ214" s="22"/>
      <c r="GA214" s="20"/>
      <c r="GB214" s="22"/>
      <c r="GC214" s="20"/>
      <c r="GD214" s="20">
        <v>2.0</v>
      </c>
      <c r="GE214" s="20"/>
      <c r="GF214" s="22"/>
      <c r="GG214" s="20"/>
      <c r="GH214" s="22"/>
      <c r="GI214" s="20"/>
      <c r="GJ214" s="22"/>
      <c r="GK214" s="20"/>
      <c r="GL214" s="22"/>
      <c r="GM214" s="20"/>
      <c r="GN214" s="22"/>
      <c r="GO214" s="20"/>
      <c r="GP214" s="22"/>
      <c r="GQ214" s="20"/>
      <c r="GR214" s="22"/>
      <c r="GS214" s="20"/>
      <c r="GT214" s="22"/>
      <c r="GU214" s="20"/>
      <c r="GV214" s="22"/>
      <c r="GW214" s="20"/>
      <c r="GX214" s="22"/>
      <c r="GY214" s="20"/>
      <c r="GZ214" s="22"/>
      <c r="HA214" s="20"/>
      <c r="HB214" s="22"/>
      <c r="HC214" s="20"/>
      <c r="HD214" s="22"/>
      <c r="HE214" s="20"/>
      <c r="HF214" s="22"/>
      <c r="HG214" s="20"/>
      <c r="HH214" s="22"/>
      <c r="HI214" s="20"/>
      <c r="HJ214" s="22"/>
      <c r="HK214" s="20"/>
      <c r="HL214" s="22"/>
      <c r="HM214" s="20"/>
      <c r="HN214" s="22"/>
      <c r="HO214" s="20"/>
      <c r="HP214" s="22"/>
      <c r="HQ214" s="20"/>
      <c r="HR214" s="22"/>
      <c r="HS214" s="20"/>
      <c r="HT214" s="22"/>
      <c r="HU214" s="20"/>
      <c r="HV214" s="22"/>
      <c r="HW214" s="20"/>
      <c r="HX214" s="22"/>
      <c r="HY214" s="20"/>
      <c r="HZ214" s="22"/>
      <c r="IA214" s="20"/>
      <c r="IB214" s="22"/>
      <c r="IC214" s="20"/>
      <c r="ID214" s="22"/>
      <c r="IE214" s="20"/>
      <c r="IF214" s="22"/>
      <c r="IG214" s="20"/>
      <c r="IH214" s="22"/>
      <c r="II214" s="20"/>
      <c r="IJ214" s="22"/>
      <c r="IK214" s="20"/>
      <c r="IL214" s="22"/>
      <c r="IM214" s="20"/>
      <c r="IN214" s="22"/>
      <c r="IO214" s="20"/>
      <c r="IP214" s="22"/>
      <c r="IQ214" s="20"/>
      <c r="IR214" s="22"/>
      <c r="IS214" s="20"/>
      <c r="IT214" s="22"/>
      <c r="IU214" s="20"/>
      <c r="IV214" s="22"/>
      <c r="IW214" s="20"/>
      <c r="IX214" s="22"/>
      <c r="IY214" s="20"/>
      <c r="IZ214" s="22"/>
      <c r="JA214" s="20"/>
      <c r="JB214" s="22"/>
      <c r="JC214" s="20"/>
      <c r="JD214" s="22"/>
      <c r="JE214" s="20"/>
      <c r="JF214" s="22"/>
      <c r="JG214" s="20"/>
      <c r="JH214" s="22"/>
      <c r="JI214" s="20"/>
      <c r="JJ214" s="22"/>
      <c r="JK214" s="20"/>
      <c r="JL214" s="22"/>
      <c r="JM214" s="20"/>
      <c r="JN214" s="22"/>
      <c r="JO214" s="20"/>
      <c r="JP214" s="22"/>
      <c r="JQ214" s="20"/>
      <c r="JR214" s="22"/>
      <c r="JS214" s="20"/>
      <c r="JT214" s="22"/>
      <c r="JU214" s="20"/>
      <c r="JV214" s="22"/>
      <c r="JW214" s="20"/>
      <c r="JX214" s="22"/>
      <c r="JY214" s="20"/>
      <c r="JZ214" s="22"/>
      <c r="KA214" s="20"/>
      <c r="KB214" s="22"/>
      <c r="KC214" s="20"/>
      <c r="KD214" s="22"/>
      <c r="KE214" s="20"/>
      <c r="KF214" s="22"/>
      <c r="KG214" s="20"/>
      <c r="KH214" s="22"/>
      <c r="KI214" s="20"/>
      <c r="KJ214" s="22"/>
      <c r="KK214" s="20"/>
      <c r="KL214" s="22"/>
      <c r="KM214" s="20"/>
      <c r="KN214" s="22"/>
      <c r="KO214" s="20"/>
      <c r="KP214" s="22"/>
      <c r="KQ214" s="20"/>
      <c r="KR214" s="22"/>
      <c r="KS214" s="20"/>
      <c r="KT214" s="22"/>
      <c r="KU214" s="20"/>
      <c r="KV214" s="22"/>
      <c r="KW214" s="20"/>
      <c r="KX214" s="22"/>
      <c r="KY214" s="20"/>
      <c r="KZ214" s="22"/>
      <c r="LA214" s="20"/>
      <c r="LB214" s="22"/>
      <c r="LC214" s="20"/>
      <c r="LD214" s="22"/>
      <c r="LE214" s="20"/>
      <c r="LF214" s="22"/>
      <c r="LG214" s="20"/>
      <c r="LH214" s="22"/>
      <c r="LI214" s="20"/>
      <c r="LJ214" s="22"/>
      <c r="LK214" s="20"/>
      <c r="LL214" s="22"/>
      <c r="LM214" s="20"/>
      <c r="LN214" s="22"/>
      <c r="LO214" s="20"/>
      <c r="LP214" s="22"/>
      <c r="LQ214" s="20"/>
      <c r="LR214" s="22"/>
      <c r="LS214" s="20"/>
      <c r="LT214" s="22"/>
      <c r="LU214" s="20"/>
      <c r="LV214" s="22"/>
      <c r="LW214" s="20"/>
      <c r="LX214" s="22"/>
      <c r="LY214" s="20"/>
      <c r="LZ214" s="22"/>
      <c r="MA214" s="20"/>
      <c r="MB214" s="22"/>
      <c r="MC214" s="20"/>
      <c r="MD214" s="22"/>
      <c r="ME214" s="20"/>
      <c r="MF214" s="22"/>
      <c r="MG214" s="20"/>
      <c r="MH214" s="22"/>
      <c r="MI214" s="20"/>
      <c r="MJ214" s="22"/>
      <c r="MK214" s="20"/>
      <c r="ML214" s="22"/>
      <c r="MM214" s="20"/>
      <c r="MN214" s="22"/>
      <c r="MO214" s="20"/>
      <c r="MP214" s="22"/>
      <c r="MQ214" s="20"/>
      <c r="MR214" s="22"/>
      <c r="MS214" s="20"/>
      <c r="MT214" s="22"/>
      <c r="MU214" s="20"/>
      <c r="MV214" s="22"/>
      <c r="MW214" s="20"/>
      <c r="MX214" s="22"/>
      <c r="MY214" s="20"/>
      <c r="MZ214" s="22"/>
      <c r="NA214" s="20"/>
      <c r="NB214" s="22"/>
      <c r="NC214" s="20"/>
      <c r="ND214" s="22"/>
      <c r="NE214" s="20"/>
      <c r="NF214" s="73"/>
    </row>
    <row r="215" hidden="1">
      <c r="A215" s="237"/>
      <c r="B215" s="267"/>
      <c r="C215" s="239">
        <v>46203.0</v>
      </c>
      <c r="D215" s="285" t="s">
        <v>396</v>
      </c>
      <c r="E215" s="242" t="s">
        <v>47</v>
      </c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  <c r="CI215" s="73"/>
      <c r="CJ215" s="73"/>
      <c r="CK215" s="73"/>
      <c r="CL215" s="73"/>
      <c r="CM215" s="73"/>
      <c r="CN215" s="73"/>
      <c r="CO215" s="73"/>
      <c r="CP215" s="73"/>
      <c r="CQ215" s="73"/>
      <c r="CR215" s="73"/>
      <c r="CS215" s="73"/>
      <c r="CT215" s="73"/>
      <c r="CU215" s="73"/>
      <c r="CV215" s="73"/>
      <c r="CW215" s="73"/>
      <c r="CX215" s="73"/>
      <c r="CY215" s="73"/>
      <c r="CZ215" s="73"/>
      <c r="DA215" s="73"/>
      <c r="DB215" s="73"/>
      <c r="DC215" s="73"/>
      <c r="DD215" s="73"/>
      <c r="DE215" s="73"/>
      <c r="DF215" s="73"/>
      <c r="DG215" s="73"/>
      <c r="DH215" s="73"/>
      <c r="DI215" s="73"/>
      <c r="DJ215" s="73"/>
      <c r="DK215" s="73"/>
      <c r="DL215" s="73"/>
      <c r="DM215" s="73"/>
      <c r="DN215" s="73"/>
      <c r="DO215" s="73"/>
      <c r="DP215" s="73"/>
      <c r="DQ215" s="73"/>
      <c r="DR215" s="73"/>
      <c r="DS215" s="73"/>
      <c r="DT215" s="73"/>
      <c r="DU215" s="73"/>
      <c r="DV215" s="22"/>
      <c r="DW215" s="20"/>
      <c r="DX215" s="22"/>
      <c r="DY215" s="20"/>
      <c r="DZ215" s="22"/>
      <c r="EA215" s="20"/>
      <c r="EB215" s="22"/>
      <c r="EC215" s="20"/>
      <c r="ED215" s="22"/>
      <c r="EE215" s="20"/>
      <c r="EF215" s="22"/>
      <c r="EG215" s="20"/>
      <c r="EH215" s="22"/>
      <c r="EI215" s="20"/>
      <c r="EJ215" s="22"/>
      <c r="EK215" s="20"/>
      <c r="EL215" s="22"/>
      <c r="EM215" s="20"/>
      <c r="EN215" s="22"/>
      <c r="EO215" s="20"/>
      <c r="EP215" s="22"/>
      <c r="EQ215" s="20"/>
      <c r="ER215" s="22"/>
      <c r="ES215" s="20"/>
      <c r="ET215" s="22"/>
      <c r="EU215" s="20"/>
      <c r="EV215" s="22"/>
      <c r="EW215" s="20"/>
      <c r="EX215" s="22"/>
      <c r="EY215" s="20"/>
      <c r="EZ215" s="22"/>
      <c r="FA215" s="20"/>
      <c r="FB215" s="22"/>
      <c r="FC215" s="20"/>
      <c r="FD215" s="22"/>
      <c r="FE215" s="20"/>
      <c r="FF215" s="22"/>
      <c r="FG215" s="20"/>
      <c r="FH215" s="22"/>
      <c r="FI215" s="20"/>
      <c r="FJ215" s="22"/>
      <c r="FK215" s="20"/>
      <c r="FL215" s="22"/>
      <c r="FM215" s="20"/>
      <c r="FN215" s="22"/>
      <c r="FO215" s="20"/>
      <c r="FP215" s="22"/>
      <c r="FQ215" s="20"/>
      <c r="FR215" s="22"/>
      <c r="FS215" s="20"/>
      <c r="FT215" s="22"/>
      <c r="FU215" s="20"/>
      <c r="FV215" s="22"/>
      <c r="FW215" s="20"/>
      <c r="FX215" s="22"/>
      <c r="FY215" s="20"/>
      <c r="FZ215" s="22"/>
      <c r="GA215" s="20"/>
      <c r="GB215" s="22"/>
      <c r="GC215" s="20"/>
      <c r="GD215" s="20">
        <v>2.0</v>
      </c>
      <c r="GE215" s="20"/>
      <c r="GF215" s="22"/>
      <c r="GG215" s="20"/>
      <c r="GH215" s="22"/>
      <c r="GI215" s="20"/>
      <c r="GJ215" s="22"/>
      <c r="GK215" s="20"/>
      <c r="GL215" s="22"/>
      <c r="GM215" s="20"/>
      <c r="GN215" s="22"/>
      <c r="GO215" s="20"/>
      <c r="GP215" s="22"/>
      <c r="GQ215" s="20"/>
      <c r="GR215" s="22"/>
      <c r="GS215" s="20"/>
      <c r="GT215" s="22"/>
      <c r="GU215" s="20"/>
      <c r="GV215" s="22"/>
      <c r="GW215" s="20"/>
      <c r="GX215" s="22"/>
      <c r="GY215" s="20"/>
      <c r="GZ215" s="22"/>
      <c r="HA215" s="20"/>
      <c r="HB215" s="22"/>
      <c r="HC215" s="20"/>
      <c r="HD215" s="22"/>
      <c r="HE215" s="20"/>
      <c r="HF215" s="22"/>
      <c r="HG215" s="20"/>
      <c r="HH215" s="22"/>
      <c r="HI215" s="20"/>
      <c r="HJ215" s="22"/>
      <c r="HK215" s="20"/>
      <c r="HL215" s="22"/>
      <c r="HM215" s="20"/>
      <c r="HN215" s="22"/>
      <c r="HO215" s="20"/>
      <c r="HP215" s="22"/>
      <c r="HQ215" s="20"/>
      <c r="HR215" s="22"/>
      <c r="HS215" s="20"/>
      <c r="HT215" s="22"/>
      <c r="HU215" s="20"/>
      <c r="HV215" s="22"/>
      <c r="HW215" s="20"/>
      <c r="HX215" s="22"/>
      <c r="HY215" s="20"/>
      <c r="HZ215" s="22"/>
      <c r="IA215" s="20"/>
      <c r="IB215" s="22"/>
      <c r="IC215" s="20"/>
      <c r="ID215" s="22"/>
      <c r="IE215" s="20"/>
      <c r="IF215" s="22"/>
      <c r="IG215" s="20"/>
      <c r="IH215" s="22"/>
      <c r="II215" s="20"/>
      <c r="IJ215" s="22"/>
      <c r="IK215" s="20"/>
      <c r="IL215" s="22"/>
      <c r="IM215" s="20"/>
      <c r="IN215" s="22"/>
      <c r="IO215" s="20"/>
      <c r="IP215" s="22"/>
      <c r="IQ215" s="20"/>
      <c r="IR215" s="22"/>
      <c r="IS215" s="20"/>
      <c r="IT215" s="22"/>
      <c r="IU215" s="20"/>
      <c r="IV215" s="22"/>
      <c r="IW215" s="20"/>
      <c r="IX215" s="22"/>
      <c r="IY215" s="20"/>
      <c r="IZ215" s="22"/>
      <c r="JA215" s="20"/>
      <c r="JB215" s="22"/>
      <c r="JC215" s="20"/>
      <c r="JD215" s="22"/>
      <c r="JE215" s="20"/>
      <c r="JF215" s="22"/>
      <c r="JG215" s="20"/>
      <c r="JH215" s="22"/>
      <c r="JI215" s="20"/>
      <c r="JJ215" s="22"/>
      <c r="JK215" s="20"/>
      <c r="JL215" s="22"/>
      <c r="JM215" s="20"/>
      <c r="JN215" s="22"/>
      <c r="JO215" s="20"/>
      <c r="JP215" s="22"/>
      <c r="JQ215" s="20"/>
      <c r="JR215" s="22"/>
      <c r="JS215" s="20"/>
      <c r="JT215" s="22"/>
      <c r="JU215" s="20"/>
      <c r="JV215" s="22"/>
      <c r="JW215" s="20"/>
      <c r="JX215" s="22"/>
      <c r="JY215" s="20"/>
      <c r="JZ215" s="22"/>
      <c r="KA215" s="20"/>
      <c r="KB215" s="22"/>
      <c r="KC215" s="20"/>
      <c r="KD215" s="22"/>
      <c r="KE215" s="20"/>
      <c r="KF215" s="22"/>
      <c r="KG215" s="20"/>
      <c r="KH215" s="22"/>
      <c r="KI215" s="20"/>
      <c r="KJ215" s="22"/>
      <c r="KK215" s="20"/>
      <c r="KL215" s="22"/>
      <c r="KM215" s="20"/>
      <c r="KN215" s="22"/>
      <c r="KO215" s="20"/>
      <c r="KP215" s="22"/>
      <c r="KQ215" s="20"/>
      <c r="KR215" s="22"/>
      <c r="KS215" s="20"/>
      <c r="KT215" s="22"/>
      <c r="KU215" s="20"/>
      <c r="KV215" s="22"/>
      <c r="KW215" s="20"/>
      <c r="KX215" s="22"/>
      <c r="KY215" s="20"/>
      <c r="KZ215" s="22"/>
      <c r="LA215" s="20"/>
      <c r="LB215" s="22"/>
      <c r="LC215" s="20"/>
      <c r="LD215" s="22"/>
      <c r="LE215" s="20"/>
      <c r="LF215" s="22"/>
      <c r="LG215" s="20"/>
      <c r="LH215" s="22"/>
      <c r="LI215" s="20"/>
      <c r="LJ215" s="22"/>
      <c r="LK215" s="20"/>
      <c r="LL215" s="22"/>
      <c r="LM215" s="20"/>
      <c r="LN215" s="22"/>
      <c r="LO215" s="20"/>
      <c r="LP215" s="22"/>
      <c r="LQ215" s="20"/>
      <c r="LR215" s="22"/>
      <c r="LS215" s="20"/>
      <c r="LT215" s="22"/>
      <c r="LU215" s="20"/>
      <c r="LV215" s="22"/>
      <c r="LW215" s="20"/>
      <c r="LX215" s="22"/>
      <c r="LY215" s="20"/>
      <c r="LZ215" s="22"/>
      <c r="MA215" s="20"/>
      <c r="MB215" s="22"/>
      <c r="MC215" s="20"/>
      <c r="MD215" s="22"/>
      <c r="ME215" s="20"/>
      <c r="MF215" s="22"/>
      <c r="MG215" s="20"/>
      <c r="MH215" s="22"/>
      <c r="MI215" s="20"/>
      <c r="MJ215" s="22"/>
      <c r="MK215" s="20"/>
      <c r="ML215" s="22"/>
      <c r="MM215" s="20"/>
      <c r="MN215" s="22"/>
      <c r="MO215" s="20"/>
      <c r="MP215" s="22"/>
      <c r="MQ215" s="20"/>
      <c r="MR215" s="22"/>
      <c r="MS215" s="20"/>
      <c r="MT215" s="22"/>
      <c r="MU215" s="20"/>
      <c r="MV215" s="22"/>
      <c r="MW215" s="20"/>
      <c r="MX215" s="22"/>
      <c r="MY215" s="20"/>
      <c r="MZ215" s="22"/>
      <c r="NA215" s="20"/>
      <c r="NB215" s="22"/>
      <c r="NC215" s="20"/>
      <c r="ND215" s="22"/>
      <c r="NE215" s="20"/>
      <c r="NF215" s="73"/>
    </row>
    <row r="216" hidden="1">
      <c r="A216" s="237"/>
      <c r="B216" s="267"/>
      <c r="C216" s="239">
        <v>46204.0</v>
      </c>
      <c r="D216" s="284" t="s">
        <v>397</v>
      </c>
      <c r="E216" s="242" t="s">
        <v>47</v>
      </c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  <c r="CI216" s="73"/>
      <c r="CJ216" s="73"/>
      <c r="CK216" s="73"/>
      <c r="CL216" s="73"/>
      <c r="CM216" s="73"/>
      <c r="CN216" s="73"/>
      <c r="CO216" s="73"/>
      <c r="CP216" s="73"/>
      <c r="CQ216" s="73"/>
      <c r="CR216" s="73"/>
      <c r="CS216" s="73"/>
      <c r="CT216" s="73"/>
      <c r="CU216" s="73"/>
      <c r="CV216" s="73"/>
      <c r="CW216" s="73"/>
      <c r="CX216" s="73"/>
      <c r="CY216" s="73"/>
      <c r="CZ216" s="73"/>
      <c r="DA216" s="73"/>
      <c r="DB216" s="73"/>
      <c r="DC216" s="73"/>
      <c r="DD216" s="73"/>
      <c r="DE216" s="73"/>
      <c r="DF216" s="73"/>
      <c r="DG216" s="73"/>
      <c r="DH216" s="73"/>
      <c r="DI216" s="73"/>
      <c r="DJ216" s="73"/>
      <c r="DK216" s="73"/>
      <c r="DL216" s="73"/>
      <c r="DM216" s="73"/>
      <c r="DN216" s="73"/>
      <c r="DO216" s="73"/>
      <c r="DP216" s="73"/>
      <c r="DQ216" s="73"/>
      <c r="DR216" s="73"/>
      <c r="DS216" s="73"/>
      <c r="DT216" s="73"/>
      <c r="DU216" s="73"/>
      <c r="DV216" s="22"/>
      <c r="DW216" s="20"/>
      <c r="DX216" s="22"/>
      <c r="DY216" s="20"/>
      <c r="DZ216" s="22"/>
      <c r="EA216" s="20"/>
      <c r="EB216" s="22"/>
      <c r="EC216" s="20"/>
      <c r="ED216" s="22"/>
      <c r="EE216" s="20"/>
      <c r="EF216" s="22"/>
      <c r="EG216" s="20"/>
      <c r="EH216" s="22"/>
      <c r="EI216" s="20"/>
      <c r="EJ216" s="22"/>
      <c r="EK216" s="20"/>
      <c r="EL216" s="22"/>
      <c r="EM216" s="20"/>
      <c r="EN216" s="22"/>
      <c r="EO216" s="20"/>
      <c r="EP216" s="22"/>
      <c r="EQ216" s="20"/>
      <c r="ER216" s="22"/>
      <c r="ES216" s="20"/>
      <c r="ET216" s="22"/>
      <c r="EU216" s="20"/>
      <c r="EV216" s="22"/>
      <c r="EW216" s="20"/>
      <c r="EX216" s="22"/>
      <c r="EY216" s="20"/>
      <c r="EZ216" s="22"/>
      <c r="FA216" s="20"/>
      <c r="FB216" s="22"/>
      <c r="FC216" s="20"/>
      <c r="FD216" s="22"/>
      <c r="FE216" s="20"/>
      <c r="FF216" s="22"/>
      <c r="FG216" s="20"/>
      <c r="FH216" s="22"/>
      <c r="FI216" s="20"/>
      <c r="FJ216" s="22"/>
      <c r="FK216" s="20"/>
      <c r="FL216" s="22"/>
      <c r="FM216" s="20"/>
      <c r="FN216" s="22"/>
      <c r="FO216" s="20"/>
      <c r="FP216" s="22"/>
      <c r="FQ216" s="20"/>
      <c r="FR216" s="22"/>
      <c r="FS216" s="20"/>
      <c r="FT216" s="22"/>
      <c r="FU216" s="20"/>
      <c r="FV216" s="22"/>
      <c r="FW216" s="20"/>
      <c r="FX216" s="22"/>
      <c r="FY216" s="20"/>
      <c r="FZ216" s="22"/>
      <c r="GA216" s="20"/>
      <c r="GB216" s="22"/>
      <c r="GC216" s="20"/>
      <c r="GD216" s="22"/>
      <c r="GE216" s="20">
        <v>2.0</v>
      </c>
      <c r="GF216" s="22"/>
      <c r="GG216" s="20"/>
      <c r="GH216" s="22"/>
      <c r="GI216" s="20"/>
      <c r="GJ216" s="22"/>
      <c r="GK216" s="20"/>
      <c r="GL216" s="22"/>
      <c r="GM216" s="20"/>
      <c r="GN216" s="22"/>
      <c r="GO216" s="20"/>
      <c r="GP216" s="22"/>
      <c r="GQ216" s="20"/>
      <c r="GR216" s="22"/>
      <c r="GS216" s="20"/>
      <c r="GT216" s="22"/>
      <c r="GU216" s="20"/>
      <c r="GV216" s="22"/>
      <c r="GW216" s="20"/>
      <c r="GX216" s="22"/>
      <c r="GY216" s="20"/>
      <c r="GZ216" s="22"/>
      <c r="HA216" s="20"/>
      <c r="HB216" s="22"/>
      <c r="HC216" s="20"/>
      <c r="HD216" s="22"/>
      <c r="HE216" s="20"/>
      <c r="HF216" s="22"/>
      <c r="HG216" s="20"/>
      <c r="HH216" s="22"/>
      <c r="HI216" s="20"/>
      <c r="HJ216" s="22"/>
      <c r="HK216" s="20"/>
      <c r="HL216" s="22"/>
      <c r="HM216" s="20"/>
      <c r="HN216" s="22"/>
      <c r="HO216" s="20"/>
      <c r="HP216" s="22"/>
      <c r="HQ216" s="20"/>
      <c r="HR216" s="22"/>
      <c r="HS216" s="20"/>
      <c r="HT216" s="22"/>
      <c r="HU216" s="20"/>
      <c r="HV216" s="22"/>
      <c r="HW216" s="20"/>
      <c r="HX216" s="22"/>
      <c r="HY216" s="20"/>
      <c r="HZ216" s="22"/>
      <c r="IA216" s="20"/>
      <c r="IB216" s="22"/>
      <c r="IC216" s="20"/>
      <c r="ID216" s="22"/>
      <c r="IE216" s="20"/>
      <c r="IF216" s="22"/>
      <c r="IG216" s="20"/>
      <c r="IH216" s="22"/>
      <c r="II216" s="20"/>
      <c r="IJ216" s="22"/>
      <c r="IK216" s="20"/>
      <c r="IL216" s="22"/>
      <c r="IM216" s="20"/>
      <c r="IN216" s="22"/>
      <c r="IO216" s="20"/>
      <c r="IP216" s="22"/>
      <c r="IQ216" s="20"/>
      <c r="IR216" s="22"/>
      <c r="IS216" s="20"/>
      <c r="IT216" s="22"/>
      <c r="IU216" s="20"/>
      <c r="IV216" s="22"/>
      <c r="IW216" s="20"/>
      <c r="IX216" s="22"/>
      <c r="IY216" s="20"/>
      <c r="IZ216" s="22"/>
      <c r="JA216" s="20"/>
      <c r="JB216" s="22"/>
      <c r="JC216" s="20"/>
      <c r="JD216" s="22"/>
      <c r="JE216" s="20"/>
      <c r="JF216" s="22"/>
      <c r="JG216" s="20"/>
      <c r="JH216" s="22"/>
      <c r="JI216" s="20"/>
      <c r="JJ216" s="22"/>
      <c r="JK216" s="20"/>
      <c r="JL216" s="22"/>
      <c r="JM216" s="20"/>
      <c r="JN216" s="22"/>
      <c r="JO216" s="20"/>
      <c r="JP216" s="22"/>
      <c r="JQ216" s="20"/>
      <c r="JR216" s="22"/>
      <c r="JS216" s="20"/>
      <c r="JT216" s="22"/>
      <c r="JU216" s="20"/>
      <c r="JV216" s="22"/>
      <c r="JW216" s="20"/>
      <c r="JX216" s="22"/>
      <c r="JY216" s="20"/>
      <c r="JZ216" s="22"/>
      <c r="KA216" s="20"/>
      <c r="KB216" s="22"/>
      <c r="KC216" s="20"/>
      <c r="KD216" s="22"/>
      <c r="KE216" s="20"/>
      <c r="KF216" s="22"/>
      <c r="KG216" s="20"/>
      <c r="KH216" s="22"/>
      <c r="KI216" s="20"/>
      <c r="KJ216" s="22"/>
      <c r="KK216" s="20"/>
      <c r="KL216" s="22"/>
      <c r="KM216" s="20"/>
      <c r="KN216" s="22"/>
      <c r="KO216" s="20"/>
      <c r="KP216" s="22"/>
      <c r="KQ216" s="20"/>
      <c r="KR216" s="22"/>
      <c r="KS216" s="20"/>
      <c r="KT216" s="22"/>
      <c r="KU216" s="20"/>
      <c r="KV216" s="22"/>
      <c r="KW216" s="20"/>
      <c r="KX216" s="22"/>
      <c r="KY216" s="20"/>
      <c r="KZ216" s="22"/>
      <c r="LA216" s="20"/>
      <c r="LB216" s="22"/>
      <c r="LC216" s="20"/>
      <c r="LD216" s="22"/>
      <c r="LE216" s="20"/>
      <c r="LF216" s="22"/>
      <c r="LG216" s="20"/>
      <c r="LH216" s="22"/>
      <c r="LI216" s="20"/>
      <c r="LJ216" s="22"/>
      <c r="LK216" s="20"/>
      <c r="LL216" s="22"/>
      <c r="LM216" s="20"/>
      <c r="LN216" s="22"/>
      <c r="LO216" s="20"/>
      <c r="LP216" s="22"/>
      <c r="LQ216" s="20"/>
      <c r="LR216" s="22"/>
      <c r="LS216" s="20"/>
      <c r="LT216" s="22"/>
      <c r="LU216" s="20"/>
      <c r="LV216" s="22"/>
      <c r="LW216" s="20"/>
      <c r="LX216" s="22"/>
      <c r="LY216" s="20"/>
      <c r="LZ216" s="22"/>
      <c r="MA216" s="20"/>
      <c r="MB216" s="22"/>
      <c r="MC216" s="20"/>
      <c r="MD216" s="22"/>
      <c r="ME216" s="20"/>
      <c r="MF216" s="22"/>
      <c r="MG216" s="20"/>
      <c r="MH216" s="22"/>
      <c r="MI216" s="20"/>
      <c r="MJ216" s="22"/>
      <c r="MK216" s="20"/>
      <c r="ML216" s="22"/>
      <c r="MM216" s="20"/>
      <c r="MN216" s="22"/>
      <c r="MO216" s="20"/>
      <c r="MP216" s="22"/>
      <c r="MQ216" s="20"/>
      <c r="MR216" s="22"/>
      <c r="MS216" s="20"/>
      <c r="MT216" s="22"/>
      <c r="MU216" s="20"/>
      <c r="MV216" s="22"/>
      <c r="MW216" s="20"/>
      <c r="MX216" s="22"/>
      <c r="MY216" s="20"/>
      <c r="MZ216" s="22"/>
      <c r="NA216" s="20"/>
      <c r="NB216" s="22"/>
      <c r="NC216" s="20"/>
      <c r="ND216" s="22"/>
      <c r="NE216" s="20"/>
      <c r="NF216" s="73"/>
    </row>
    <row r="217" hidden="1">
      <c r="A217" s="237"/>
      <c r="B217" s="267"/>
      <c r="C217" s="239">
        <v>46204.0</v>
      </c>
      <c r="D217" s="284" t="s">
        <v>398</v>
      </c>
      <c r="E217" s="242" t="s">
        <v>47</v>
      </c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  <c r="CI217" s="73"/>
      <c r="CJ217" s="73"/>
      <c r="CK217" s="73"/>
      <c r="CL217" s="73"/>
      <c r="CM217" s="73"/>
      <c r="CN217" s="73"/>
      <c r="CO217" s="73"/>
      <c r="CP217" s="73"/>
      <c r="CQ217" s="73"/>
      <c r="CR217" s="73"/>
      <c r="CS217" s="73"/>
      <c r="CT217" s="73"/>
      <c r="CU217" s="73"/>
      <c r="CV217" s="73"/>
      <c r="CW217" s="73"/>
      <c r="CX217" s="73"/>
      <c r="CY217" s="73"/>
      <c r="CZ217" s="73"/>
      <c r="DA217" s="73"/>
      <c r="DB217" s="73"/>
      <c r="DC217" s="73"/>
      <c r="DD217" s="73"/>
      <c r="DE217" s="73"/>
      <c r="DF217" s="73"/>
      <c r="DG217" s="73"/>
      <c r="DH217" s="73"/>
      <c r="DI217" s="73"/>
      <c r="DJ217" s="73"/>
      <c r="DK217" s="73"/>
      <c r="DL217" s="73"/>
      <c r="DM217" s="73"/>
      <c r="DN217" s="73"/>
      <c r="DO217" s="73"/>
      <c r="DP217" s="73"/>
      <c r="DQ217" s="73"/>
      <c r="DR217" s="73"/>
      <c r="DS217" s="73"/>
      <c r="DT217" s="73"/>
      <c r="DU217" s="73"/>
      <c r="DV217" s="22"/>
      <c r="DW217" s="20"/>
      <c r="DX217" s="22"/>
      <c r="DY217" s="20"/>
      <c r="DZ217" s="22"/>
      <c r="EA217" s="20"/>
      <c r="EB217" s="22"/>
      <c r="EC217" s="20"/>
      <c r="ED217" s="22"/>
      <c r="EE217" s="20"/>
      <c r="EF217" s="22"/>
      <c r="EG217" s="20"/>
      <c r="EH217" s="22"/>
      <c r="EI217" s="20"/>
      <c r="EJ217" s="22"/>
      <c r="EK217" s="20"/>
      <c r="EL217" s="22"/>
      <c r="EM217" s="20"/>
      <c r="EN217" s="22"/>
      <c r="EO217" s="20"/>
      <c r="EP217" s="22"/>
      <c r="EQ217" s="20"/>
      <c r="ER217" s="22"/>
      <c r="ES217" s="20"/>
      <c r="ET217" s="22"/>
      <c r="EU217" s="20"/>
      <c r="EV217" s="22"/>
      <c r="EW217" s="20"/>
      <c r="EX217" s="22"/>
      <c r="EY217" s="20"/>
      <c r="EZ217" s="22"/>
      <c r="FA217" s="20"/>
      <c r="FB217" s="22"/>
      <c r="FC217" s="20"/>
      <c r="FD217" s="22"/>
      <c r="FE217" s="20"/>
      <c r="FF217" s="22"/>
      <c r="FG217" s="20"/>
      <c r="FH217" s="22"/>
      <c r="FI217" s="20"/>
      <c r="FJ217" s="22"/>
      <c r="FK217" s="20"/>
      <c r="FL217" s="22"/>
      <c r="FM217" s="20"/>
      <c r="FN217" s="22"/>
      <c r="FO217" s="20"/>
      <c r="FP217" s="22"/>
      <c r="FQ217" s="20"/>
      <c r="FR217" s="22"/>
      <c r="FS217" s="20"/>
      <c r="FT217" s="22"/>
      <c r="FU217" s="20"/>
      <c r="FV217" s="22"/>
      <c r="FW217" s="20"/>
      <c r="FX217" s="22"/>
      <c r="FY217" s="20"/>
      <c r="FZ217" s="22"/>
      <c r="GA217" s="20"/>
      <c r="GB217" s="22"/>
      <c r="GC217" s="20"/>
      <c r="GD217" s="22"/>
      <c r="GE217" s="20">
        <v>5.0</v>
      </c>
      <c r="GF217" s="22"/>
      <c r="GG217" s="20"/>
      <c r="GH217" s="22"/>
      <c r="GI217" s="20"/>
      <c r="GJ217" s="22"/>
      <c r="GK217" s="20"/>
      <c r="GL217" s="22"/>
      <c r="GM217" s="20"/>
      <c r="GN217" s="22"/>
      <c r="GO217" s="20"/>
      <c r="GP217" s="22"/>
      <c r="GQ217" s="20"/>
      <c r="GR217" s="22"/>
      <c r="GS217" s="20"/>
      <c r="GT217" s="22"/>
      <c r="GU217" s="20"/>
      <c r="GV217" s="22"/>
      <c r="GW217" s="20"/>
      <c r="GX217" s="22"/>
      <c r="GY217" s="20"/>
      <c r="GZ217" s="22"/>
      <c r="HA217" s="20"/>
      <c r="HB217" s="22"/>
      <c r="HC217" s="20"/>
      <c r="HD217" s="22"/>
      <c r="HE217" s="20"/>
      <c r="HF217" s="22"/>
      <c r="HG217" s="20"/>
      <c r="HH217" s="22"/>
      <c r="HI217" s="20"/>
      <c r="HJ217" s="22"/>
      <c r="HK217" s="20"/>
      <c r="HL217" s="22"/>
      <c r="HM217" s="20"/>
      <c r="HN217" s="22"/>
      <c r="HO217" s="20"/>
      <c r="HP217" s="22"/>
      <c r="HQ217" s="20"/>
      <c r="HR217" s="22"/>
      <c r="HS217" s="20"/>
      <c r="HT217" s="22"/>
      <c r="HU217" s="20"/>
      <c r="HV217" s="22"/>
      <c r="HW217" s="20"/>
      <c r="HX217" s="22"/>
      <c r="HY217" s="20"/>
      <c r="HZ217" s="22"/>
      <c r="IA217" s="20"/>
      <c r="IB217" s="22"/>
      <c r="IC217" s="20"/>
      <c r="ID217" s="22"/>
      <c r="IE217" s="20"/>
      <c r="IF217" s="22"/>
      <c r="IG217" s="20"/>
      <c r="IH217" s="22"/>
      <c r="II217" s="20"/>
      <c r="IJ217" s="22"/>
      <c r="IK217" s="20"/>
      <c r="IL217" s="22"/>
      <c r="IM217" s="20"/>
      <c r="IN217" s="22"/>
      <c r="IO217" s="20"/>
      <c r="IP217" s="22"/>
      <c r="IQ217" s="20"/>
      <c r="IR217" s="22"/>
      <c r="IS217" s="20"/>
      <c r="IT217" s="22"/>
      <c r="IU217" s="20"/>
      <c r="IV217" s="22"/>
      <c r="IW217" s="20"/>
      <c r="IX217" s="22"/>
      <c r="IY217" s="20"/>
      <c r="IZ217" s="22"/>
      <c r="JA217" s="20"/>
      <c r="JB217" s="22"/>
      <c r="JC217" s="20"/>
      <c r="JD217" s="22"/>
      <c r="JE217" s="20"/>
      <c r="JF217" s="22"/>
      <c r="JG217" s="20"/>
      <c r="JH217" s="22"/>
      <c r="JI217" s="20"/>
      <c r="JJ217" s="22"/>
      <c r="JK217" s="20"/>
      <c r="JL217" s="22"/>
      <c r="JM217" s="20"/>
      <c r="JN217" s="22"/>
      <c r="JO217" s="20"/>
      <c r="JP217" s="22"/>
      <c r="JQ217" s="20"/>
      <c r="JR217" s="22"/>
      <c r="JS217" s="20"/>
      <c r="JT217" s="22"/>
      <c r="JU217" s="20"/>
      <c r="JV217" s="22"/>
      <c r="JW217" s="20"/>
      <c r="JX217" s="22"/>
      <c r="JY217" s="20"/>
      <c r="JZ217" s="22"/>
      <c r="KA217" s="20"/>
      <c r="KB217" s="22"/>
      <c r="KC217" s="20"/>
      <c r="KD217" s="22"/>
      <c r="KE217" s="20"/>
      <c r="KF217" s="22"/>
      <c r="KG217" s="20"/>
      <c r="KH217" s="22"/>
      <c r="KI217" s="20"/>
      <c r="KJ217" s="22"/>
      <c r="KK217" s="20"/>
      <c r="KL217" s="22"/>
      <c r="KM217" s="20"/>
      <c r="KN217" s="22"/>
      <c r="KO217" s="20"/>
      <c r="KP217" s="22"/>
      <c r="KQ217" s="20"/>
      <c r="KR217" s="22"/>
      <c r="KS217" s="20"/>
      <c r="KT217" s="22"/>
      <c r="KU217" s="20"/>
      <c r="KV217" s="22"/>
      <c r="KW217" s="20"/>
      <c r="KX217" s="22"/>
      <c r="KY217" s="20"/>
      <c r="KZ217" s="22"/>
      <c r="LA217" s="20"/>
      <c r="LB217" s="22"/>
      <c r="LC217" s="20"/>
      <c r="LD217" s="22"/>
      <c r="LE217" s="20"/>
      <c r="LF217" s="22"/>
      <c r="LG217" s="20"/>
      <c r="LH217" s="22"/>
      <c r="LI217" s="20"/>
      <c r="LJ217" s="22"/>
      <c r="LK217" s="20"/>
      <c r="LL217" s="22"/>
      <c r="LM217" s="20"/>
      <c r="LN217" s="22"/>
      <c r="LO217" s="20"/>
      <c r="LP217" s="22"/>
      <c r="LQ217" s="20"/>
      <c r="LR217" s="22"/>
      <c r="LS217" s="20"/>
      <c r="LT217" s="22"/>
      <c r="LU217" s="20"/>
      <c r="LV217" s="22"/>
      <c r="LW217" s="20"/>
      <c r="LX217" s="22"/>
      <c r="LY217" s="20"/>
      <c r="LZ217" s="22"/>
      <c r="MA217" s="20"/>
      <c r="MB217" s="22"/>
      <c r="MC217" s="20"/>
      <c r="MD217" s="22"/>
      <c r="ME217" s="20"/>
      <c r="MF217" s="22"/>
      <c r="MG217" s="20"/>
      <c r="MH217" s="22"/>
      <c r="MI217" s="20"/>
      <c r="MJ217" s="22"/>
      <c r="MK217" s="20"/>
      <c r="ML217" s="22"/>
      <c r="MM217" s="20"/>
      <c r="MN217" s="22"/>
      <c r="MO217" s="20"/>
      <c r="MP217" s="22"/>
      <c r="MQ217" s="20"/>
      <c r="MR217" s="22"/>
      <c r="MS217" s="20"/>
      <c r="MT217" s="22"/>
      <c r="MU217" s="20"/>
      <c r="MV217" s="22"/>
      <c r="MW217" s="20"/>
      <c r="MX217" s="22"/>
      <c r="MY217" s="20"/>
      <c r="MZ217" s="22"/>
      <c r="NA217" s="20"/>
      <c r="NB217" s="22"/>
      <c r="NC217" s="20"/>
      <c r="ND217" s="22"/>
      <c r="NE217" s="20"/>
      <c r="NF217" s="73"/>
    </row>
    <row r="218" hidden="1">
      <c r="A218" s="237"/>
      <c r="B218" s="267"/>
      <c r="C218" s="239">
        <v>46209.0</v>
      </c>
      <c r="D218" s="284" t="s">
        <v>399</v>
      </c>
      <c r="E218" s="242" t="s">
        <v>47</v>
      </c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  <c r="CI218" s="73"/>
      <c r="CJ218" s="73"/>
      <c r="CK218" s="73"/>
      <c r="CL218" s="73"/>
      <c r="CM218" s="73"/>
      <c r="CN218" s="73"/>
      <c r="CO218" s="73"/>
      <c r="CP218" s="73"/>
      <c r="CQ218" s="73"/>
      <c r="CR218" s="73"/>
      <c r="CS218" s="73"/>
      <c r="CT218" s="73"/>
      <c r="CU218" s="73"/>
      <c r="CV218" s="73"/>
      <c r="CW218" s="73"/>
      <c r="CX218" s="73"/>
      <c r="CY218" s="73"/>
      <c r="CZ218" s="73"/>
      <c r="DA218" s="73"/>
      <c r="DB218" s="73"/>
      <c r="DC218" s="73"/>
      <c r="DD218" s="73"/>
      <c r="DE218" s="73"/>
      <c r="DF218" s="73"/>
      <c r="DG218" s="73"/>
      <c r="DH218" s="73"/>
      <c r="DI218" s="73"/>
      <c r="DJ218" s="73"/>
      <c r="DK218" s="73"/>
      <c r="DL218" s="73"/>
      <c r="DM218" s="73"/>
      <c r="DN218" s="73"/>
      <c r="DO218" s="73"/>
      <c r="DP218" s="73"/>
      <c r="DQ218" s="73"/>
      <c r="DR218" s="73"/>
      <c r="DS218" s="73"/>
      <c r="DT218" s="73"/>
      <c r="DU218" s="73"/>
      <c r="DV218" s="22"/>
      <c r="DW218" s="20"/>
      <c r="DX218" s="22"/>
      <c r="DY218" s="20"/>
      <c r="DZ218" s="22"/>
      <c r="EA218" s="20"/>
      <c r="EB218" s="22"/>
      <c r="EC218" s="20"/>
      <c r="ED218" s="22"/>
      <c r="EE218" s="20"/>
      <c r="EF218" s="22"/>
      <c r="EG218" s="20"/>
      <c r="EH218" s="22"/>
      <c r="EI218" s="20"/>
      <c r="EJ218" s="22"/>
      <c r="EK218" s="20"/>
      <c r="EL218" s="22"/>
      <c r="EM218" s="20"/>
      <c r="EN218" s="22"/>
      <c r="EO218" s="20"/>
      <c r="EP218" s="22"/>
      <c r="EQ218" s="20"/>
      <c r="ER218" s="22"/>
      <c r="ES218" s="20"/>
      <c r="ET218" s="22"/>
      <c r="EU218" s="20"/>
      <c r="EV218" s="22"/>
      <c r="EW218" s="20"/>
      <c r="EX218" s="22"/>
      <c r="EY218" s="20"/>
      <c r="EZ218" s="22"/>
      <c r="FA218" s="20"/>
      <c r="FB218" s="22"/>
      <c r="FC218" s="20"/>
      <c r="FD218" s="22"/>
      <c r="FE218" s="20"/>
      <c r="FF218" s="22"/>
      <c r="FG218" s="20"/>
      <c r="FH218" s="22"/>
      <c r="FI218" s="20"/>
      <c r="FJ218" s="22"/>
      <c r="FK218" s="20"/>
      <c r="FL218" s="22"/>
      <c r="FM218" s="20"/>
      <c r="FN218" s="22"/>
      <c r="FO218" s="20"/>
      <c r="FP218" s="22"/>
      <c r="FQ218" s="20"/>
      <c r="FR218" s="22"/>
      <c r="FS218" s="20"/>
      <c r="FT218" s="22"/>
      <c r="FU218" s="20"/>
      <c r="FV218" s="22"/>
      <c r="FW218" s="20"/>
      <c r="FX218" s="22"/>
      <c r="FY218" s="20"/>
      <c r="FZ218" s="22"/>
      <c r="GA218" s="20"/>
      <c r="GB218" s="22"/>
      <c r="GC218" s="20"/>
      <c r="GD218" s="22"/>
      <c r="GE218" s="20"/>
      <c r="GF218" s="20">
        <v>3.0</v>
      </c>
      <c r="GG218" s="20">
        <v>2.0</v>
      </c>
      <c r="GH218" s="22"/>
      <c r="GI218" s="20"/>
      <c r="GJ218" s="22"/>
      <c r="GK218" s="20"/>
      <c r="GL218" s="22"/>
      <c r="GM218" s="20"/>
      <c r="GN218" s="22"/>
      <c r="GO218" s="20"/>
      <c r="GP218" s="22"/>
      <c r="GQ218" s="20"/>
      <c r="GR218" s="22"/>
      <c r="GS218" s="20"/>
      <c r="GT218" s="22"/>
      <c r="GU218" s="20"/>
      <c r="GV218" s="22"/>
      <c r="GW218" s="20"/>
      <c r="GX218" s="22"/>
      <c r="GY218" s="20"/>
      <c r="GZ218" s="22"/>
      <c r="HA218" s="20"/>
      <c r="HB218" s="22"/>
      <c r="HC218" s="20"/>
      <c r="HD218" s="22"/>
      <c r="HE218" s="20"/>
      <c r="HF218" s="22"/>
      <c r="HG218" s="20"/>
      <c r="HH218" s="22"/>
      <c r="HI218" s="20"/>
      <c r="HJ218" s="22"/>
      <c r="HK218" s="20"/>
      <c r="HL218" s="22"/>
      <c r="HM218" s="20"/>
      <c r="HN218" s="22"/>
      <c r="HO218" s="20"/>
      <c r="HP218" s="22"/>
      <c r="HQ218" s="20"/>
      <c r="HR218" s="22"/>
      <c r="HS218" s="20"/>
      <c r="HT218" s="22"/>
      <c r="HU218" s="20"/>
      <c r="HV218" s="22"/>
      <c r="HW218" s="20"/>
      <c r="HX218" s="22"/>
      <c r="HY218" s="20"/>
      <c r="HZ218" s="22"/>
      <c r="IA218" s="20"/>
      <c r="IB218" s="22"/>
      <c r="IC218" s="20"/>
      <c r="ID218" s="22"/>
      <c r="IE218" s="20"/>
      <c r="IF218" s="22"/>
      <c r="IG218" s="20"/>
      <c r="IH218" s="22"/>
      <c r="II218" s="20"/>
      <c r="IJ218" s="22"/>
      <c r="IK218" s="20"/>
      <c r="IL218" s="22"/>
      <c r="IM218" s="20"/>
      <c r="IN218" s="22"/>
      <c r="IO218" s="20"/>
      <c r="IP218" s="22"/>
      <c r="IQ218" s="20"/>
      <c r="IR218" s="22"/>
      <c r="IS218" s="20"/>
      <c r="IT218" s="22"/>
      <c r="IU218" s="20"/>
      <c r="IV218" s="22"/>
      <c r="IW218" s="20"/>
      <c r="IX218" s="22"/>
      <c r="IY218" s="20"/>
      <c r="IZ218" s="22"/>
      <c r="JA218" s="20"/>
      <c r="JB218" s="22"/>
      <c r="JC218" s="20"/>
      <c r="JD218" s="22"/>
      <c r="JE218" s="20"/>
      <c r="JF218" s="22"/>
      <c r="JG218" s="20"/>
      <c r="JH218" s="22"/>
      <c r="JI218" s="20"/>
      <c r="JJ218" s="22"/>
      <c r="JK218" s="20"/>
      <c r="JL218" s="22"/>
      <c r="JM218" s="20"/>
      <c r="JN218" s="22"/>
      <c r="JO218" s="20"/>
      <c r="JP218" s="22"/>
      <c r="JQ218" s="20"/>
      <c r="JR218" s="22"/>
      <c r="JS218" s="20"/>
      <c r="JT218" s="22"/>
      <c r="JU218" s="20"/>
      <c r="JV218" s="22"/>
      <c r="JW218" s="20"/>
      <c r="JX218" s="22"/>
      <c r="JY218" s="20"/>
      <c r="JZ218" s="22"/>
      <c r="KA218" s="20"/>
      <c r="KB218" s="22"/>
      <c r="KC218" s="20"/>
      <c r="KD218" s="22"/>
      <c r="KE218" s="20"/>
      <c r="KF218" s="22"/>
      <c r="KG218" s="20"/>
      <c r="KH218" s="22"/>
      <c r="KI218" s="20"/>
      <c r="KJ218" s="22"/>
      <c r="KK218" s="20"/>
      <c r="KL218" s="22"/>
      <c r="KM218" s="20"/>
      <c r="KN218" s="22"/>
      <c r="KO218" s="20"/>
      <c r="KP218" s="22"/>
      <c r="KQ218" s="20"/>
      <c r="KR218" s="22"/>
      <c r="KS218" s="20"/>
      <c r="KT218" s="22"/>
      <c r="KU218" s="20"/>
      <c r="KV218" s="22"/>
      <c r="KW218" s="20"/>
      <c r="KX218" s="22"/>
      <c r="KY218" s="20"/>
      <c r="KZ218" s="22"/>
      <c r="LA218" s="20"/>
      <c r="LB218" s="22"/>
      <c r="LC218" s="20"/>
      <c r="LD218" s="22"/>
      <c r="LE218" s="20"/>
      <c r="LF218" s="22"/>
      <c r="LG218" s="20"/>
      <c r="LH218" s="22"/>
      <c r="LI218" s="20"/>
      <c r="LJ218" s="22"/>
      <c r="LK218" s="20"/>
      <c r="LL218" s="22"/>
      <c r="LM218" s="20"/>
      <c r="LN218" s="22"/>
      <c r="LO218" s="20"/>
      <c r="LP218" s="22"/>
      <c r="LQ218" s="20"/>
      <c r="LR218" s="22"/>
      <c r="LS218" s="20"/>
      <c r="LT218" s="22"/>
      <c r="LU218" s="20"/>
      <c r="LV218" s="22"/>
      <c r="LW218" s="20"/>
      <c r="LX218" s="22"/>
      <c r="LY218" s="20"/>
      <c r="LZ218" s="22"/>
      <c r="MA218" s="20"/>
      <c r="MB218" s="22"/>
      <c r="MC218" s="20"/>
      <c r="MD218" s="22"/>
      <c r="ME218" s="20"/>
      <c r="MF218" s="22"/>
      <c r="MG218" s="20"/>
      <c r="MH218" s="22"/>
      <c r="MI218" s="20"/>
      <c r="MJ218" s="22"/>
      <c r="MK218" s="20"/>
      <c r="ML218" s="22"/>
      <c r="MM218" s="20"/>
      <c r="MN218" s="22"/>
      <c r="MO218" s="20"/>
      <c r="MP218" s="22"/>
      <c r="MQ218" s="20"/>
      <c r="MR218" s="22"/>
      <c r="MS218" s="20"/>
      <c r="MT218" s="22"/>
      <c r="MU218" s="20"/>
      <c r="MV218" s="22"/>
      <c r="MW218" s="20"/>
      <c r="MX218" s="22"/>
      <c r="MY218" s="20"/>
      <c r="MZ218" s="22"/>
      <c r="NA218" s="20"/>
      <c r="NB218" s="22"/>
      <c r="NC218" s="20"/>
      <c r="ND218" s="22"/>
      <c r="NE218" s="20"/>
      <c r="NF218" s="73"/>
    </row>
    <row r="219" hidden="1">
      <c r="A219" s="237"/>
      <c r="B219" s="267"/>
      <c r="C219" s="239">
        <v>46210.0</v>
      </c>
      <c r="D219" s="284" t="s">
        <v>400</v>
      </c>
      <c r="E219" s="242" t="s">
        <v>47</v>
      </c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  <c r="CI219" s="73"/>
      <c r="CJ219" s="73"/>
      <c r="CK219" s="73"/>
      <c r="CL219" s="73"/>
      <c r="CM219" s="73"/>
      <c r="CN219" s="73"/>
      <c r="CO219" s="73"/>
      <c r="CP219" s="73"/>
      <c r="CQ219" s="73"/>
      <c r="CR219" s="73"/>
      <c r="CS219" s="73"/>
      <c r="CT219" s="73"/>
      <c r="CU219" s="73"/>
      <c r="CV219" s="73"/>
      <c r="CW219" s="73"/>
      <c r="CX219" s="73"/>
      <c r="CY219" s="73"/>
      <c r="CZ219" s="73"/>
      <c r="DA219" s="73"/>
      <c r="DB219" s="73"/>
      <c r="DC219" s="73"/>
      <c r="DD219" s="73"/>
      <c r="DE219" s="73"/>
      <c r="DF219" s="73"/>
      <c r="DG219" s="73"/>
      <c r="DH219" s="73"/>
      <c r="DI219" s="73"/>
      <c r="DJ219" s="73"/>
      <c r="DK219" s="73"/>
      <c r="DL219" s="73"/>
      <c r="DM219" s="73"/>
      <c r="DN219" s="73"/>
      <c r="DO219" s="73"/>
      <c r="DP219" s="73"/>
      <c r="DQ219" s="73"/>
      <c r="DR219" s="73"/>
      <c r="DS219" s="73"/>
      <c r="DT219" s="73"/>
      <c r="DU219" s="73"/>
      <c r="DV219" s="22"/>
      <c r="DW219" s="20"/>
      <c r="DX219" s="22"/>
      <c r="DY219" s="20"/>
      <c r="DZ219" s="22"/>
      <c r="EA219" s="20"/>
      <c r="EB219" s="22"/>
      <c r="EC219" s="20"/>
      <c r="ED219" s="22"/>
      <c r="EE219" s="20"/>
      <c r="EF219" s="22"/>
      <c r="EG219" s="20"/>
      <c r="EH219" s="22"/>
      <c r="EI219" s="20"/>
      <c r="EJ219" s="22"/>
      <c r="EK219" s="20"/>
      <c r="EL219" s="22"/>
      <c r="EM219" s="20"/>
      <c r="EN219" s="22"/>
      <c r="EO219" s="20"/>
      <c r="EP219" s="22"/>
      <c r="EQ219" s="20"/>
      <c r="ER219" s="22"/>
      <c r="ES219" s="20"/>
      <c r="ET219" s="22"/>
      <c r="EU219" s="20"/>
      <c r="EV219" s="22"/>
      <c r="EW219" s="20"/>
      <c r="EX219" s="22"/>
      <c r="EY219" s="20"/>
      <c r="EZ219" s="22"/>
      <c r="FA219" s="20"/>
      <c r="FB219" s="22"/>
      <c r="FC219" s="20"/>
      <c r="FD219" s="22"/>
      <c r="FE219" s="20"/>
      <c r="FF219" s="22"/>
      <c r="FG219" s="20"/>
      <c r="FH219" s="22"/>
      <c r="FI219" s="20"/>
      <c r="FJ219" s="22"/>
      <c r="FK219" s="20"/>
      <c r="FL219" s="22"/>
      <c r="FM219" s="20"/>
      <c r="FN219" s="22"/>
      <c r="FO219" s="20"/>
      <c r="FP219" s="22"/>
      <c r="FQ219" s="20"/>
      <c r="FR219" s="22"/>
      <c r="FS219" s="20"/>
      <c r="FT219" s="22"/>
      <c r="FU219" s="20"/>
      <c r="FV219" s="22"/>
      <c r="FW219" s="20"/>
      <c r="FX219" s="22"/>
      <c r="FY219" s="20"/>
      <c r="FZ219" s="22"/>
      <c r="GA219" s="20"/>
      <c r="GB219" s="22"/>
      <c r="GC219" s="20"/>
      <c r="GD219" s="22"/>
      <c r="GE219" s="20"/>
      <c r="GF219" s="22"/>
      <c r="GG219" s="20"/>
      <c r="GH219" s="22"/>
      <c r="GI219" s="20"/>
      <c r="GJ219" s="20">
        <v>2.0</v>
      </c>
      <c r="GK219" s="20">
        <v>3.0</v>
      </c>
      <c r="GL219" s="22"/>
      <c r="GM219" s="20"/>
      <c r="GN219" s="22"/>
      <c r="GO219" s="20"/>
      <c r="GP219" s="22"/>
      <c r="GQ219" s="20"/>
      <c r="GR219" s="22"/>
      <c r="GS219" s="20"/>
      <c r="GT219" s="22"/>
      <c r="GU219" s="20"/>
      <c r="GV219" s="22"/>
      <c r="GW219" s="20"/>
      <c r="GX219" s="22"/>
      <c r="GY219" s="20"/>
      <c r="GZ219" s="22"/>
      <c r="HA219" s="20"/>
      <c r="HB219" s="22"/>
      <c r="HC219" s="20"/>
      <c r="HD219" s="22"/>
      <c r="HE219" s="20"/>
      <c r="HF219" s="22"/>
      <c r="HG219" s="20"/>
      <c r="HH219" s="22"/>
      <c r="HI219" s="20"/>
      <c r="HJ219" s="22"/>
      <c r="HK219" s="20"/>
      <c r="HL219" s="22"/>
      <c r="HM219" s="20"/>
      <c r="HN219" s="22"/>
      <c r="HO219" s="20"/>
      <c r="HP219" s="22"/>
      <c r="HQ219" s="20"/>
      <c r="HR219" s="22"/>
      <c r="HS219" s="20"/>
      <c r="HT219" s="22"/>
      <c r="HU219" s="20"/>
      <c r="HV219" s="22"/>
      <c r="HW219" s="20"/>
      <c r="HX219" s="22"/>
      <c r="HY219" s="20"/>
      <c r="HZ219" s="22"/>
      <c r="IA219" s="20"/>
      <c r="IB219" s="22"/>
      <c r="IC219" s="20"/>
      <c r="ID219" s="22"/>
      <c r="IE219" s="20"/>
      <c r="IF219" s="22"/>
      <c r="IG219" s="20"/>
      <c r="IH219" s="22"/>
      <c r="II219" s="20"/>
      <c r="IJ219" s="22"/>
      <c r="IK219" s="20"/>
      <c r="IL219" s="22"/>
      <c r="IM219" s="20"/>
      <c r="IN219" s="22"/>
      <c r="IO219" s="20"/>
      <c r="IP219" s="22"/>
      <c r="IQ219" s="20"/>
      <c r="IR219" s="22"/>
      <c r="IS219" s="20"/>
      <c r="IT219" s="22"/>
      <c r="IU219" s="20"/>
      <c r="IV219" s="22"/>
      <c r="IW219" s="20"/>
      <c r="IX219" s="22"/>
      <c r="IY219" s="20"/>
      <c r="IZ219" s="22"/>
      <c r="JA219" s="20"/>
      <c r="JB219" s="22"/>
      <c r="JC219" s="20"/>
      <c r="JD219" s="22"/>
      <c r="JE219" s="20"/>
      <c r="JF219" s="22"/>
      <c r="JG219" s="20"/>
      <c r="JH219" s="22"/>
      <c r="JI219" s="20"/>
      <c r="JJ219" s="22"/>
      <c r="JK219" s="20"/>
      <c r="JL219" s="22"/>
      <c r="JM219" s="20"/>
      <c r="JN219" s="22"/>
      <c r="JO219" s="20"/>
      <c r="JP219" s="22"/>
      <c r="JQ219" s="20"/>
      <c r="JR219" s="22"/>
      <c r="JS219" s="20"/>
      <c r="JT219" s="22"/>
      <c r="JU219" s="20"/>
      <c r="JV219" s="22"/>
      <c r="JW219" s="20"/>
      <c r="JX219" s="22"/>
      <c r="JY219" s="20"/>
      <c r="JZ219" s="22"/>
      <c r="KA219" s="20"/>
      <c r="KB219" s="22"/>
      <c r="KC219" s="20"/>
      <c r="KD219" s="22"/>
      <c r="KE219" s="20"/>
      <c r="KF219" s="22"/>
      <c r="KG219" s="20"/>
      <c r="KH219" s="22"/>
      <c r="KI219" s="20"/>
      <c r="KJ219" s="22"/>
      <c r="KK219" s="20"/>
      <c r="KL219" s="22"/>
      <c r="KM219" s="20"/>
      <c r="KN219" s="22"/>
      <c r="KO219" s="20"/>
      <c r="KP219" s="22"/>
      <c r="KQ219" s="20"/>
      <c r="KR219" s="22"/>
      <c r="KS219" s="20"/>
      <c r="KT219" s="22"/>
      <c r="KU219" s="20"/>
      <c r="KV219" s="22"/>
      <c r="KW219" s="20"/>
      <c r="KX219" s="22"/>
      <c r="KY219" s="20"/>
      <c r="KZ219" s="22"/>
      <c r="LA219" s="20"/>
      <c r="LB219" s="22"/>
      <c r="LC219" s="20"/>
      <c r="LD219" s="22"/>
      <c r="LE219" s="20"/>
      <c r="LF219" s="22"/>
      <c r="LG219" s="20"/>
      <c r="LH219" s="22"/>
      <c r="LI219" s="20"/>
      <c r="LJ219" s="22"/>
      <c r="LK219" s="20"/>
      <c r="LL219" s="22"/>
      <c r="LM219" s="20"/>
      <c r="LN219" s="22"/>
      <c r="LO219" s="20"/>
      <c r="LP219" s="22"/>
      <c r="LQ219" s="20"/>
      <c r="LR219" s="22"/>
      <c r="LS219" s="20"/>
      <c r="LT219" s="22"/>
      <c r="LU219" s="20"/>
      <c r="LV219" s="22"/>
      <c r="LW219" s="20"/>
      <c r="LX219" s="22"/>
      <c r="LY219" s="20"/>
      <c r="LZ219" s="22"/>
      <c r="MA219" s="20"/>
      <c r="MB219" s="22"/>
      <c r="MC219" s="20"/>
      <c r="MD219" s="22"/>
      <c r="ME219" s="20"/>
      <c r="MF219" s="22"/>
      <c r="MG219" s="20"/>
      <c r="MH219" s="22"/>
      <c r="MI219" s="20"/>
      <c r="MJ219" s="22"/>
      <c r="MK219" s="20"/>
      <c r="ML219" s="22"/>
      <c r="MM219" s="20"/>
      <c r="MN219" s="22"/>
      <c r="MO219" s="20"/>
      <c r="MP219" s="22"/>
      <c r="MQ219" s="20"/>
      <c r="MR219" s="22"/>
      <c r="MS219" s="20"/>
      <c r="MT219" s="22"/>
      <c r="MU219" s="20"/>
      <c r="MV219" s="22"/>
      <c r="MW219" s="20"/>
      <c r="MX219" s="22"/>
      <c r="MY219" s="20"/>
      <c r="MZ219" s="22"/>
      <c r="NA219" s="20"/>
      <c r="NB219" s="22"/>
      <c r="NC219" s="20"/>
      <c r="ND219" s="22"/>
      <c r="NE219" s="20"/>
      <c r="NF219" s="73"/>
    </row>
    <row r="220" hidden="1">
      <c r="A220" s="237"/>
      <c r="B220" s="267"/>
      <c r="C220" s="239">
        <v>46213.0</v>
      </c>
      <c r="D220" s="284" t="s">
        <v>401</v>
      </c>
      <c r="E220" s="242" t="s">
        <v>47</v>
      </c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3"/>
      <c r="CN220" s="73"/>
      <c r="CO220" s="73"/>
      <c r="CP220" s="73"/>
      <c r="CQ220" s="73"/>
      <c r="CR220" s="73"/>
      <c r="CS220" s="73"/>
      <c r="CT220" s="73"/>
      <c r="CU220" s="73"/>
      <c r="CV220" s="73"/>
      <c r="CW220" s="73"/>
      <c r="CX220" s="73"/>
      <c r="CY220" s="73"/>
      <c r="CZ220" s="73"/>
      <c r="DA220" s="73"/>
      <c r="DB220" s="73"/>
      <c r="DC220" s="73"/>
      <c r="DD220" s="73"/>
      <c r="DE220" s="73"/>
      <c r="DF220" s="73"/>
      <c r="DG220" s="73"/>
      <c r="DH220" s="73"/>
      <c r="DI220" s="73"/>
      <c r="DJ220" s="73"/>
      <c r="DK220" s="73"/>
      <c r="DL220" s="73"/>
      <c r="DM220" s="73"/>
      <c r="DN220" s="73"/>
      <c r="DO220" s="73"/>
      <c r="DP220" s="73"/>
      <c r="DQ220" s="73"/>
      <c r="DR220" s="73"/>
      <c r="DS220" s="73"/>
      <c r="DT220" s="73"/>
      <c r="DU220" s="73"/>
      <c r="DV220" s="22"/>
      <c r="DW220" s="20"/>
      <c r="DX220" s="22"/>
      <c r="DY220" s="20"/>
      <c r="DZ220" s="22"/>
      <c r="EA220" s="20"/>
      <c r="EB220" s="22"/>
      <c r="EC220" s="20"/>
      <c r="ED220" s="22"/>
      <c r="EE220" s="20"/>
      <c r="EF220" s="22"/>
      <c r="EG220" s="20"/>
      <c r="EH220" s="22"/>
      <c r="EI220" s="20"/>
      <c r="EJ220" s="22"/>
      <c r="EK220" s="20"/>
      <c r="EL220" s="22"/>
      <c r="EM220" s="20"/>
      <c r="EN220" s="22"/>
      <c r="EO220" s="20"/>
      <c r="EP220" s="22"/>
      <c r="EQ220" s="20"/>
      <c r="ER220" s="22"/>
      <c r="ES220" s="20"/>
      <c r="ET220" s="22"/>
      <c r="EU220" s="20"/>
      <c r="EV220" s="22"/>
      <c r="EW220" s="20"/>
      <c r="EX220" s="22"/>
      <c r="EY220" s="20"/>
      <c r="EZ220" s="22"/>
      <c r="FA220" s="20"/>
      <c r="FB220" s="22"/>
      <c r="FC220" s="20"/>
      <c r="FD220" s="22"/>
      <c r="FE220" s="20"/>
      <c r="FF220" s="22"/>
      <c r="FG220" s="20"/>
      <c r="FH220" s="22"/>
      <c r="FI220" s="20"/>
      <c r="FJ220" s="22"/>
      <c r="FK220" s="20"/>
      <c r="FL220" s="22"/>
      <c r="FM220" s="20"/>
      <c r="FN220" s="22"/>
      <c r="FO220" s="20"/>
      <c r="FP220" s="22"/>
      <c r="FQ220" s="20"/>
      <c r="FR220" s="22"/>
      <c r="FS220" s="20"/>
      <c r="FT220" s="22"/>
      <c r="FU220" s="20"/>
      <c r="FV220" s="22"/>
      <c r="FW220" s="20"/>
      <c r="FX220" s="22"/>
      <c r="FY220" s="20"/>
      <c r="FZ220" s="22"/>
      <c r="GA220" s="20"/>
      <c r="GB220" s="22"/>
      <c r="GC220" s="20"/>
      <c r="GD220" s="22"/>
      <c r="GE220" s="20"/>
      <c r="GF220" s="22"/>
      <c r="GG220" s="20"/>
      <c r="GH220" s="22"/>
      <c r="GI220" s="20"/>
      <c r="GJ220" s="22"/>
      <c r="GK220" s="20">
        <v>3.0</v>
      </c>
      <c r="GL220" s="22"/>
      <c r="GM220" s="20"/>
      <c r="GN220" s="22"/>
      <c r="GO220" s="20"/>
      <c r="GP220" s="22"/>
      <c r="GQ220" s="20"/>
      <c r="GR220" s="22"/>
      <c r="GS220" s="20"/>
      <c r="GT220" s="22"/>
      <c r="GU220" s="20"/>
      <c r="GV220" s="22"/>
      <c r="GW220" s="20"/>
      <c r="GX220" s="22"/>
      <c r="GY220" s="20"/>
      <c r="GZ220" s="22"/>
      <c r="HA220" s="20"/>
      <c r="HB220" s="22"/>
      <c r="HC220" s="20"/>
      <c r="HD220" s="22"/>
      <c r="HE220" s="20"/>
      <c r="HF220" s="22"/>
      <c r="HG220" s="20"/>
      <c r="HH220" s="22"/>
      <c r="HI220" s="20"/>
      <c r="HJ220" s="22"/>
      <c r="HK220" s="20"/>
      <c r="HL220" s="22"/>
      <c r="HM220" s="20"/>
      <c r="HN220" s="22"/>
      <c r="HO220" s="20"/>
      <c r="HP220" s="22"/>
      <c r="HQ220" s="20"/>
      <c r="HR220" s="22"/>
      <c r="HS220" s="20"/>
      <c r="HT220" s="22"/>
      <c r="HU220" s="20"/>
      <c r="HV220" s="22"/>
      <c r="HW220" s="20"/>
      <c r="HX220" s="22"/>
      <c r="HY220" s="20"/>
      <c r="HZ220" s="22"/>
      <c r="IA220" s="20"/>
      <c r="IB220" s="22"/>
      <c r="IC220" s="20"/>
      <c r="ID220" s="22"/>
      <c r="IE220" s="20"/>
      <c r="IF220" s="22"/>
      <c r="IG220" s="20"/>
      <c r="IH220" s="22"/>
      <c r="II220" s="20"/>
      <c r="IJ220" s="22"/>
      <c r="IK220" s="20"/>
      <c r="IL220" s="22"/>
      <c r="IM220" s="20"/>
      <c r="IN220" s="22"/>
      <c r="IO220" s="20"/>
      <c r="IP220" s="22"/>
      <c r="IQ220" s="20"/>
      <c r="IR220" s="22"/>
      <c r="IS220" s="20"/>
      <c r="IT220" s="22"/>
      <c r="IU220" s="20"/>
      <c r="IV220" s="22"/>
      <c r="IW220" s="20"/>
      <c r="IX220" s="22"/>
      <c r="IY220" s="20"/>
      <c r="IZ220" s="22"/>
      <c r="JA220" s="20"/>
      <c r="JB220" s="22"/>
      <c r="JC220" s="20"/>
      <c r="JD220" s="22"/>
      <c r="JE220" s="20"/>
      <c r="JF220" s="22"/>
      <c r="JG220" s="20"/>
      <c r="JH220" s="22"/>
      <c r="JI220" s="20"/>
      <c r="JJ220" s="22"/>
      <c r="JK220" s="20"/>
      <c r="JL220" s="22"/>
      <c r="JM220" s="20"/>
      <c r="JN220" s="22"/>
      <c r="JO220" s="20"/>
      <c r="JP220" s="22"/>
      <c r="JQ220" s="20"/>
      <c r="JR220" s="22"/>
      <c r="JS220" s="20"/>
      <c r="JT220" s="22"/>
      <c r="JU220" s="20"/>
      <c r="JV220" s="22"/>
      <c r="JW220" s="20"/>
      <c r="JX220" s="22"/>
      <c r="JY220" s="20"/>
      <c r="JZ220" s="22"/>
      <c r="KA220" s="20"/>
      <c r="KB220" s="22"/>
      <c r="KC220" s="20"/>
      <c r="KD220" s="22"/>
      <c r="KE220" s="20"/>
      <c r="KF220" s="22"/>
      <c r="KG220" s="20"/>
      <c r="KH220" s="22"/>
      <c r="KI220" s="20"/>
      <c r="KJ220" s="22"/>
      <c r="KK220" s="20"/>
      <c r="KL220" s="22"/>
      <c r="KM220" s="20"/>
      <c r="KN220" s="22"/>
      <c r="KO220" s="20"/>
      <c r="KP220" s="22"/>
      <c r="KQ220" s="20"/>
      <c r="KR220" s="22"/>
      <c r="KS220" s="20"/>
      <c r="KT220" s="22"/>
      <c r="KU220" s="20"/>
      <c r="KV220" s="22"/>
      <c r="KW220" s="20"/>
      <c r="KX220" s="22"/>
      <c r="KY220" s="20"/>
      <c r="KZ220" s="22"/>
      <c r="LA220" s="20"/>
      <c r="LB220" s="22"/>
      <c r="LC220" s="20"/>
      <c r="LD220" s="22"/>
      <c r="LE220" s="20"/>
      <c r="LF220" s="22"/>
      <c r="LG220" s="20"/>
      <c r="LH220" s="22"/>
      <c r="LI220" s="20"/>
      <c r="LJ220" s="22"/>
      <c r="LK220" s="20"/>
      <c r="LL220" s="22"/>
      <c r="LM220" s="20"/>
      <c r="LN220" s="22"/>
      <c r="LO220" s="20"/>
      <c r="LP220" s="22"/>
      <c r="LQ220" s="20"/>
      <c r="LR220" s="22"/>
      <c r="LS220" s="20"/>
      <c r="LT220" s="22"/>
      <c r="LU220" s="20"/>
      <c r="LV220" s="22"/>
      <c r="LW220" s="20"/>
      <c r="LX220" s="22"/>
      <c r="LY220" s="20"/>
      <c r="LZ220" s="22"/>
      <c r="MA220" s="20"/>
      <c r="MB220" s="22"/>
      <c r="MC220" s="20"/>
      <c r="MD220" s="22"/>
      <c r="ME220" s="20"/>
      <c r="MF220" s="22"/>
      <c r="MG220" s="20"/>
      <c r="MH220" s="22"/>
      <c r="MI220" s="20"/>
      <c r="MJ220" s="22"/>
      <c r="MK220" s="20"/>
      <c r="ML220" s="22"/>
      <c r="MM220" s="20"/>
      <c r="MN220" s="22"/>
      <c r="MO220" s="20"/>
      <c r="MP220" s="22"/>
      <c r="MQ220" s="20"/>
      <c r="MR220" s="22"/>
      <c r="MS220" s="20"/>
      <c r="MT220" s="22"/>
      <c r="MU220" s="20"/>
      <c r="MV220" s="22"/>
      <c r="MW220" s="20"/>
      <c r="MX220" s="22"/>
      <c r="MY220" s="20"/>
      <c r="MZ220" s="22"/>
      <c r="NA220" s="20"/>
      <c r="NB220" s="22"/>
      <c r="NC220" s="20"/>
      <c r="ND220" s="22"/>
      <c r="NE220" s="20"/>
      <c r="NF220" s="73"/>
    </row>
    <row r="221" hidden="1">
      <c r="A221" s="237"/>
      <c r="B221" s="267"/>
      <c r="C221" s="239">
        <v>46211.0</v>
      </c>
      <c r="D221" s="284" t="s">
        <v>402</v>
      </c>
      <c r="E221" s="242" t="s">
        <v>47</v>
      </c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  <c r="CI221" s="73"/>
      <c r="CJ221" s="73"/>
      <c r="CK221" s="73"/>
      <c r="CL221" s="73"/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C221" s="73"/>
      <c r="DD221" s="73"/>
      <c r="DE221" s="73"/>
      <c r="DF221" s="73"/>
      <c r="DG221" s="73"/>
      <c r="DH221" s="73"/>
      <c r="DI221" s="73"/>
      <c r="DJ221" s="73"/>
      <c r="DK221" s="73"/>
      <c r="DL221" s="73"/>
      <c r="DM221" s="73"/>
      <c r="DN221" s="73"/>
      <c r="DO221" s="73"/>
      <c r="DP221" s="73"/>
      <c r="DQ221" s="73"/>
      <c r="DR221" s="73"/>
      <c r="DS221" s="73"/>
      <c r="DT221" s="73"/>
      <c r="DU221" s="73"/>
      <c r="DV221" s="22"/>
      <c r="DW221" s="20"/>
      <c r="DX221" s="22"/>
      <c r="DY221" s="20"/>
      <c r="DZ221" s="22"/>
      <c r="EA221" s="20"/>
      <c r="EB221" s="22"/>
      <c r="EC221" s="20"/>
      <c r="ED221" s="22"/>
      <c r="EE221" s="20"/>
      <c r="EF221" s="22"/>
      <c r="EG221" s="20"/>
      <c r="EH221" s="22"/>
      <c r="EI221" s="20"/>
      <c r="EJ221" s="22"/>
      <c r="EK221" s="20"/>
      <c r="EL221" s="22"/>
      <c r="EM221" s="20"/>
      <c r="EN221" s="22"/>
      <c r="EO221" s="20"/>
      <c r="EP221" s="22"/>
      <c r="EQ221" s="20"/>
      <c r="ER221" s="22"/>
      <c r="ES221" s="20"/>
      <c r="ET221" s="22"/>
      <c r="EU221" s="20"/>
      <c r="EV221" s="22"/>
      <c r="EW221" s="20"/>
      <c r="EX221" s="22"/>
      <c r="EY221" s="20"/>
      <c r="EZ221" s="22"/>
      <c r="FA221" s="20"/>
      <c r="FB221" s="22"/>
      <c r="FC221" s="20"/>
      <c r="FD221" s="22"/>
      <c r="FE221" s="20"/>
      <c r="FF221" s="22"/>
      <c r="FG221" s="20"/>
      <c r="FH221" s="22"/>
      <c r="FI221" s="20"/>
      <c r="FJ221" s="22"/>
      <c r="FK221" s="20"/>
      <c r="FL221" s="22"/>
      <c r="FM221" s="20"/>
      <c r="FN221" s="22"/>
      <c r="FO221" s="20"/>
      <c r="FP221" s="22"/>
      <c r="FQ221" s="20"/>
      <c r="FR221" s="22"/>
      <c r="FS221" s="20"/>
      <c r="FT221" s="22"/>
      <c r="FU221" s="20"/>
      <c r="FV221" s="22"/>
      <c r="FW221" s="20"/>
      <c r="FX221" s="22"/>
      <c r="FY221" s="20"/>
      <c r="FZ221" s="22"/>
      <c r="GA221" s="20"/>
      <c r="GB221" s="22"/>
      <c r="GC221" s="20"/>
      <c r="GD221" s="22"/>
      <c r="GE221" s="20"/>
      <c r="GF221" s="22"/>
      <c r="GG221" s="20"/>
      <c r="GH221" s="22"/>
      <c r="GI221" s="20"/>
      <c r="GJ221" s="22"/>
      <c r="GK221" s="20">
        <v>2.0</v>
      </c>
      <c r="GL221" s="20">
        <v>6.0</v>
      </c>
      <c r="GM221" s="20"/>
      <c r="GN221" s="22"/>
      <c r="GO221" s="20"/>
      <c r="GP221" s="22"/>
      <c r="GQ221" s="20"/>
      <c r="GR221" s="22"/>
      <c r="GS221" s="20"/>
      <c r="GT221" s="22"/>
      <c r="GU221" s="20"/>
      <c r="GV221" s="22"/>
      <c r="GW221" s="20"/>
      <c r="GX221" s="22"/>
      <c r="GY221" s="20"/>
      <c r="GZ221" s="22"/>
      <c r="HA221" s="20"/>
      <c r="HB221" s="22"/>
      <c r="HC221" s="20"/>
      <c r="HD221" s="22"/>
      <c r="HE221" s="20"/>
      <c r="HF221" s="22"/>
      <c r="HG221" s="20"/>
      <c r="HH221" s="22"/>
      <c r="HI221" s="20"/>
      <c r="HJ221" s="22"/>
      <c r="HK221" s="20"/>
      <c r="HL221" s="22"/>
      <c r="HM221" s="20"/>
      <c r="HN221" s="22"/>
      <c r="HO221" s="20"/>
      <c r="HP221" s="22"/>
      <c r="HQ221" s="20"/>
      <c r="HR221" s="22"/>
      <c r="HS221" s="20"/>
      <c r="HT221" s="22"/>
      <c r="HU221" s="20"/>
      <c r="HV221" s="22"/>
      <c r="HW221" s="20"/>
      <c r="HX221" s="22"/>
      <c r="HY221" s="20"/>
      <c r="HZ221" s="22"/>
      <c r="IA221" s="20"/>
      <c r="IB221" s="22"/>
      <c r="IC221" s="20"/>
      <c r="ID221" s="22"/>
      <c r="IE221" s="20"/>
      <c r="IF221" s="22"/>
      <c r="IG221" s="20"/>
      <c r="IH221" s="22"/>
      <c r="II221" s="20"/>
      <c r="IJ221" s="22"/>
      <c r="IK221" s="20"/>
      <c r="IL221" s="22"/>
      <c r="IM221" s="20"/>
      <c r="IN221" s="22"/>
      <c r="IO221" s="20"/>
      <c r="IP221" s="22"/>
      <c r="IQ221" s="20"/>
      <c r="IR221" s="22"/>
      <c r="IS221" s="20"/>
      <c r="IT221" s="22"/>
      <c r="IU221" s="20"/>
      <c r="IV221" s="22"/>
      <c r="IW221" s="20"/>
      <c r="IX221" s="22"/>
      <c r="IY221" s="20"/>
      <c r="IZ221" s="22"/>
      <c r="JA221" s="20"/>
      <c r="JB221" s="22"/>
      <c r="JC221" s="20"/>
      <c r="JD221" s="22"/>
      <c r="JE221" s="20"/>
      <c r="JF221" s="22"/>
      <c r="JG221" s="20"/>
      <c r="JH221" s="22"/>
      <c r="JI221" s="20"/>
      <c r="JJ221" s="22"/>
      <c r="JK221" s="20"/>
      <c r="JL221" s="22"/>
      <c r="JM221" s="20"/>
      <c r="JN221" s="22"/>
      <c r="JO221" s="20"/>
      <c r="JP221" s="22"/>
      <c r="JQ221" s="20"/>
      <c r="JR221" s="22"/>
      <c r="JS221" s="20"/>
      <c r="JT221" s="22"/>
      <c r="JU221" s="20"/>
      <c r="JV221" s="22"/>
      <c r="JW221" s="20"/>
      <c r="JX221" s="22"/>
      <c r="JY221" s="20"/>
      <c r="JZ221" s="22"/>
      <c r="KA221" s="20"/>
      <c r="KB221" s="22"/>
      <c r="KC221" s="20"/>
      <c r="KD221" s="22"/>
      <c r="KE221" s="20"/>
      <c r="KF221" s="22"/>
      <c r="KG221" s="20"/>
      <c r="KH221" s="22"/>
      <c r="KI221" s="20"/>
      <c r="KJ221" s="22"/>
      <c r="KK221" s="20"/>
      <c r="KL221" s="22"/>
      <c r="KM221" s="20"/>
      <c r="KN221" s="22"/>
      <c r="KO221" s="20"/>
      <c r="KP221" s="22"/>
      <c r="KQ221" s="20"/>
      <c r="KR221" s="22"/>
      <c r="KS221" s="20"/>
      <c r="KT221" s="22"/>
      <c r="KU221" s="20"/>
      <c r="KV221" s="22"/>
      <c r="KW221" s="20"/>
      <c r="KX221" s="22"/>
      <c r="KY221" s="20"/>
      <c r="KZ221" s="22"/>
      <c r="LA221" s="20"/>
      <c r="LB221" s="22"/>
      <c r="LC221" s="20"/>
      <c r="LD221" s="22"/>
      <c r="LE221" s="20"/>
      <c r="LF221" s="22"/>
      <c r="LG221" s="20"/>
      <c r="LH221" s="22"/>
      <c r="LI221" s="20"/>
      <c r="LJ221" s="22"/>
      <c r="LK221" s="20"/>
      <c r="LL221" s="22"/>
      <c r="LM221" s="20"/>
      <c r="LN221" s="22"/>
      <c r="LO221" s="20"/>
      <c r="LP221" s="22"/>
      <c r="LQ221" s="20"/>
      <c r="LR221" s="22"/>
      <c r="LS221" s="20"/>
      <c r="LT221" s="22"/>
      <c r="LU221" s="20"/>
      <c r="LV221" s="22"/>
      <c r="LW221" s="20"/>
      <c r="LX221" s="22"/>
      <c r="LY221" s="20"/>
      <c r="LZ221" s="22"/>
      <c r="MA221" s="20"/>
      <c r="MB221" s="22"/>
      <c r="MC221" s="20"/>
      <c r="MD221" s="22"/>
      <c r="ME221" s="20"/>
      <c r="MF221" s="22"/>
      <c r="MG221" s="20"/>
      <c r="MH221" s="22"/>
      <c r="MI221" s="20"/>
      <c r="MJ221" s="22"/>
      <c r="MK221" s="20"/>
      <c r="ML221" s="22"/>
      <c r="MM221" s="20"/>
      <c r="MN221" s="22"/>
      <c r="MO221" s="20"/>
      <c r="MP221" s="22"/>
      <c r="MQ221" s="20"/>
      <c r="MR221" s="22"/>
      <c r="MS221" s="20"/>
      <c r="MT221" s="22"/>
      <c r="MU221" s="20"/>
      <c r="MV221" s="22"/>
      <c r="MW221" s="20"/>
      <c r="MX221" s="22"/>
      <c r="MY221" s="20"/>
      <c r="MZ221" s="22"/>
      <c r="NA221" s="20"/>
      <c r="NB221" s="22"/>
      <c r="NC221" s="20"/>
      <c r="ND221" s="22"/>
      <c r="NE221" s="20"/>
      <c r="NF221" s="73"/>
    </row>
    <row r="222" hidden="1">
      <c r="A222" s="237"/>
      <c r="B222" s="267"/>
      <c r="C222" s="239">
        <v>46211.0</v>
      </c>
      <c r="D222" s="284" t="s">
        <v>403</v>
      </c>
      <c r="E222" s="242" t="s">
        <v>47</v>
      </c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  <c r="CI222" s="73"/>
      <c r="CJ222" s="73"/>
      <c r="CK222" s="73"/>
      <c r="CL222" s="73"/>
      <c r="CM222" s="73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C222" s="73"/>
      <c r="DD222" s="73"/>
      <c r="DE222" s="73"/>
      <c r="DF222" s="73"/>
      <c r="DG222" s="73"/>
      <c r="DH222" s="73"/>
      <c r="DI222" s="73"/>
      <c r="DJ222" s="73"/>
      <c r="DK222" s="73"/>
      <c r="DL222" s="73"/>
      <c r="DM222" s="73"/>
      <c r="DN222" s="73"/>
      <c r="DO222" s="73"/>
      <c r="DP222" s="73"/>
      <c r="DQ222" s="73"/>
      <c r="DR222" s="73"/>
      <c r="DS222" s="73"/>
      <c r="DT222" s="73"/>
      <c r="DU222" s="73"/>
      <c r="DV222" s="22"/>
      <c r="DW222" s="20"/>
      <c r="DX222" s="22"/>
      <c r="DY222" s="20"/>
      <c r="DZ222" s="22"/>
      <c r="EA222" s="20"/>
      <c r="EB222" s="22"/>
      <c r="EC222" s="20"/>
      <c r="ED222" s="22"/>
      <c r="EE222" s="20"/>
      <c r="EF222" s="22"/>
      <c r="EG222" s="20"/>
      <c r="EH222" s="22"/>
      <c r="EI222" s="20"/>
      <c r="EJ222" s="22"/>
      <c r="EK222" s="20"/>
      <c r="EL222" s="22"/>
      <c r="EM222" s="20"/>
      <c r="EN222" s="22"/>
      <c r="EO222" s="20"/>
      <c r="EP222" s="22"/>
      <c r="EQ222" s="20"/>
      <c r="ER222" s="22"/>
      <c r="ES222" s="20"/>
      <c r="ET222" s="22"/>
      <c r="EU222" s="20"/>
      <c r="EV222" s="22"/>
      <c r="EW222" s="20"/>
      <c r="EX222" s="22"/>
      <c r="EY222" s="20"/>
      <c r="EZ222" s="22"/>
      <c r="FA222" s="20"/>
      <c r="FB222" s="22"/>
      <c r="FC222" s="20"/>
      <c r="FD222" s="22"/>
      <c r="FE222" s="20"/>
      <c r="FF222" s="22"/>
      <c r="FG222" s="20"/>
      <c r="FH222" s="22"/>
      <c r="FI222" s="20"/>
      <c r="FJ222" s="22"/>
      <c r="FK222" s="20"/>
      <c r="FL222" s="22"/>
      <c r="FM222" s="20"/>
      <c r="FN222" s="22"/>
      <c r="FO222" s="20"/>
      <c r="FP222" s="22"/>
      <c r="FQ222" s="20"/>
      <c r="FR222" s="22"/>
      <c r="FS222" s="20"/>
      <c r="FT222" s="22"/>
      <c r="FU222" s="20"/>
      <c r="FV222" s="22"/>
      <c r="FW222" s="20"/>
      <c r="FX222" s="22"/>
      <c r="FY222" s="20"/>
      <c r="FZ222" s="22"/>
      <c r="GA222" s="20"/>
      <c r="GB222" s="22"/>
      <c r="GC222" s="20"/>
      <c r="GD222" s="22"/>
      <c r="GE222" s="20"/>
      <c r="GF222" s="22"/>
      <c r="GG222" s="20"/>
      <c r="GH222" s="22"/>
      <c r="GI222" s="20"/>
      <c r="GJ222" s="22"/>
      <c r="GK222" s="20"/>
      <c r="GL222" s="20">
        <v>2.0</v>
      </c>
      <c r="GM222" s="20">
        <v>2.0</v>
      </c>
      <c r="GN222" s="22"/>
      <c r="GO222" s="20"/>
      <c r="GP222" s="22"/>
      <c r="GQ222" s="20"/>
      <c r="GR222" s="22"/>
      <c r="GS222" s="20"/>
      <c r="GT222" s="22"/>
      <c r="GU222" s="20"/>
      <c r="GV222" s="22"/>
      <c r="GW222" s="20"/>
      <c r="GX222" s="20">
        <v>1.0</v>
      </c>
      <c r="GY222" s="20"/>
      <c r="GZ222" s="22"/>
      <c r="HA222" s="20"/>
      <c r="HB222" s="22"/>
      <c r="HC222" s="20"/>
      <c r="HD222" s="22"/>
      <c r="HE222" s="20"/>
      <c r="HF222" s="22"/>
      <c r="HG222" s="20"/>
      <c r="HH222" s="22"/>
      <c r="HI222" s="20"/>
      <c r="HJ222" s="22"/>
      <c r="HK222" s="20"/>
      <c r="HL222" s="22"/>
      <c r="HM222" s="20"/>
      <c r="HN222" s="22"/>
      <c r="HO222" s="20"/>
      <c r="HP222" s="22"/>
      <c r="HQ222" s="20"/>
      <c r="HR222" s="22"/>
      <c r="HS222" s="20"/>
      <c r="HT222" s="22"/>
      <c r="HU222" s="20"/>
      <c r="HV222" s="22"/>
      <c r="HW222" s="20"/>
      <c r="HX222" s="22"/>
      <c r="HY222" s="20"/>
      <c r="HZ222" s="22"/>
      <c r="IA222" s="20"/>
      <c r="IB222" s="22"/>
      <c r="IC222" s="20"/>
      <c r="ID222" s="22"/>
      <c r="IE222" s="20"/>
      <c r="IF222" s="22"/>
      <c r="IG222" s="20"/>
      <c r="IH222" s="22"/>
      <c r="II222" s="20"/>
      <c r="IJ222" s="22"/>
      <c r="IK222" s="20"/>
      <c r="IL222" s="22"/>
      <c r="IM222" s="20"/>
      <c r="IN222" s="22"/>
      <c r="IO222" s="20"/>
      <c r="IP222" s="22"/>
      <c r="IQ222" s="20"/>
      <c r="IR222" s="22"/>
      <c r="IS222" s="20"/>
      <c r="IT222" s="22"/>
      <c r="IU222" s="20"/>
      <c r="IV222" s="22"/>
      <c r="IW222" s="20"/>
      <c r="IX222" s="22"/>
      <c r="IY222" s="20"/>
      <c r="IZ222" s="22"/>
      <c r="JA222" s="20"/>
      <c r="JB222" s="22"/>
      <c r="JC222" s="20"/>
      <c r="JD222" s="22"/>
      <c r="JE222" s="20"/>
      <c r="JF222" s="22"/>
      <c r="JG222" s="20"/>
      <c r="JH222" s="22"/>
      <c r="JI222" s="20"/>
      <c r="JJ222" s="22"/>
      <c r="JK222" s="20"/>
      <c r="JL222" s="22"/>
      <c r="JM222" s="20"/>
      <c r="JN222" s="22"/>
      <c r="JO222" s="20"/>
      <c r="JP222" s="22"/>
      <c r="JQ222" s="20"/>
      <c r="JR222" s="22"/>
      <c r="JS222" s="20"/>
      <c r="JT222" s="22"/>
      <c r="JU222" s="20"/>
      <c r="JV222" s="22"/>
      <c r="JW222" s="20"/>
      <c r="JX222" s="22"/>
      <c r="JY222" s="20"/>
      <c r="JZ222" s="22"/>
      <c r="KA222" s="20"/>
      <c r="KB222" s="22"/>
      <c r="KC222" s="20"/>
      <c r="KD222" s="22"/>
      <c r="KE222" s="20"/>
      <c r="KF222" s="22"/>
      <c r="KG222" s="20"/>
      <c r="KH222" s="22"/>
      <c r="KI222" s="20"/>
      <c r="KJ222" s="22"/>
      <c r="KK222" s="20"/>
      <c r="KL222" s="22"/>
      <c r="KM222" s="20"/>
      <c r="KN222" s="22"/>
      <c r="KO222" s="20"/>
      <c r="KP222" s="22"/>
      <c r="KQ222" s="20"/>
      <c r="KR222" s="22"/>
      <c r="KS222" s="20"/>
      <c r="KT222" s="22"/>
      <c r="KU222" s="20"/>
      <c r="KV222" s="22"/>
      <c r="KW222" s="20"/>
      <c r="KX222" s="22"/>
      <c r="KY222" s="20"/>
      <c r="KZ222" s="22"/>
      <c r="LA222" s="20"/>
      <c r="LB222" s="22"/>
      <c r="LC222" s="20"/>
      <c r="LD222" s="22"/>
      <c r="LE222" s="20"/>
      <c r="LF222" s="22"/>
      <c r="LG222" s="20"/>
      <c r="LH222" s="22"/>
      <c r="LI222" s="20"/>
      <c r="LJ222" s="22"/>
      <c r="LK222" s="20"/>
      <c r="LL222" s="22"/>
      <c r="LM222" s="20"/>
      <c r="LN222" s="22"/>
      <c r="LO222" s="20"/>
      <c r="LP222" s="22"/>
      <c r="LQ222" s="20"/>
      <c r="LR222" s="22"/>
      <c r="LS222" s="20"/>
      <c r="LT222" s="22"/>
      <c r="LU222" s="20"/>
      <c r="LV222" s="22"/>
      <c r="LW222" s="20"/>
      <c r="LX222" s="22"/>
      <c r="LY222" s="20"/>
      <c r="LZ222" s="22"/>
      <c r="MA222" s="20"/>
      <c r="MB222" s="22"/>
      <c r="MC222" s="20"/>
      <c r="MD222" s="22"/>
      <c r="ME222" s="20"/>
      <c r="MF222" s="22"/>
      <c r="MG222" s="20"/>
      <c r="MH222" s="22"/>
      <c r="MI222" s="20"/>
      <c r="MJ222" s="22"/>
      <c r="MK222" s="20"/>
      <c r="ML222" s="22"/>
      <c r="MM222" s="20"/>
      <c r="MN222" s="22"/>
      <c r="MO222" s="20"/>
      <c r="MP222" s="22"/>
      <c r="MQ222" s="20"/>
      <c r="MR222" s="22"/>
      <c r="MS222" s="20"/>
      <c r="MT222" s="22"/>
      <c r="MU222" s="20"/>
      <c r="MV222" s="22"/>
      <c r="MW222" s="20"/>
      <c r="MX222" s="22"/>
      <c r="MY222" s="20"/>
      <c r="MZ222" s="22"/>
      <c r="NA222" s="20"/>
      <c r="NB222" s="22"/>
      <c r="NC222" s="20"/>
      <c r="ND222" s="22"/>
      <c r="NE222" s="20"/>
      <c r="NF222" s="73"/>
    </row>
    <row r="223" hidden="1">
      <c r="A223" s="237"/>
      <c r="B223" s="267"/>
      <c r="C223" s="239">
        <v>46212.0</v>
      </c>
      <c r="D223" s="284" t="s">
        <v>404</v>
      </c>
      <c r="E223" s="242" t="s">
        <v>47</v>
      </c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  <c r="CI223" s="73"/>
      <c r="CJ223" s="73"/>
      <c r="CK223" s="73"/>
      <c r="CL223" s="73"/>
      <c r="CM223" s="73"/>
      <c r="CN223" s="73"/>
      <c r="CO223" s="73"/>
      <c r="CP223" s="73"/>
      <c r="CQ223" s="73"/>
      <c r="CR223" s="73"/>
      <c r="CS223" s="73"/>
      <c r="CT223" s="73"/>
      <c r="CU223" s="73"/>
      <c r="CV223" s="73"/>
      <c r="CW223" s="73"/>
      <c r="CX223" s="73"/>
      <c r="CY223" s="73"/>
      <c r="CZ223" s="73"/>
      <c r="DA223" s="73"/>
      <c r="DB223" s="73"/>
      <c r="DC223" s="73"/>
      <c r="DD223" s="73"/>
      <c r="DE223" s="73"/>
      <c r="DF223" s="73"/>
      <c r="DG223" s="73"/>
      <c r="DH223" s="73"/>
      <c r="DI223" s="73"/>
      <c r="DJ223" s="73"/>
      <c r="DK223" s="73"/>
      <c r="DL223" s="73"/>
      <c r="DM223" s="73"/>
      <c r="DN223" s="73"/>
      <c r="DO223" s="73"/>
      <c r="DP223" s="73"/>
      <c r="DQ223" s="73"/>
      <c r="DR223" s="73"/>
      <c r="DS223" s="73"/>
      <c r="DT223" s="73"/>
      <c r="DU223" s="73"/>
      <c r="DV223" s="22"/>
      <c r="DW223" s="20"/>
      <c r="DX223" s="22"/>
      <c r="DY223" s="20"/>
      <c r="DZ223" s="22"/>
      <c r="EA223" s="20"/>
      <c r="EB223" s="22"/>
      <c r="EC223" s="20"/>
      <c r="ED223" s="22"/>
      <c r="EE223" s="20"/>
      <c r="EF223" s="22"/>
      <c r="EG223" s="20"/>
      <c r="EH223" s="22"/>
      <c r="EI223" s="20"/>
      <c r="EJ223" s="22"/>
      <c r="EK223" s="20"/>
      <c r="EL223" s="22"/>
      <c r="EM223" s="20"/>
      <c r="EN223" s="22"/>
      <c r="EO223" s="20"/>
      <c r="EP223" s="22"/>
      <c r="EQ223" s="20"/>
      <c r="ER223" s="22"/>
      <c r="ES223" s="20"/>
      <c r="ET223" s="22"/>
      <c r="EU223" s="20"/>
      <c r="EV223" s="22"/>
      <c r="EW223" s="20"/>
      <c r="EX223" s="22"/>
      <c r="EY223" s="20"/>
      <c r="EZ223" s="22"/>
      <c r="FA223" s="20"/>
      <c r="FB223" s="22"/>
      <c r="FC223" s="20"/>
      <c r="FD223" s="22"/>
      <c r="FE223" s="20"/>
      <c r="FF223" s="22"/>
      <c r="FG223" s="20"/>
      <c r="FH223" s="22"/>
      <c r="FI223" s="20"/>
      <c r="FJ223" s="22"/>
      <c r="FK223" s="20"/>
      <c r="FL223" s="22"/>
      <c r="FM223" s="20"/>
      <c r="FN223" s="22"/>
      <c r="FO223" s="20"/>
      <c r="FP223" s="22"/>
      <c r="FQ223" s="20"/>
      <c r="FR223" s="22"/>
      <c r="FS223" s="20"/>
      <c r="FT223" s="22"/>
      <c r="FU223" s="20"/>
      <c r="FV223" s="22"/>
      <c r="FW223" s="20"/>
      <c r="FX223" s="22"/>
      <c r="FY223" s="20"/>
      <c r="FZ223" s="22"/>
      <c r="GA223" s="20"/>
      <c r="GB223" s="22"/>
      <c r="GC223" s="20"/>
      <c r="GD223" s="22"/>
      <c r="GE223" s="20"/>
      <c r="GF223" s="22"/>
      <c r="GG223" s="20"/>
      <c r="GH223" s="22"/>
      <c r="GI223" s="20"/>
      <c r="GJ223" s="22"/>
      <c r="GK223" s="20"/>
      <c r="GL223" s="22"/>
      <c r="GM223" s="20">
        <v>4.0</v>
      </c>
      <c r="GN223" s="22"/>
      <c r="GO223" s="20"/>
      <c r="GP223" s="22"/>
      <c r="GQ223" s="20"/>
      <c r="GR223" s="22"/>
      <c r="GS223" s="20"/>
      <c r="GT223" s="22"/>
      <c r="GU223" s="20"/>
      <c r="GV223" s="22"/>
      <c r="GW223" s="20"/>
      <c r="GX223" s="22"/>
      <c r="GY223" s="20"/>
      <c r="GZ223" s="22"/>
      <c r="HA223" s="20"/>
      <c r="HB223" s="22"/>
      <c r="HC223" s="20"/>
      <c r="HD223" s="22"/>
      <c r="HE223" s="20"/>
      <c r="HF223" s="22"/>
      <c r="HG223" s="20"/>
      <c r="HH223" s="22"/>
      <c r="HI223" s="20"/>
      <c r="HJ223" s="22"/>
      <c r="HK223" s="20"/>
      <c r="HL223" s="22"/>
      <c r="HM223" s="20"/>
      <c r="HN223" s="22"/>
      <c r="HO223" s="20"/>
      <c r="HP223" s="22"/>
      <c r="HQ223" s="20"/>
      <c r="HR223" s="22"/>
      <c r="HS223" s="20"/>
      <c r="HT223" s="22"/>
      <c r="HU223" s="20"/>
      <c r="HV223" s="22"/>
      <c r="HW223" s="20"/>
      <c r="HX223" s="22"/>
      <c r="HY223" s="20"/>
      <c r="HZ223" s="22"/>
      <c r="IA223" s="20"/>
      <c r="IB223" s="22"/>
      <c r="IC223" s="20"/>
      <c r="ID223" s="22"/>
      <c r="IE223" s="20"/>
      <c r="IF223" s="22"/>
      <c r="IG223" s="20"/>
      <c r="IH223" s="22"/>
      <c r="II223" s="20"/>
      <c r="IJ223" s="22"/>
      <c r="IK223" s="20"/>
      <c r="IL223" s="22"/>
      <c r="IM223" s="20"/>
      <c r="IN223" s="22"/>
      <c r="IO223" s="20"/>
      <c r="IP223" s="22"/>
      <c r="IQ223" s="20"/>
      <c r="IR223" s="22"/>
      <c r="IS223" s="20"/>
      <c r="IT223" s="22"/>
      <c r="IU223" s="20"/>
      <c r="IV223" s="22"/>
      <c r="IW223" s="20"/>
      <c r="IX223" s="22"/>
      <c r="IY223" s="20"/>
      <c r="IZ223" s="22"/>
      <c r="JA223" s="20"/>
      <c r="JB223" s="22"/>
      <c r="JC223" s="20"/>
      <c r="JD223" s="22"/>
      <c r="JE223" s="20"/>
      <c r="JF223" s="22"/>
      <c r="JG223" s="20"/>
      <c r="JH223" s="22"/>
      <c r="JI223" s="20"/>
      <c r="JJ223" s="22"/>
      <c r="JK223" s="20"/>
      <c r="JL223" s="22"/>
      <c r="JM223" s="20"/>
      <c r="JN223" s="22"/>
      <c r="JO223" s="20"/>
      <c r="JP223" s="22"/>
      <c r="JQ223" s="20"/>
      <c r="JR223" s="22"/>
      <c r="JS223" s="20"/>
      <c r="JT223" s="22"/>
      <c r="JU223" s="20"/>
      <c r="JV223" s="22"/>
      <c r="JW223" s="20"/>
      <c r="JX223" s="22"/>
      <c r="JY223" s="20"/>
      <c r="JZ223" s="22"/>
      <c r="KA223" s="20"/>
      <c r="KB223" s="22"/>
      <c r="KC223" s="20"/>
      <c r="KD223" s="22"/>
      <c r="KE223" s="20"/>
      <c r="KF223" s="22"/>
      <c r="KG223" s="20"/>
      <c r="KH223" s="22"/>
      <c r="KI223" s="20"/>
      <c r="KJ223" s="22"/>
      <c r="KK223" s="20"/>
      <c r="KL223" s="22"/>
      <c r="KM223" s="20"/>
      <c r="KN223" s="22"/>
      <c r="KO223" s="20"/>
      <c r="KP223" s="22"/>
      <c r="KQ223" s="20"/>
      <c r="KR223" s="22"/>
      <c r="KS223" s="20"/>
      <c r="KT223" s="22"/>
      <c r="KU223" s="20"/>
      <c r="KV223" s="22"/>
      <c r="KW223" s="20"/>
      <c r="KX223" s="22"/>
      <c r="KY223" s="20"/>
      <c r="KZ223" s="22"/>
      <c r="LA223" s="20"/>
      <c r="LB223" s="22"/>
      <c r="LC223" s="20"/>
      <c r="LD223" s="22"/>
      <c r="LE223" s="20"/>
      <c r="LF223" s="22"/>
      <c r="LG223" s="20"/>
      <c r="LH223" s="22"/>
      <c r="LI223" s="20"/>
      <c r="LJ223" s="22"/>
      <c r="LK223" s="20"/>
      <c r="LL223" s="22"/>
      <c r="LM223" s="20"/>
      <c r="LN223" s="22"/>
      <c r="LO223" s="20"/>
      <c r="LP223" s="22"/>
      <c r="LQ223" s="20"/>
      <c r="LR223" s="22"/>
      <c r="LS223" s="20"/>
      <c r="LT223" s="22"/>
      <c r="LU223" s="20"/>
      <c r="LV223" s="22"/>
      <c r="LW223" s="20"/>
      <c r="LX223" s="22"/>
      <c r="LY223" s="20"/>
      <c r="LZ223" s="22"/>
      <c r="MA223" s="20"/>
      <c r="MB223" s="22"/>
      <c r="MC223" s="20"/>
      <c r="MD223" s="22"/>
      <c r="ME223" s="20"/>
      <c r="MF223" s="22"/>
      <c r="MG223" s="20"/>
      <c r="MH223" s="22"/>
      <c r="MI223" s="20"/>
      <c r="MJ223" s="22"/>
      <c r="MK223" s="20"/>
      <c r="ML223" s="22"/>
      <c r="MM223" s="20"/>
      <c r="MN223" s="22"/>
      <c r="MO223" s="20"/>
      <c r="MP223" s="22"/>
      <c r="MQ223" s="20"/>
      <c r="MR223" s="22"/>
      <c r="MS223" s="20"/>
      <c r="MT223" s="22"/>
      <c r="MU223" s="20"/>
      <c r="MV223" s="22"/>
      <c r="MW223" s="20"/>
      <c r="MX223" s="22"/>
      <c r="MY223" s="20"/>
      <c r="MZ223" s="22"/>
      <c r="NA223" s="20"/>
      <c r="NB223" s="22"/>
      <c r="NC223" s="20"/>
      <c r="ND223" s="22"/>
      <c r="NE223" s="20"/>
      <c r="NF223" s="73"/>
    </row>
    <row r="224" hidden="1">
      <c r="A224" s="237"/>
      <c r="B224" s="267"/>
      <c r="C224" s="239">
        <v>46218.0</v>
      </c>
      <c r="D224" s="284" t="s">
        <v>405</v>
      </c>
      <c r="E224" s="242" t="s">
        <v>47</v>
      </c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  <c r="CK224" s="73"/>
      <c r="CL224" s="73"/>
      <c r="CM224" s="73"/>
      <c r="CN224" s="73"/>
      <c r="CO224" s="73"/>
      <c r="CP224" s="73"/>
      <c r="CQ224" s="73"/>
      <c r="CR224" s="73"/>
      <c r="CS224" s="73"/>
      <c r="CT224" s="73"/>
      <c r="CU224" s="73"/>
      <c r="CV224" s="73"/>
      <c r="CW224" s="73"/>
      <c r="CX224" s="73"/>
      <c r="CY224" s="73"/>
      <c r="CZ224" s="73"/>
      <c r="DA224" s="73"/>
      <c r="DB224" s="73"/>
      <c r="DC224" s="73"/>
      <c r="DD224" s="73"/>
      <c r="DE224" s="73"/>
      <c r="DF224" s="73"/>
      <c r="DG224" s="73"/>
      <c r="DH224" s="73"/>
      <c r="DI224" s="73"/>
      <c r="DJ224" s="73"/>
      <c r="DK224" s="73"/>
      <c r="DL224" s="73"/>
      <c r="DM224" s="73"/>
      <c r="DN224" s="73"/>
      <c r="DO224" s="73"/>
      <c r="DP224" s="73"/>
      <c r="DQ224" s="73"/>
      <c r="DR224" s="73"/>
      <c r="DS224" s="73"/>
      <c r="DT224" s="73"/>
      <c r="DU224" s="73"/>
      <c r="DV224" s="22"/>
      <c r="DW224" s="20"/>
      <c r="DX224" s="22"/>
      <c r="DY224" s="20"/>
      <c r="DZ224" s="22"/>
      <c r="EA224" s="20"/>
      <c r="EB224" s="22"/>
      <c r="EC224" s="20"/>
      <c r="ED224" s="22"/>
      <c r="EE224" s="20"/>
      <c r="EF224" s="22"/>
      <c r="EG224" s="20"/>
      <c r="EH224" s="22"/>
      <c r="EI224" s="20"/>
      <c r="EJ224" s="22"/>
      <c r="EK224" s="20"/>
      <c r="EL224" s="22"/>
      <c r="EM224" s="20"/>
      <c r="EN224" s="22"/>
      <c r="EO224" s="20"/>
      <c r="EP224" s="22"/>
      <c r="EQ224" s="20"/>
      <c r="ER224" s="22"/>
      <c r="ES224" s="20"/>
      <c r="ET224" s="22"/>
      <c r="EU224" s="20"/>
      <c r="EV224" s="22"/>
      <c r="EW224" s="20"/>
      <c r="EX224" s="22"/>
      <c r="EY224" s="20"/>
      <c r="EZ224" s="22"/>
      <c r="FA224" s="20"/>
      <c r="FB224" s="22"/>
      <c r="FC224" s="20"/>
      <c r="FD224" s="22"/>
      <c r="FE224" s="20"/>
      <c r="FF224" s="22"/>
      <c r="FG224" s="20"/>
      <c r="FH224" s="22"/>
      <c r="FI224" s="20"/>
      <c r="FJ224" s="22"/>
      <c r="FK224" s="20"/>
      <c r="FL224" s="22"/>
      <c r="FM224" s="20"/>
      <c r="FN224" s="22"/>
      <c r="FO224" s="20"/>
      <c r="FP224" s="22"/>
      <c r="FQ224" s="20"/>
      <c r="FR224" s="22"/>
      <c r="FS224" s="20"/>
      <c r="FT224" s="22"/>
      <c r="FU224" s="20"/>
      <c r="FV224" s="22"/>
      <c r="FW224" s="20"/>
      <c r="FX224" s="22"/>
      <c r="FY224" s="20"/>
      <c r="FZ224" s="22"/>
      <c r="GA224" s="20"/>
      <c r="GB224" s="22"/>
      <c r="GC224" s="20"/>
      <c r="GD224" s="22"/>
      <c r="GE224" s="20"/>
      <c r="GF224" s="22"/>
      <c r="GG224" s="20"/>
      <c r="GH224" s="22"/>
      <c r="GI224" s="20"/>
      <c r="GJ224" s="22"/>
      <c r="GK224" s="20"/>
      <c r="GL224" s="22"/>
      <c r="GM224" s="20"/>
      <c r="GN224" s="20">
        <v>4.0</v>
      </c>
      <c r="GO224" s="20"/>
      <c r="GP224" s="22"/>
      <c r="GQ224" s="20">
        <v>7.0</v>
      </c>
      <c r="GR224" s="20">
        <v>4.0</v>
      </c>
      <c r="GS224" s="20">
        <v>1.0</v>
      </c>
      <c r="GT224" s="22"/>
      <c r="GU224" s="20"/>
      <c r="GV224" s="22"/>
      <c r="GW224" s="20"/>
      <c r="GX224" s="22"/>
      <c r="GY224" s="20"/>
      <c r="GZ224" s="22"/>
      <c r="HA224" s="20"/>
      <c r="HB224" s="22"/>
      <c r="HC224" s="20"/>
      <c r="HD224" s="22"/>
      <c r="HE224" s="20"/>
      <c r="HF224" s="22"/>
      <c r="HG224" s="20"/>
      <c r="HH224" s="22"/>
      <c r="HI224" s="20"/>
      <c r="HJ224" s="22"/>
      <c r="HK224" s="20"/>
      <c r="HL224" s="22"/>
      <c r="HM224" s="20"/>
      <c r="HN224" s="22"/>
      <c r="HO224" s="20"/>
      <c r="HP224" s="22"/>
      <c r="HQ224" s="20"/>
      <c r="HR224" s="22"/>
      <c r="HS224" s="20"/>
      <c r="HT224" s="22"/>
      <c r="HU224" s="20"/>
      <c r="HV224" s="22"/>
      <c r="HW224" s="20"/>
      <c r="HX224" s="22"/>
      <c r="HY224" s="20"/>
      <c r="HZ224" s="22"/>
      <c r="IA224" s="20"/>
      <c r="IB224" s="22"/>
      <c r="IC224" s="20"/>
      <c r="ID224" s="22"/>
      <c r="IE224" s="20"/>
      <c r="IF224" s="22"/>
      <c r="IG224" s="20"/>
      <c r="IH224" s="22"/>
      <c r="II224" s="20"/>
      <c r="IJ224" s="22"/>
      <c r="IK224" s="20"/>
      <c r="IL224" s="22"/>
      <c r="IM224" s="20"/>
      <c r="IN224" s="22"/>
      <c r="IO224" s="20"/>
      <c r="IP224" s="22"/>
      <c r="IQ224" s="20"/>
      <c r="IR224" s="22"/>
      <c r="IS224" s="20"/>
      <c r="IT224" s="22"/>
      <c r="IU224" s="20"/>
      <c r="IV224" s="22"/>
      <c r="IW224" s="20"/>
      <c r="IX224" s="22"/>
      <c r="IY224" s="20"/>
      <c r="IZ224" s="22"/>
      <c r="JA224" s="20"/>
      <c r="JB224" s="22"/>
      <c r="JC224" s="20"/>
      <c r="JD224" s="22"/>
      <c r="JE224" s="20"/>
      <c r="JF224" s="22"/>
      <c r="JG224" s="20"/>
      <c r="JH224" s="22"/>
      <c r="JI224" s="20"/>
      <c r="JJ224" s="22"/>
      <c r="JK224" s="20"/>
      <c r="JL224" s="22"/>
      <c r="JM224" s="20"/>
      <c r="JN224" s="22"/>
      <c r="JO224" s="20"/>
      <c r="JP224" s="22"/>
      <c r="JQ224" s="20"/>
      <c r="JR224" s="22"/>
      <c r="JS224" s="20"/>
      <c r="JT224" s="22"/>
      <c r="JU224" s="20"/>
      <c r="JV224" s="22"/>
      <c r="JW224" s="20"/>
      <c r="JX224" s="22"/>
      <c r="JY224" s="20"/>
      <c r="JZ224" s="22"/>
      <c r="KA224" s="20"/>
      <c r="KB224" s="22"/>
      <c r="KC224" s="20"/>
      <c r="KD224" s="22"/>
      <c r="KE224" s="20"/>
      <c r="KF224" s="22"/>
      <c r="KG224" s="20"/>
      <c r="KH224" s="22"/>
      <c r="KI224" s="20"/>
      <c r="KJ224" s="22"/>
      <c r="KK224" s="20"/>
      <c r="KL224" s="22"/>
      <c r="KM224" s="20"/>
      <c r="KN224" s="22"/>
      <c r="KO224" s="20"/>
      <c r="KP224" s="22"/>
      <c r="KQ224" s="20"/>
      <c r="KR224" s="22"/>
      <c r="KS224" s="20"/>
      <c r="KT224" s="22"/>
      <c r="KU224" s="20"/>
      <c r="KV224" s="22"/>
      <c r="KW224" s="20"/>
      <c r="KX224" s="22"/>
      <c r="KY224" s="20"/>
      <c r="KZ224" s="22"/>
      <c r="LA224" s="20"/>
      <c r="LB224" s="22"/>
      <c r="LC224" s="20"/>
      <c r="LD224" s="22"/>
      <c r="LE224" s="20"/>
      <c r="LF224" s="22"/>
      <c r="LG224" s="20"/>
      <c r="LH224" s="22"/>
      <c r="LI224" s="20"/>
      <c r="LJ224" s="22"/>
      <c r="LK224" s="20"/>
      <c r="LL224" s="22"/>
      <c r="LM224" s="20"/>
      <c r="LN224" s="22"/>
      <c r="LO224" s="20"/>
      <c r="LP224" s="22"/>
      <c r="LQ224" s="20"/>
      <c r="LR224" s="22"/>
      <c r="LS224" s="20"/>
      <c r="LT224" s="22"/>
      <c r="LU224" s="20"/>
      <c r="LV224" s="22"/>
      <c r="LW224" s="20"/>
      <c r="LX224" s="22"/>
      <c r="LY224" s="20"/>
      <c r="LZ224" s="22"/>
      <c r="MA224" s="20"/>
      <c r="MB224" s="22"/>
      <c r="MC224" s="20"/>
      <c r="MD224" s="22"/>
      <c r="ME224" s="20"/>
      <c r="MF224" s="22"/>
      <c r="MG224" s="20"/>
      <c r="MH224" s="22"/>
      <c r="MI224" s="20"/>
      <c r="MJ224" s="22"/>
      <c r="MK224" s="20"/>
      <c r="ML224" s="22"/>
      <c r="MM224" s="20"/>
      <c r="MN224" s="22"/>
      <c r="MO224" s="20"/>
      <c r="MP224" s="22"/>
      <c r="MQ224" s="20"/>
      <c r="MR224" s="22"/>
      <c r="MS224" s="20"/>
      <c r="MT224" s="22"/>
      <c r="MU224" s="20"/>
      <c r="MV224" s="22"/>
      <c r="MW224" s="20"/>
      <c r="MX224" s="22"/>
      <c r="MY224" s="20"/>
      <c r="MZ224" s="22"/>
      <c r="NA224" s="20"/>
      <c r="NB224" s="22"/>
      <c r="NC224" s="20"/>
      <c r="ND224" s="22"/>
      <c r="NE224" s="20"/>
      <c r="NF224" s="73"/>
    </row>
    <row r="225" hidden="1">
      <c r="A225" s="237"/>
      <c r="B225" s="267"/>
      <c r="C225" s="239">
        <v>46216.0</v>
      </c>
      <c r="D225" s="284" t="s">
        <v>406</v>
      </c>
      <c r="E225" s="242" t="s">
        <v>47</v>
      </c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  <c r="CI225" s="73"/>
      <c r="CJ225" s="73"/>
      <c r="CK225" s="73"/>
      <c r="CL225" s="73"/>
      <c r="CM225" s="73"/>
      <c r="CN225" s="73"/>
      <c r="CO225" s="73"/>
      <c r="CP225" s="73"/>
      <c r="CQ225" s="73"/>
      <c r="CR225" s="73"/>
      <c r="CS225" s="73"/>
      <c r="CT225" s="73"/>
      <c r="CU225" s="73"/>
      <c r="CV225" s="73"/>
      <c r="CW225" s="73"/>
      <c r="CX225" s="73"/>
      <c r="CY225" s="73"/>
      <c r="CZ225" s="73"/>
      <c r="DA225" s="73"/>
      <c r="DB225" s="73"/>
      <c r="DC225" s="73"/>
      <c r="DD225" s="73"/>
      <c r="DE225" s="73"/>
      <c r="DF225" s="73"/>
      <c r="DG225" s="73"/>
      <c r="DH225" s="73"/>
      <c r="DI225" s="73"/>
      <c r="DJ225" s="73"/>
      <c r="DK225" s="73"/>
      <c r="DL225" s="73"/>
      <c r="DM225" s="73"/>
      <c r="DN225" s="73"/>
      <c r="DO225" s="73"/>
      <c r="DP225" s="73"/>
      <c r="DQ225" s="73"/>
      <c r="DR225" s="73"/>
      <c r="DS225" s="73"/>
      <c r="DT225" s="73"/>
      <c r="DU225" s="73"/>
      <c r="DV225" s="22"/>
      <c r="DW225" s="20"/>
      <c r="DX225" s="22"/>
      <c r="DY225" s="20"/>
      <c r="DZ225" s="22"/>
      <c r="EA225" s="20"/>
      <c r="EB225" s="22"/>
      <c r="EC225" s="20"/>
      <c r="ED225" s="22"/>
      <c r="EE225" s="20"/>
      <c r="EF225" s="22"/>
      <c r="EG225" s="20"/>
      <c r="EH225" s="22"/>
      <c r="EI225" s="20"/>
      <c r="EJ225" s="22"/>
      <c r="EK225" s="20"/>
      <c r="EL225" s="22"/>
      <c r="EM225" s="20"/>
      <c r="EN225" s="22"/>
      <c r="EO225" s="20"/>
      <c r="EP225" s="22"/>
      <c r="EQ225" s="20"/>
      <c r="ER225" s="22"/>
      <c r="ES225" s="20"/>
      <c r="ET225" s="22"/>
      <c r="EU225" s="20"/>
      <c r="EV225" s="22"/>
      <c r="EW225" s="20"/>
      <c r="EX225" s="22"/>
      <c r="EY225" s="20"/>
      <c r="EZ225" s="22"/>
      <c r="FA225" s="20"/>
      <c r="FB225" s="22"/>
      <c r="FC225" s="20"/>
      <c r="FD225" s="22"/>
      <c r="FE225" s="20"/>
      <c r="FF225" s="22"/>
      <c r="FG225" s="20"/>
      <c r="FH225" s="22"/>
      <c r="FI225" s="20"/>
      <c r="FJ225" s="22"/>
      <c r="FK225" s="20"/>
      <c r="FL225" s="22"/>
      <c r="FM225" s="20"/>
      <c r="FN225" s="22"/>
      <c r="FO225" s="20"/>
      <c r="FP225" s="22"/>
      <c r="FQ225" s="20"/>
      <c r="FR225" s="22"/>
      <c r="FS225" s="20"/>
      <c r="FT225" s="22"/>
      <c r="FU225" s="20"/>
      <c r="FV225" s="22"/>
      <c r="FW225" s="20"/>
      <c r="FX225" s="22"/>
      <c r="FY225" s="20"/>
      <c r="FZ225" s="22"/>
      <c r="GA225" s="20"/>
      <c r="GB225" s="22"/>
      <c r="GC225" s="20"/>
      <c r="GD225" s="22"/>
      <c r="GE225" s="20"/>
      <c r="GF225" s="22"/>
      <c r="GG225" s="20"/>
      <c r="GH225" s="22"/>
      <c r="GI225" s="20"/>
      <c r="GJ225" s="22"/>
      <c r="GK225" s="20"/>
      <c r="GL225" s="22"/>
      <c r="GM225" s="20"/>
      <c r="GN225" s="20">
        <v>1.0</v>
      </c>
      <c r="GO225" s="20"/>
      <c r="GP225" s="22"/>
      <c r="GQ225" s="20">
        <v>1.0</v>
      </c>
      <c r="GR225" s="20">
        <v>2.0</v>
      </c>
      <c r="GS225" s="20"/>
      <c r="GT225" s="22"/>
      <c r="GU225" s="20"/>
      <c r="GV225" s="22"/>
      <c r="GW225" s="20"/>
      <c r="GX225" s="22"/>
      <c r="GY225" s="20"/>
      <c r="GZ225" s="22"/>
      <c r="HA225" s="20"/>
      <c r="HB225" s="22"/>
      <c r="HC225" s="20"/>
      <c r="HD225" s="22"/>
      <c r="HE225" s="20"/>
      <c r="HF225" s="22"/>
      <c r="HG225" s="20"/>
      <c r="HH225" s="22"/>
      <c r="HI225" s="20"/>
      <c r="HJ225" s="22"/>
      <c r="HK225" s="20"/>
      <c r="HL225" s="22"/>
      <c r="HM225" s="20"/>
      <c r="HN225" s="22"/>
      <c r="HO225" s="20"/>
      <c r="HP225" s="22"/>
      <c r="HQ225" s="20"/>
      <c r="HR225" s="22"/>
      <c r="HS225" s="20"/>
      <c r="HT225" s="22"/>
      <c r="HU225" s="20"/>
      <c r="HV225" s="22"/>
      <c r="HW225" s="20"/>
      <c r="HX225" s="22"/>
      <c r="HY225" s="20"/>
      <c r="HZ225" s="22"/>
      <c r="IA225" s="20"/>
      <c r="IB225" s="22"/>
      <c r="IC225" s="20"/>
      <c r="ID225" s="22"/>
      <c r="IE225" s="20"/>
      <c r="IF225" s="22"/>
      <c r="IG225" s="20"/>
      <c r="IH225" s="22"/>
      <c r="II225" s="20"/>
      <c r="IJ225" s="22"/>
      <c r="IK225" s="20"/>
      <c r="IL225" s="22"/>
      <c r="IM225" s="20"/>
      <c r="IN225" s="22"/>
      <c r="IO225" s="20"/>
      <c r="IP225" s="22"/>
      <c r="IQ225" s="20"/>
      <c r="IR225" s="22"/>
      <c r="IS225" s="20"/>
      <c r="IT225" s="22"/>
      <c r="IU225" s="20"/>
      <c r="IV225" s="22"/>
      <c r="IW225" s="20"/>
      <c r="IX225" s="22"/>
      <c r="IY225" s="20"/>
      <c r="IZ225" s="22"/>
      <c r="JA225" s="20"/>
      <c r="JB225" s="22"/>
      <c r="JC225" s="20"/>
      <c r="JD225" s="22"/>
      <c r="JE225" s="20"/>
      <c r="JF225" s="22"/>
      <c r="JG225" s="20"/>
      <c r="JH225" s="22"/>
      <c r="JI225" s="20"/>
      <c r="JJ225" s="22"/>
      <c r="JK225" s="20"/>
      <c r="JL225" s="22"/>
      <c r="JM225" s="20"/>
      <c r="JN225" s="22"/>
      <c r="JO225" s="20"/>
      <c r="JP225" s="22"/>
      <c r="JQ225" s="20"/>
      <c r="JR225" s="22"/>
      <c r="JS225" s="20"/>
      <c r="JT225" s="22"/>
      <c r="JU225" s="20"/>
      <c r="JV225" s="22"/>
      <c r="JW225" s="20"/>
      <c r="JX225" s="22"/>
      <c r="JY225" s="20"/>
      <c r="JZ225" s="22"/>
      <c r="KA225" s="20"/>
      <c r="KB225" s="22"/>
      <c r="KC225" s="20"/>
      <c r="KD225" s="22"/>
      <c r="KE225" s="20"/>
      <c r="KF225" s="22"/>
      <c r="KG225" s="20"/>
      <c r="KH225" s="22"/>
      <c r="KI225" s="20"/>
      <c r="KJ225" s="22"/>
      <c r="KK225" s="20"/>
      <c r="KL225" s="22"/>
      <c r="KM225" s="20"/>
      <c r="KN225" s="22"/>
      <c r="KO225" s="20"/>
      <c r="KP225" s="22"/>
      <c r="KQ225" s="20"/>
      <c r="KR225" s="22"/>
      <c r="KS225" s="20"/>
      <c r="KT225" s="22"/>
      <c r="KU225" s="20"/>
      <c r="KV225" s="22"/>
      <c r="KW225" s="20"/>
      <c r="KX225" s="22"/>
      <c r="KY225" s="20"/>
      <c r="KZ225" s="22"/>
      <c r="LA225" s="20"/>
      <c r="LB225" s="22"/>
      <c r="LC225" s="20"/>
      <c r="LD225" s="22"/>
      <c r="LE225" s="20"/>
      <c r="LF225" s="22"/>
      <c r="LG225" s="20"/>
      <c r="LH225" s="22"/>
      <c r="LI225" s="20"/>
      <c r="LJ225" s="22"/>
      <c r="LK225" s="20"/>
      <c r="LL225" s="22"/>
      <c r="LM225" s="20"/>
      <c r="LN225" s="22"/>
      <c r="LO225" s="20"/>
      <c r="LP225" s="22"/>
      <c r="LQ225" s="20"/>
      <c r="LR225" s="22"/>
      <c r="LS225" s="20"/>
      <c r="LT225" s="22"/>
      <c r="LU225" s="20"/>
      <c r="LV225" s="22"/>
      <c r="LW225" s="20"/>
      <c r="LX225" s="22"/>
      <c r="LY225" s="20"/>
      <c r="LZ225" s="22"/>
      <c r="MA225" s="20"/>
      <c r="MB225" s="22"/>
      <c r="MC225" s="20"/>
      <c r="MD225" s="22"/>
      <c r="ME225" s="20"/>
      <c r="MF225" s="22"/>
      <c r="MG225" s="20"/>
      <c r="MH225" s="22"/>
      <c r="MI225" s="20"/>
      <c r="MJ225" s="22"/>
      <c r="MK225" s="20"/>
      <c r="ML225" s="22"/>
      <c r="MM225" s="20"/>
      <c r="MN225" s="22"/>
      <c r="MO225" s="20"/>
      <c r="MP225" s="22"/>
      <c r="MQ225" s="20"/>
      <c r="MR225" s="22"/>
      <c r="MS225" s="20"/>
      <c r="MT225" s="22"/>
      <c r="MU225" s="20"/>
      <c r="MV225" s="22"/>
      <c r="MW225" s="20"/>
      <c r="MX225" s="22"/>
      <c r="MY225" s="20"/>
      <c r="MZ225" s="22"/>
      <c r="NA225" s="20"/>
      <c r="NB225" s="22"/>
      <c r="NC225" s="20"/>
      <c r="ND225" s="22"/>
      <c r="NE225" s="20"/>
      <c r="NF225" s="73"/>
    </row>
    <row r="226" hidden="1">
      <c r="A226" s="237"/>
      <c r="B226" s="267"/>
      <c r="C226" s="239">
        <v>46217.0</v>
      </c>
      <c r="D226" s="284" t="s">
        <v>407</v>
      </c>
      <c r="E226" s="242" t="s">
        <v>47</v>
      </c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  <c r="CI226" s="73"/>
      <c r="CJ226" s="73"/>
      <c r="CK226" s="73"/>
      <c r="CL226" s="73"/>
      <c r="CM226" s="73"/>
      <c r="CN226" s="73"/>
      <c r="CO226" s="73"/>
      <c r="CP226" s="73"/>
      <c r="CQ226" s="73"/>
      <c r="CR226" s="73"/>
      <c r="CS226" s="73"/>
      <c r="CT226" s="73"/>
      <c r="CU226" s="73"/>
      <c r="CV226" s="73"/>
      <c r="CW226" s="73"/>
      <c r="CX226" s="73"/>
      <c r="CY226" s="73"/>
      <c r="CZ226" s="73"/>
      <c r="DA226" s="73"/>
      <c r="DB226" s="73"/>
      <c r="DC226" s="73"/>
      <c r="DD226" s="73"/>
      <c r="DE226" s="73"/>
      <c r="DF226" s="73"/>
      <c r="DG226" s="73"/>
      <c r="DH226" s="73"/>
      <c r="DI226" s="73"/>
      <c r="DJ226" s="73"/>
      <c r="DK226" s="73"/>
      <c r="DL226" s="73"/>
      <c r="DM226" s="73"/>
      <c r="DN226" s="73"/>
      <c r="DO226" s="73"/>
      <c r="DP226" s="73"/>
      <c r="DQ226" s="73"/>
      <c r="DR226" s="73"/>
      <c r="DS226" s="73"/>
      <c r="DT226" s="73"/>
      <c r="DU226" s="73"/>
      <c r="DV226" s="22"/>
      <c r="DW226" s="20"/>
      <c r="DX226" s="22"/>
      <c r="DY226" s="20"/>
      <c r="DZ226" s="22"/>
      <c r="EA226" s="20"/>
      <c r="EB226" s="22"/>
      <c r="EC226" s="20"/>
      <c r="ED226" s="22"/>
      <c r="EE226" s="20"/>
      <c r="EF226" s="22"/>
      <c r="EG226" s="20"/>
      <c r="EH226" s="22"/>
      <c r="EI226" s="20"/>
      <c r="EJ226" s="22"/>
      <c r="EK226" s="20"/>
      <c r="EL226" s="22"/>
      <c r="EM226" s="20"/>
      <c r="EN226" s="22"/>
      <c r="EO226" s="20"/>
      <c r="EP226" s="22"/>
      <c r="EQ226" s="20"/>
      <c r="ER226" s="22"/>
      <c r="ES226" s="20"/>
      <c r="ET226" s="22"/>
      <c r="EU226" s="20"/>
      <c r="EV226" s="22"/>
      <c r="EW226" s="20"/>
      <c r="EX226" s="22"/>
      <c r="EY226" s="20"/>
      <c r="EZ226" s="22"/>
      <c r="FA226" s="20"/>
      <c r="FB226" s="22"/>
      <c r="FC226" s="20"/>
      <c r="FD226" s="22"/>
      <c r="FE226" s="20"/>
      <c r="FF226" s="22"/>
      <c r="FG226" s="20"/>
      <c r="FH226" s="22"/>
      <c r="FI226" s="20"/>
      <c r="FJ226" s="22"/>
      <c r="FK226" s="20"/>
      <c r="FL226" s="22"/>
      <c r="FM226" s="20"/>
      <c r="FN226" s="22"/>
      <c r="FO226" s="20"/>
      <c r="FP226" s="22"/>
      <c r="FQ226" s="20"/>
      <c r="FR226" s="22"/>
      <c r="FS226" s="20"/>
      <c r="FT226" s="22"/>
      <c r="FU226" s="20"/>
      <c r="FV226" s="22"/>
      <c r="FW226" s="20"/>
      <c r="FX226" s="22"/>
      <c r="FY226" s="20"/>
      <c r="FZ226" s="22"/>
      <c r="GA226" s="20"/>
      <c r="GB226" s="22"/>
      <c r="GC226" s="20"/>
      <c r="GD226" s="22"/>
      <c r="GE226" s="20"/>
      <c r="GF226" s="22"/>
      <c r="GG226" s="20"/>
      <c r="GH226" s="22"/>
      <c r="GI226" s="20"/>
      <c r="GJ226" s="22"/>
      <c r="GK226" s="20"/>
      <c r="GL226" s="22"/>
      <c r="GM226" s="20"/>
      <c r="GN226" s="22"/>
      <c r="GO226" s="20"/>
      <c r="GP226" s="22"/>
      <c r="GQ226" s="20"/>
      <c r="GR226" s="20">
        <v>2.0</v>
      </c>
      <c r="GS226" s="20"/>
      <c r="GT226" s="22"/>
      <c r="GU226" s="20"/>
      <c r="GV226" s="22"/>
      <c r="GW226" s="20"/>
      <c r="GX226" s="22"/>
      <c r="GY226" s="20"/>
      <c r="GZ226" s="22"/>
      <c r="HA226" s="20"/>
      <c r="HB226" s="22"/>
      <c r="HC226" s="20"/>
      <c r="HD226" s="22"/>
      <c r="HE226" s="20"/>
      <c r="HF226" s="22"/>
      <c r="HG226" s="20"/>
      <c r="HH226" s="22"/>
      <c r="HI226" s="20"/>
      <c r="HJ226" s="22"/>
      <c r="HK226" s="20"/>
      <c r="HL226" s="22"/>
      <c r="HM226" s="20"/>
      <c r="HN226" s="22"/>
      <c r="HO226" s="20"/>
      <c r="HP226" s="22"/>
      <c r="HQ226" s="20"/>
      <c r="HR226" s="22"/>
      <c r="HS226" s="20"/>
      <c r="HT226" s="22"/>
      <c r="HU226" s="20"/>
      <c r="HV226" s="22"/>
      <c r="HW226" s="20"/>
      <c r="HX226" s="22"/>
      <c r="HY226" s="20"/>
      <c r="HZ226" s="22"/>
      <c r="IA226" s="20"/>
      <c r="IB226" s="22"/>
      <c r="IC226" s="20"/>
      <c r="ID226" s="22"/>
      <c r="IE226" s="20"/>
      <c r="IF226" s="22"/>
      <c r="IG226" s="20"/>
      <c r="IH226" s="22"/>
      <c r="II226" s="20"/>
      <c r="IJ226" s="22"/>
      <c r="IK226" s="20"/>
      <c r="IL226" s="22"/>
      <c r="IM226" s="20"/>
      <c r="IN226" s="22"/>
      <c r="IO226" s="20"/>
      <c r="IP226" s="22"/>
      <c r="IQ226" s="20"/>
      <c r="IR226" s="22"/>
      <c r="IS226" s="20"/>
      <c r="IT226" s="22"/>
      <c r="IU226" s="20"/>
      <c r="IV226" s="22"/>
      <c r="IW226" s="20"/>
      <c r="IX226" s="22"/>
      <c r="IY226" s="20"/>
      <c r="IZ226" s="22"/>
      <c r="JA226" s="20"/>
      <c r="JB226" s="22"/>
      <c r="JC226" s="20"/>
      <c r="JD226" s="22"/>
      <c r="JE226" s="20"/>
      <c r="JF226" s="22"/>
      <c r="JG226" s="20"/>
      <c r="JH226" s="22"/>
      <c r="JI226" s="20"/>
      <c r="JJ226" s="22"/>
      <c r="JK226" s="20"/>
      <c r="JL226" s="22"/>
      <c r="JM226" s="20"/>
      <c r="JN226" s="22"/>
      <c r="JO226" s="20"/>
      <c r="JP226" s="22"/>
      <c r="JQ226" s="20"/>
      <c r="JR226" s="22"/>
      <c r="JS226" s="20"/>
      <c r="JT226" s="22"/>
      <c r="JU226" s="20"/>
      <c r="JV226" s="22"/>
      <c r="JW226" s="20"/>
      <c r="JX226" s="22"/>
      <c r="JY226" s="20"/>
      <c r="JZ226" s="22"/>
      <c r="KA226" s="20"/>
      <c r="KB226" s="22"/>
      <c r="KC226" s="20"/>
      <c r="KD226" s="22"/>
      <c r="KE226" s="20"/>
      <c r="KF226" s="22"/>
      <c r="KG226" s="20"/>
      <c r="KH226" s="22"/>
      <c r="KI226" s="20"/>
      <c r="KJ226" s="22"/>
      <c r="KK226" s="20"/>
      <c r="KL226" s="22"/>
      <c r="KM226" s="20"/>
      <c r="KN226" s="22"/>
      <c r="KO226" s="20"/>
      <c r="KP226" s="22"/>
      <c r="KQ226" s="20"/>
      <c r="KR226" s="22"/>
      <c r="KS226" s="20"/>
      <c r="KT226" s="22"/>
      <c r="KU226" s="20"/>
      <c r="KV226" s="22"/>
      <c r="KW226" s="20"/>
      <c r="KX226" s="22"/>
      <c r="KY226" s="20"/>
      <c r="KZ226" s="22"/>
      <c r="LA226" s="20"/>
      <c r="LB226" s="22"/>
      <c r="LC226" s="20"/>
      <c r="LD226" s="22"/>
      <c r="LE226" s="20"/>
      <c r="LF226" s="22"/>
      <c r="LG226" s="20"/>
      <c r="LH226" s="22"/>
      <c r="LI226" s="20"/>
      <c r="LJ226" s="22"/>
      <c r="LK226" s="20"/>
      <c r="LL226" s="22"/>
      <c r="LM226" s="20"/>
      <c r="LN226" s="22"/>
      <c r="LO226" s="20"/>
      <c r="LP226" s="22"/>
      <c r="LQ226" s="20"/>
      <c r="LR226" s="22"/>
      <c r="LS226" s="20"/>
      <c r="LT226" s="22"/>
      <c r="LU226" s="20"/>
      <c r="LV226" s="22"/>
      <c r="LW226" s="20"/>
      <c r="LX226" s="22"/>
      <c r="LY226" s="20"/>
      <c r="LZ226" s="22"/>
      <c r="MA226" s="20"/>
      <c r="MB226" s="22"/>
      <c r="MC226" s="20"/>
      <c r="MD226" s="22"/>
      <c r="ME226" s="20"/>
      <c r="MF226" s="22"/>
      <c r="MG226" s="20"/>
      <c r="MH226" s="22"/>
      <c r="MI226" s="20"/>
      <c r="MJ226" s="22"/>
      <c r="MK226" s="20"/>
      <c r="ML226" s="22"/>
      <c r="MM226" s="20"/>
      <c r="MN226" s="22"/>
      <c r="MO226" s="20"/>
      <c r="MP226" s="22"/>
      <c r="MQ226" s="20"/>
      <c r="MR226" s="22"/>
      <c r="MS226" s="20"/>
      <c r="MT226" s="22"/>
      <c r="MU226" s="20"/>
      <c r="MV226" s="22"/>
      <c r="MW226" s="20"/>
      <c r="MX226" s="22"/>
      <c r="MY226" s="20"/>
      <c r="MZ226" s="22"/>
      <c r="NA226" s="20"/>
      <c r="NB226" s="22"/>
      <c r="NC226" s="20"/>
      <c r="ND226" s="22"/>
      <c r="NE226" s="20"/>
      <c r="NF226" s="73"/>
    </row>
    <row r="227" hidden="1">
      <c r="A227" s="237"/>
      <c r="B227" s="267"/>
      <c r="C227" s="239">
        <v>46219.0</v>
      </c>
      <c r="D227" s="284" t="s">
        <v>408</v>
      </c>
      <c r="E227" s="242" t="s">
        <v>47</v>
      </c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  <c r="CI227" s="73"/>
      <c r="CJ227" s="73"/>
      <c r="CK227" s="73"/>
      <c r="CL227" s="73"/>
      <c r="CM227" s="73"/>
      <c r="CN227" s="73"/>
      <c r="CO227" s="73"/>
      <c r="CP227" s="73"/>
      <c r="CQ227" s="73"/>
      <c r="CR227" s="73"/>
      <c r="CS227" s="73"/>
      <c r="CT227" s="73"/>
      <c r="CU227" s="73"/>
      <c r="CV227" s="73"/>
      <c r="CW227" s="73"/>
      <c r="CX227" s="73"/>
      <c r="CY227" s="73"/>
      <c r="CZ227" s="73"/>
      <c r="DA227" s="73"/>
      <c r="DB227" s="73"/>
      <c r="DC227" s="73"/>
      <c r="DD227" s="73"/>
      <c r="DE227" s="73"/>
      <c r="DF227" s="73"/>
      <c r="DG227" s="73"/>
      <c r="DH227" s="73"/>
      <c r="DI227" s="73"/>
      <c r="DJ227" s="73"/>
      <c r="DK227" s="73"/>
      <c r="DL227" s="73"/>
      <c r="DM227" s="73"/>
      <c r="DN227" s="73"/>
      <c r="DO227" s="73"/>
      <c r="DP227" s="73"/>
      <c r="DQ227" s="73"/>
      <c r="DR227" s="73"/>
      <c r="DS227" s="73"/>
      <c r="DT227" s="73"/>
      <c r="DU227" s="73"/>
      <c r="DV227" s="22"/>
      <c r="DW227" s="20"/>
      <c r="DX227" s="22"/>
      <c r="DY227" s="20"/>
      <c r="DZ227" s="22"/>
      <c r="EA227" s="20"/>
      <c r="EB227" s="22"/>
      <c r="EC227" s="20"/>
      <c r="ED227" s="22"/>
      <c r="EE227" s="20"/>
      <c r="EF227" s="22"/>
      <c r="EG227" s="20"/>
      <c r="EH227" s="22"/>
      <c r="EI227" s="20"/>
      <c r="EJ227" s="22"/>
      <c r="EK227" s="20"/>
      <c r="EL227" s="22"/>
      <c r="EM227" s="20"/>
      <c r="EN227" s="22"/>
      <c r="EO227" s="20"/>
      <c r="EP227" s="22"/>
      <c r="EQ227" s="20"/>
      <c r="ER227" s="22"/>
      <c r="ES227" s="20"/>
      <c r="ET227" s="22"/>
      <c r="EU227" s="20"/>
      <c r="EV227" s="22"/>
      <c r="EW227" s="20"/>
      <c r="EX227" s="22"/>
      <c r="EY227" s="20"/>
      <c r="EZ227" s="22"/>
      <c r="FA227" s="20"/>
      <c r="FB227" s="22"/>
      <c r="FC227" s="20"/>
      <c r="FD227" s="22"/>
      <c r="FE227" s="20"/>
      <c r="FF227" s="22"/>
      <c r="FG227" s="20"/>
      <c r="FH227" s="22"/>
      <c r="FI227" s="20"/>
      <c r="FJ227" s="22"/>
      <c r="FK227" s="20"/>
      <c r="FL227" s="22"/>
      <c r="FM227" s="20"/>
      <c r="FN227" s="22"/>
      <c r="FO227" s="20"/>
      <c r="FP227" s="22"/>
      <c r="FQ227" s="20"/>
      <c r="FR227" s="22"/>
      <c r="FS227" s="20"/>
      <c r="FT227" s="22"/>
      <c r="FU227" s="20"/>
      <c r="FV227" s="22"/>
      <c r="FW227" s="20"/>
      <c r="FX227" s="22"/>
      <c r="FY227" s="20"/>
      <c r="FZ227" s="22"/>
      <c r="GA227" s="20"/>
      <c r="GB227" s="22"/>
      <c r="GC227" s="20"/>
      <c r="GD227" s="22"/>
      <c r="GE227" s="20"/>
      <c r="GF227" s="22"/>
      <c r="GG227" s="20"/>
      <c r="GH227" s="22"/>
      <c r="GI227" s="20"/>
      <c r="GJ227" s="22"/>
      <c r="GK227" s="20"/>
      <c r="GL227" s="22"/>
      <c r="GM227" s="20"/>
      <c r="GN227" s="22"/>
      <c r="GO227" s="20"/>
      <c r="GP227" s="22"/>
      <c r="GQ227" s="20"/>
      <c r="GR227" s="22"/>
      <c r="GS227" s="20">
        <v>2.0</v>
      </c>
      <c r="GT227" s="22"/>
      <c r="GU227" s="20"/>
      <c r="GV227" s="22"/>
      <c r="GW227" s="20"/>
      <c r="GX227" s="22"/>
      <c r="GY227" s="20"/>
      <c r="GZ227" s="22"/>
      <c r="HA227" s="20"/>
      <c r="HB227" s="22"/>
      <c r="HC227" s="20"/>
      <c r="HD227" s="22"/>
      <c r="HE227" s="20"/>
      <c r="HF227" s="22"/>
      <c r="HG227" s="20"/>
      <c r="HH227" s="22"/>
      <c r="HI227" s="20"/>
      <c r="HJ227" s="22"/>
      <c r="HK227" s="20"/>
      <c r="HL227" s="22"/>
      <c r="HM227" s="20"/>
      <c r="HN227" s="22"/>
      <c r="HO227" s="20"/>
      <c r="HP227" s="22"/>
      <c r="HQ227" s="20"/>
      <c r="HR227" s="22"/>
      <c r="HS227" s="20"/>
      <c r="HT227" s="22"/>
      <c r="HU227" s="20"/>
      <c r="HV227" s="22"/>
      <c r="HW227" s="20"/>
      <c r="HX227" s="22"/>
      <c r="HY227" s="20"/>
      <c r="HZ227" s="22"/>
      <c r="IA227" s="20"/>
      <c r="IB227" s="22"/>
      <c r="IC227" s="20"/>
      <c r="ID227" s="22"/>
      <c r="IE227" s="20"/>
      <c r="IF227" s="22"/>
      <c r="IG227" s="20"/>
      <c r="IH227" s="22"/>
      <c r="II227" s="20"/>
      <c r="IJ227" s="22"/>
      <c r="IK227" s="20"/>
      <c r="IL227" s="22"/>
      <c r="IM227" s="20"/>
      <c r="IN227" s="22"/>
      <c r="IO227" s="20"/>
      <c r="IP227" s="22"/>
      <c r="IQ227" s="20"/>
      <c r="IR227" s="22"/>
      <c r="IS227" s="20"/>
      <c r="IT227" s="22"/>
      <c r="IU227" s="20"/>
      <c r="IV227" s="22"/>
      <c r="IW227" s="20"/>
      <c r="IX227" s="22"/>
      <c r="IY227" s="20"/>
      <c r="IZ227" s="22"/>
      <c r="JA227" s="20"/>
      <c r="JB227" s="22"/>
      <c r="JC227" s="20"/>
      <c r="JD227" s="22"/>
      <c r="JE227" s="20"/>
      <c r="JF227" s="22"/>
      <c r="JG227" s="20"/>
      <c r="JH227" s="22"/>
      <c r="JI227" s="20"/>
      <c r="JJ227" s="22"/>
      <c r="JK227" s="20"/>
      <c r="JL227" s="22"/>
      <c r="JM227" s="20"/>
      <c r="JN227" s="22"/>
      <c r="JO227" s="20"/>
      <c r="JP227" s="22"/>
      <c r="JQ227" s="20"/>
      <c r="JR227" s="22"/>
      <c r="JS227" s="20"/>
      <c r="JT227" s="22"/>
      <c r="JU227" s="20"/>
      <c r="JV227" s="22"/>
      <c r="JW227" s="20"/>
      <c r="JX227" s="22"/>
      <c r="JY227" s="20"/>
      <c r="JZ227" s="22"/>
      <c r="KA227" s="20"/>
      <c r="KB227" s="22"/>
      <c r="KC227" s="20"/>
      <c r="KD227" s="22"/>
      <c r="KE227" s="20"/>
      <c r="KF227" s="22"/>
      <c r="KG227" s="20"/>
      <c r="KH227" s="22"/>
      <c r="KI227" s="20"/>
      <c r="KJ227" s="22"/>
      <c r="KK227" s="20"/>
      <c r="KL227" s="22"/>
      <c r="KM227" s="20"/>
      <c r="KN227" s="22"/>
      <c r="KO227" s="20"/>
      <c r="KP227" s="22"/>
      <c r="KQ227" s="20"/>
      <c r="KR227" s="22"/>
      <c r="KS227" s="20"/>
      <c r="KT227" s="22"/>
      <c r="KU227" s="20"/>
      <c r="KV227" s="22"/>
      <c r="KW227" s="20"/>
      <c r="KX227" s="22"/>
      <c r="KY227" s="20"/>
      <c r="KZ227" s="22"/>
      <c r="LA227" s="20"/>
      <c r="LB227" s="22"/>
      <c r="LC227" s="20"/>
      <c r="LD227" s="22"/>
      <c r="LE227" s="20"/>
      <c r="LF227" s="22"/>
      <c r="LG227" s="20"/>
      <c r="LH227" s="22"/>
      <c r="LI227" s="20"/>
      <c r="LJ227" s="22"/>
      <c r="LK227" s="20"/>
      <c r="LL227" s="22"/>
      <c r="LM227" s="20"/>
      <c r="LN227" s="22"/>
      <c r="LO227" s="20"/>
      <c r="LP227" s="22"/>
      <c r="LQ227" s="20"/>
      <c r="LR227" s="22"/>
      <c r="LS227" s="20"/>
      <c r="LT227" s="22"/>
      <c r="LU227" s="20"/>
      <c r="LV227" s="22"/>
      <c r="LW227" s="20"/>
      <c r="LX227" s="22"/>
      <c r="LY227" s="20"/>
      <c r="LZ227" s="22"/>
      <c r="MA227" s="20"/>
      <c r="MB227" s="22"/>
      <c r="MC227" s="20"/>
      <c r="MD227" s="22"/>
      <c r="ME227" s="20"/>
      <c r="MF227" s="22"/>
      <c r="MG227" s="20"/>
      <c r="MH227" s="22"/>
      <c r="MI227" s="20"/>
      <c r="MJ227" s="22"/>
      <c r="MK227" s="20"/>
      <c r="ML227" s="22"/>
      <c r="MM227" s="20"/>
      <c r="MN227" s="22"/>
      <c r="MO227" s="20"/>
      <c r="MP227" s="22"/>
      <c r="MQ227" s="20"/>
      <c r="MR227" s="22"/>
      <c r="MS227" s="20"/>
      <c r="MT227" s="22"/>
      <c r="MU227" s="20"/>
      <c r="MV227" s="22"/>
      <c r="MW227" s="20"/>
      <c r="MX227" s="22"/>
      <c r="MY227" s="20"/>
      <c r="MZ227" s="22"/>
      <c r="NA227" s="20"/>
      <c r="NB227" s="22"/>
      <c r="NC227" s="20"/>
      <c r="ND227" s="22"/>
      <c r="NE227" s="20"/>
      <c r="NF227" s="73"/>
    </row>
    <row r="228" hidden="1">
      <c r="A228" s="237"/>
      <c r="B228" s="267"/>
      <c r="C228" s="239">
        <v>46219.0</v>
      </c>
      <c r="D228" s="284" t="s">
        <v>409</v>
      </c>
      <c r="E228" s="242" t="s">
        <v>47</v>
      </c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  <c r="CI228" s="73"/>
      <c r="CJ228" s="73"/>
      <c r="CK228" s="73"/>
      <c r="CL228" s="73"/>
      <c r="CM228" s="73"/>
      <c r="CN228" s="73"/>
      <c r="CO228" s="73"/>
      <c r="CP228" s="73"/>
      <c r="CQ228" s="73"/>
      <c r="CR228" s="73"/>
      <c r="CS228" s="73"/>
      <c r="CT228" s="73"/>
      <c r="CU228" s="73"/>
      <c r="CV228" s="73"/>
      <c r="CW228" s="73"/>
      <c r="CX228" s="73"/>
      <c r="CY228" s="73"/>
      <c r="CZ228" s="73"/>
      <c r="DA228" s="73"/>
      <c r="DB228" s="73"/>
      <c r="DC228" s="73"/>
      <c r="DD228" s="73"/>
      <c r="DE228" s="73"/>
      <c r="DF228" s="73"/>
      <c r="DG228" s="73"/>
      <c r="DH228" s="73"/>
      <c r="DI228" s="73"/>
      <c r="DJ228" s="73"/>
      <c r="DK228" s="73"/>
      <c r="DL228" s="73"/>
      <c r="DM228" s="73"/>
      <c r="DN228" s="73"/>
      <c r="DO228" s="73"/>
      <c r="DP228" s="73"/>
      <c r="DQ228" s="73"/>
      <c r="DR228" s="73"/>
      <c r="DS228" s="73"/>
      <c r="DT228" s="73"/>
      <c r="DU228" s="73"/>
      <c r="DV228" s="22"/>
      <c r="DW228" s="20"/>
      <c r="DX228" s="22"/>
      <c r="DY228" s="20"/>
      <c r="DZ228" s="22"/>
      <c r="EA228" s="20"/>
      <c r="EB228" s="22"/>
      <c r="EC228" s="20"/>
      <c r="ED228" s="22"/>
      <c r="EE228" s="20"/>
      <c r="EF228" s="22"/>
      <c r="EG228" s="20"/>
      <c r="EH228" s="22"/>
      <c r="EI228" s="20"/>
      <c r="EJ228" s="22"/>
      <c r="EK228" s="20"/>
      <c r="EL228" s="22"/>
      <c r="EM228" s="20"/>
      <c r="EN228" s="22"/>
      <c r="EO228" s="20"/>
      <c r="EP228" s="22"/>
      <c r="EQ228" s="20"/>
      <c r="ER228" s="22"/>
      <c r="ES228" s="20"/>
      <c r="ET228" s="22"/>
      <c r="EU228" s="20"/>
      <c r="EV228" s="22"/>
      <c r="EW228" s="20"/>
      <c r="EX228" s="22"/>
      <c r="EY228" s="20"/>
      <c r="EZ228" s="22"/>
      <c r="FA228" s="20"/>
      <c r="FB228" s="22"/>
      <c r="FC228" s="20"/>
      <c r="FD228" s="22"/>
      <c r="FE228" s="20"/>
      <c r="FF228" s="22"/>
      <c r="FG228" s="20"/>
      <c r="FH228" s="22"/>
      <c r="FI228" s="20"/>
      <c r="FJ228" s="22"/>
      <c r="FK228" s="20"/>
      <c r="FL228" s="22"/>
      <c r="FM228" s="20"/>
      <c r="FN228" s="22"/>
      <c r="FO228" s="20"/>
      <c r="FP228" s="22"/>
      <c r="FQ228" s="20"/>
      <c r="FR228" s="22"/>
      <c r="FS228" s="20"/>
      <c r="FT228" s="22"/>
      <c r="FU228" s="20"/>
      <c r="FV228" s="22"/>
      <c r="FW228" s="20"/>
      <c r="FX228" s="22"/>
      <c r="FY228" s="20"/>
      <c r="FZ228" s="22"/>
      <c r="GA228" s="20"/>
      <c r="GB228" s="22"/>
      <c r="GC228" s="20"/>
      <c r="GD228" s="22"/>
      <c r="GE228" s="20"/>
      <c r="GF228" s="22"/>
      <c r="GG228" s="20"/>
      <c r="GH228" s="22"/>
      <c r="GI228" s="20"/>
      <c r="GJ228" s="22"/>
      <c r="GK228" s="20"/>
      <c r="GL228" s="22"/>
      <c r="GM228" s="20"/>
      <c r="GN228" s="20"/>
      <c r="GO228" s="20"/>
      <c r="GP228" s="22"/>
      <c r="GQ228" s="20"/>
      <c r="GR228" s="22"/>
      <c r="GS228" s="20">
        <v>2.0</v>
      </c>
      <c r="GT228" s="20">
        <v>2.0</v>
      </c>
      <c r="GU228" s="20"/>
      <c r="GV228" s="22"/>
      <c r="GW228" s="20"/>
      <c r="GX228" s="22"/>
      <c r="GY228" s="20"/>
      <c r="GZ228" s="22"/>
      <c r="HA228" s="20"/>
      <c r="HB228" s="22"/>
      <c r="HC228" s="20"/>
      <c r="HD228" s="22"/>
      <c r="HE228" s="20"/>
      <c r="HF228" s="22"/>
      <c r="HG228" s="20"/>
      <c r="HH228" s="22"/>
      <c r="HI228" s="20"/>
      <c r="HJ228" s="22"/>
      <c r="HK228" s="20"/>
      <c r="HL228" s="22"/>
      <c r="HM228" s="20">
        <v>1.0</v>
      </c>
      <c r="HN228" s="20">
        <v>2.0</v>
      </c>
      <c r="HO228" s="20"/>
      <c r="HP228" s="20">
        <v>1.0</v>
      </c>
      <c r="HQ228" s="20"/>
      <c r="HR228" s="22"/>
      <c r="HS228" s="20"/>
      <c r="HT228" s="22"/>
      <c r="HU228" s="20"/>
      <c r="HV228" s="22"/>
      <c r="HW228" s="20"/>
      <c r="HX228" s="22"/>
      <c r="HY228" s="20"/>
      <c r="HZ228" s="22"/>
      <c r="IA228" s="20"/>
      <c r="IB228" s="22"/>
      <c r="IC228" s="20"/>
      <c r="ID228" s="22"/>
      <c r="IE228" s="20"/>
      <c r="IF228" s="22"/>
      <c r="IG228" s="20"/>
      <c r="IH228" s="22"/>
      <c r="II228" s="20"/>
      <c r="IJ228" s="22"/>
      <c r="IK228" s="20"/>
      <c r="IL228" s="22"/>
      <c r="IM228" s="20"/>
      <c r="IN228" s="22"/>
      <c r="IO228" s="20"/>
      <c r="IP228" s="22"/>
      <c r="IQ228" s="20"/>
      <c r="IR228" s="22"/>
      <c r="IS228" s="20"/>
      <c r="IT228" s="22"/>
      <c r="IU228" s="20"/>
      <c r="IV228" s="22"/>
      <c r="IW228" s="20"/>
      <c r="IX228" s="22"/>
      <c r="IY228" s="20"/>
      <c r="IZ228" s="22"/>
      <c r="JA228" s="20"/>
      <c r="JB228" s="22"/>
      <c r="JC228" s="20"/>
      <c r="JD228" s="22"/>
      <c r="JE228" s="20"/>
      <c r="JF228" s="22"/>
      <c r="JG228" s="20"/>
      <c r="JH228" s="22"/>
      <c r="JI228" s="20"/>
      <c r="JJ228" s="22"/>
      <c r="JK228" s="20"/>
      <c r="JL228" s="22"/>
      <c r="JM228" s="20"/>
      <c r="JN228" s="22"/>
      <c r="JO228" s="20"/>
      <c r="JP228" s="22"/>
      <c r="JQ228" s="20"/>
      <c r="JR228" s="22"/>
      <c r="JS228" s="20"/>
      <c r="JT228" s="22"/>
      <c r="JU228" s="20"/>
      <c r="JV228" s="22"/>
      <c r="JW228" s="20"/>
      <c r="JX228" s="22"/>
      <c r="JY228" s="20"/>
      <c r="JZ228" s="22"/>
      <c r="KA228" s="20"/>
      <c r="KB228" s="22"/>
      <c r="KC228" s="20"/>
      <c r="KD228" s="22"/>
      <c r="KE228" s="20"/>
      <c r="KF228" s="22"/>
      <c r="KG228" s="20"/>
      <c r="KH228" s="22"/>
      <c r="KI228" s="20"/>
      <c r="KJ228" s="22"/>
      <c r="KK228" s="20"/>
      <c r="KL228" s="22"/>
      <c r="KM228" s="20"/>
      <c r="KN228" s="22"/>
      <c r="KO228" s="20"/>
      <c r="KP228" s="22"/>
      <c r="KQ228" s="20"/>
      <c r="KR228" s="22"/>
      <c r="KS228" s="20"/>
      <c r="KT228" s="22"/>
      <c r="KU228" s="20"/>
      <c r="KV228" s="22"/>
      <c r="KW228" s="20"/>
      <c r="KX228" s="22"/>
      <c r="KY228" s="20"/>
      <c r="KZ228" s="22"/>
      <c r="LA228" s="20"/>
      <c r="LB228" s="22"/>
      <c r="LC228" s="20"/>
      <c r="LD228" s="22"/>
      <c r="LE228" s="20"/>
      <c r="LF228" s="22"/>
      <c r="LG228" s="20"/>
      <c r="LH228" s="22"/>
      <c r="LI228" s="20"/>
      <c r="LJ228" s="22"/>
      <c r="LK228" s="20"/>
      <c r="LL228" s="22"/>
      <c r="LM228" s="20"/>
      <c r="LN228" s="22"/>
      <c r="LO228" s="20"/>
      <c r="LP228" s="22"/>
      <c r="LQ228" s="20"/>
      <c r="LR228" s="22"/>
      <c r="LS228" s="20"/>
      <c r="LT228" s="22"/>
      <c r="LU228" s="20"/>
      <c r="LV228" s="22"/>
      <c r="LW228" s="20"/>
      <c r="LX228" s="22"/>
      <c r="LY228" s="20"/>
      <c r="LZ228" s="22"/>
      <c r="MA228" s="20"/>
      <c r="MB228" s="22"/>
      <c r="MC228" s="20"/>
      <c r="MD228" s="22"/>
      <c r="ME228" s="20"/>
      <c r="MF228" s="22"/>
      <c r="MG228" s="20"/>
      <c r="MH228" s="22"/>
      <c r="MI228" s="20"/>
      <c r="MJ228" s="22"/>
      <c r="MK228" s="20"/>
      <c r="ML228" s="22"/>
      <c r="MM228" s="20"/>
      <c r="MN228" s="22"/>
      <c r="MO228" s="20"/>
      <c r="MP228" s="22"/>
      <c r="MQ228" s="20"/>
      <c r="MR228" s="22"/>
      <c r="MS228" s="20"/>
      <c r="MT228" s="22"/>
      <c r="MU228" s="20"/>
      <c r="MV228" s="22"/>
      <c r="MW228" s="20"/>
      <c r="MX228" s="22"/>
      <c r="MY228" s="20"/>
      <c r="MZ228" s="22"/>
      <c r="NA228" s="20"/>
      <c r="NB228" s="22"/>
      <c r="NC228" s="20"/>
      <c r="ND228" s="22"/>
      <c r="NE228" s="20"/>
      <c r="NF228" s="73"/>
    </row>
    <row r="229" hidden="1">
      <c r="A229" s="237"/>
      <c r="B229" s="267"/>
      <c r="C229" s="239">
        <v>46220.0</v>
      </c>
      <c r="D229" s="284" t="s">
        <v>410</v>
      </c>
      <c r="E229" s="242" t="s">
        <v>43</v>
      </c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  <c r="CI229" s="73"/>
      <c r="CJ229" s="73"/>
      <c r="CK229" s="73"/>
      <c r="CL229" s="73"/>
      <c r="CM229" s="73"/>
      <c r="CN229" s="73"/>
      <c r="CO229" s="73"/>
      <c r="CP229" s="73"/>
      <c r="CQ229" s="73"/>
      <c r="CR229" s="73"/>
      <c r="CS229" s="73"/>
      <c r="CT229" s="73"/>
      <c r="CU229" s="73"/>
      <c r="CV229" s="73"/>
      <c r="CW229" s="73"/>
      <c r="CX229" s="73"/>
      <c r="CY229" s="73"/>
      <c r="CZ229" s="73"/>
      <c r="DA229" s="73"/>
      <c r="DB229" s="73"/>
      <c r="DC229" s="73"/>
      <c r="DD229" s="73"/>
      <c r="DE229" s="73"/>
      <c r="DF229" s="73"/>
      <c r="DG229" s="73"/>
      <c r="DH229" s="73"/>
      <c r="DI229" s="73"/>
      <c r="DJ229" s="73"/>
      <c r="DK229" s="73"/>
      <c r="DL229" s="73"/>
      <c r="DM229" s="73"/>
      <c r="DN229" s="73"/>
      <c r="DO229" s="73"/>
      <c r="DP229" s="73"/>
      <c r="DQ229" s="73"/>
      <c r="DR229" s="73"/>
      <c r="DS229" s="73"/>
      <c r="DT229" s="73"/>
      <c r="DU229" s="73"/>
      <c r="DV229" s="22"/>
      <c r="DW229" s="20"/>
      <c r="DX229" s="22"/>
      <c r="DY229" s="20"/>
      <c r="DZ229" s="22"/>
      <c r="EA229" s="20"/>
      <c r="EB229" s="22"/>
      <c r="EC229" s="20"/>
      <c r="ED229" s="22"/>
      <c r="EE229" s="20"/>
      <c r="EF229" s="22"/>
      <c r="EG229" s="20"/>
      <c r="EH229" s="22"/>
      <c r="EI229" s="20"/>
      <c r="EJ229" s="22"/>
      <c r="EK229" s="20"/>
      <c r="EL229" s="22"/>
      <c r="EM229" s="20"/>
      <c r="EN229" s="22"/>
      <c r="EO229" s="20"/>
      <c r="EP229" s="22"/>
      <c r="EQ229" s="20"/>
      <c r="ER229" s="22"/>
      <c r="ES229" s="20"/>
      <c r="ET229" s="22"/>
      <c r="EU229" s="20"/>
      <c r="EV229" s="22"/>
      <c r="EW229" s="20"/>
      <c r="EX229" s="22"/>
      <c r="EY229" s="20"/>
      <c r="EZ229" s="22"/>
      <c r="FA229" s="20"/>
      <c r="FB229" s="22"/>
      <c r="FC229" s="20"/>
      <c r="FD229" s="22"/>
      <c r="FE229" s="20"/>
      <c r="FF229" s="22"/>
      <c r="FG229" s="20"/>
      <c r="FH229" s="22"/>
      <c r="FI229" s="20"/>
      <c r="FJ229" s="22"/>
      <c r="FK229" s="20"/>
      <c r="FL229" s="22"/>
      <c r="FM229" s="20"/>
      <c r="FN229" s="22"/>
      <c r="FO229" s="20"/>
      <c r="FP229" s="22"/>
      <c r="FQ229" s="20"/>
      <c r="FR229" s="22"/>
      <c r="FS229" s="20"/>
      <c r="FT229" s="22"/>
      <c r="FU229" s="20"/>
      <c r="FV229" s="22"/>
      <c r="FW229" s="20"/>
      <c r="FX229" s="22"/>
      <c r="FY229" s="20"/>
      <c r="FZ229" s="22"/>
      <c r="GA229" s="20"/>
      <c r="GB229" s="22"/>
      <c r="GC229" s="20"/>
      <c r="GD229" s="22"/>
      <c r="GE229" s="20"/>
      <c r="GF229" s="22"/>
      <c r="GG229" s="20"/>
      <c r="GH229" s="22"/>
      <c r="GI229" s="20"/>
      <c r="GJ229" s="22"/>
      <c r="GK229" s="20"/>
      <c r="GL229" s="22"/>
      <c r="GM229" s="20"/>
      <c r="GN229" s="22"/>
      <c r="GO229" s="20"/>
      <c r="GP229" s="22"/>
      <c r="GQ229" s="20"/>
      <c r="GR229" s="22"/>
      <c r="GS229" s="20">
        <v>2.0</v>
      </c>
      <c r="GT229" s="20">
        <v>6.0</v>
      </c>
      <c r="GU229" s="20"/>
      <c r="GV229" s="22"/>
      <c r="GW229" s="20"/>
      <c r="GX229" s="22"/>
      <c r="GY229" s="20"/>
      <c r="GZ229" s="22"/>
      <c r="HA229" s="20"/>
      <c r="HB229" s="22"/>
      <c r="HC229" s="20"/>
      <c r="HD229" s="22"/>
      <c r="HE229" s="20"/>
      <c r="HF229" s="22"/>
      <c r="HG229" s="20"/>
      <c r="HH229" s="22"/>
      <c r="HI229" s="20"/>
      <c r="HJ229" s="22"/>
      <c r="HK229" s="20"/>
      <c r="HL229" s="22"/>
      <c r="HM229" s="20"/>
      <c r="HN229" s="22"/>
      <c r="HO229" s="20"/>
      <c r="HP229" s="22"/>
      <c r="HQ229" s="20"/>
      <c r="HR229" s="22"/>
      <c r="HS229" s="20"/>
      <c r="HT229" s="22"/>
      <c r="HU229" s="20"/>
      <c r="HV229" s="22"/>
      <c r="HW229" s="20"/>
      <c r="HX229" s="22"/>
      <c r="HY229" s="20"/>
      <c r="HZ229" s="22"/>
      <c r="IA229" s="20"/>
      <c r="IB229" s="22"/>
      <c r="IC229" s="20"/>
      <c r="ID229" s="22"/>
      <c r="IE229" s="20"/>
      <c r="IF229" s="22"/>
      <c r="IG229" s="20"/>
      <c r="IH229" s="22"/>
      <c r="II229" s="20"/>
      <c r="IJ229" s="22"/>
      <c r="IK229" s="20"/>
      <c r="IL229" s="22"/>
      <c r="IM229" s="20"/>
      <c r="IN229" s="22"/>
      <c r="IO229" s="20"/>
      <c r="IP229" s="22"/>
      <c r="IQ229" s="20"/>
      <c r="IR229" s="22"/>
      <c r="IS229" s="20"/>
      <c r="IT229" s="22"/>
      <c r="IU229" s="20"/>
      <c r="IV229" s="22"/>
      <c r="IW229" s="20"/>
      <c r="IX229" s="22"/>
      <c r="IY229" s="20"/>
      <c r="IZ229" s="22"/>
      <c r="JA229" s="20"/>
      <c r="JB229" s="22"/>
      <c r="JC229" s="20"/>
      <c r="JD229" s="22"/>
      <c r="JE229" s="20"/>
      <c r="JF229" s="22"/>
      <c r="JG229" s="20"/>
      <c r="JH229" s="22"/>
      <c r="JI229" s="20"/>
      <c r="JJ229" s="22"/>
      <c r="JK229" s="20"/>
      <c r="JL229" s="22"/>
      <c r="JM229" s="20"/>
      <c r="JN229" s="22"/>
      <c r="JO229" s="20"/>
      <c r="JP229" s="22"/>
      <c r="JQ229" s="20"/>
      <c r="JR229" s="22"/>
      <c r="JS229" s="20"/>
      <c r="JT229" s="22"/>
      <c r="JU229" s="20"/>
      <c r="JV229" s="22"/>
      <c r="JW229" s="20"/>
      <c r="JX229" s="22"/>
      <c r="JY229" s="20"/>
      <c r="JZ229" s="22"/>
      <c r="KA229" s="20"/>
      <c r="KB229" s="22"/>
      <c r="KC229" s="20"/>
      <c r="KD229" s="22"/>
      <c r="KE229" s="20"/>
      <c r="KF229" s="22"/>
      <c r="KG229" s="20"/>
      <c r="KH229" s="22"/>
      <c r="KI229" s="20"/>
      <c r="KJ229" s="22"/>
      <c r="KK229" s="20"/>
      <c r="KL229" s="22"/>
      <c r="KM229" s="20"/>
      <c r="KN229" s="22"/>
      <c r="KO229" s="20"/>
      <c r="KP229" s="22"/>
      <c r="KQ229" s="20"/>
      <c r="KR229" s="22"/>
      <c r="KS229" s="20"/>
      <c r="KT229" s="22"/>
      <c r="KU229" s="20"/>
      <c r="KV229" s="22"/>
      <c r="KW229" s="20"/>
      <c r="KX229" s="22"/>
      <c r="KY229" s="20"/>
      <c r="KZ229" s="22"/>
      <c r="LA229" s="20"/>
      <c r="LB229" s="22"/>
      <c r="LC229" s="20"/>
      <c r="LD229" s="22"/>
      <c r="LE229" s="20"/>
      <c r="LF229" s="22"/>
      <c r="LG229" s="20"/>
      <c r="LH229" s="22"/>
      <c r="LI229" s="20"/>
      <c r="LJ229" s="22"/>
      <c r="LK229" s="20"/>
      <c r="LL229" s="22"/>
      <c r="LM229" s="20"/>
      <c r="LN229" s="22"/>
      <c r="LO229" s="20"/>
      <c r="LP229" s="22"/>
      <c r="LQ229" s="20"/>
      <c r="LR229" s="22"/>
      <c r="LS229" s="20"/>
      <c r="LT229" s="22"/>
      <c r="LU229" s="20"/>
      <c r="LV229" s="22"/>
      <c r="LW229" s="20"/>
      <c r="LX229" s="22"/>
      <c r="LY229" s="20"/>
      <c r="LZ229" s="22"/>
      <c r="MA229" s="20"/>
      <c r="MB229" s="22"/>
      <c r="MC229" s="20"/>
      <c r="MD229" s="22"/>
      <c r="ME229" s="20"/>
      <c r="MF229" s="22"/>
      <c r="MG229" s="20"/>
      <c r="MH229" s="22"/>
      <c r="MI229" s="20"/>
      <c r="MJ229" s="22"/>
      <c r="MK229" s="20"/>
      <c r="ML229" s="22"/>
      <c r="MM229" s="20"/>
      <c r="MN229" s="22"/>
      <c r="MO229" s="20"/>
      <c r="MP229" s="22"/>
      <c r="MQ229" s="20"/>
      <c r="MR229" s="22"/>
      <c r="MS229" s="20"/>
      <c r="MT229" s="22"/>
      <c r="MU229" s="20"/>
      <c r="MV229" s="22"/>
      <c r="MW229" s="20"/>
      <c r="MX229" s="22"/>
      <c r="MY229" s="20"/>
      <c r="MZ229" s="22"/>
      <c r="NA229" s="20"/>
      <c r="NB229" s="22"/>
      <c r="NC229" s="20"/>
      <c r="ND229" s="22"/>
      <c r="NE229" s="20"/>
      <c r="NF229" s="73"/>
    </row>
    <row r="230" hidden="1">
      <c r="A230" s="237"/>
      <c r="B230" s="267"/>
      <c r="C230" s="239">
        <v>46225.0</v>
      </c>
      <c r="D230" s="284" t="s">
        <v>411</v>
      </c>
      <c r="E230" s="242" t="s">
        <v>47</v>
      </c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  <c r="CI230" s="73"/>
      <c r="CJ230" s="73"/>
      <c r="CK230" s="73"/>
      <c r="CL230" s="73"/>
      <c r="CM230" s="73"/>
      <c r="CN230" s="73"/>
      <c r="CO230" s="73"/>
      <c r="CP230" s="73"/>
      <c r="CQ230" s="73"/>
      <c r="CR230" s="73"/>
      <c r="CS230" s="73"/>
      <c r="CT230" s="73"/>
      <c r="CU230" s="73"/>
      <c r="CV230" s="73"/>
      <c r="CW230" s="73"/>
      <c r="CX230" s="73"/>
      <c r="CY230" s="73"/>
      <c r="CZ230" s="73"/>
      <c r="DA230" s="73"/>
      <c r="DB230" s="73"/>
      <c r="DC230" s="73"/>
      <c r="DD230" s="73"/>
      <c r="DE230" s="73"/>
      <c r="DF230" s="73"/>
      <c r="DG230" s="73"/>
      <c r="DH230" s="73"/>
      <c r="DI230" s="73"/>
      <c r="DJ230" s="73"/>
      <c r="DK230" s="73"/>
      <c r="DL230" s="73"/>
      <c r="DM230" s="73"/>
      <c r="DN230" s="73"/>
      <c r="DO230" s="73"/>
      <c r="DP230" s="73"/>
      <c r="DQ230" s="73"/>
      <c r="DR230" s="73"/>
      <c r="DS230" s="73"/>
      <c r="DT230" s="73"/>
      <c r="DU230" s="73"/>
      <c r="DV230" s="22"/>
      <c r="DW230" s="20"/>
      <c r="DX230" s="22"/>
      <c r="DY230" s="20"/>
      <c r="DZ230" s="22"/>
      <c r="EA230" s="20"/>
      <c r="EB230" s="22"/>
      <c r="EC230" s="20"/>
      <c r="ED230" s="22"/>
      <c r="EE230" s="20"/>
      <c r="EF230" s="22"/>
      <c r="EG230" s="20"/>
      <c r="EH230" s="22"/>
      <c r="EI230" s="20"/>
      <c r="EJ230" s="22"/>
      <c r="EK230" s="20"/>
      <c r="EL230" s="22"/>
      <c r="EM230" s="20"/>
      <c r="EN230" s="22"/>
      <c r="EO230" s="20"/>
      <c r="EP230" s="22"/>
      <c r="EQ230" s="20"/>
      <c r="ER230" s="22"/>
      <c r="ES230" s="20"/>
      <c r="ET230" s="22"/>
      <c r="EU230" s="20"/>
      <c r="EV230" s="22"/>
      <c r="EW230" s="20"/>
      <c r="EX230" s="22"/>
      <c r="EY230" s="20"/>
      <c r="EZ230" s="22"/>
      <c r="FA230" s="20"/>
      <c r="FB230" s="22"/>
      <c r="FC230" s="20"/>
      <c r="FD230" s="22"/>
      <c r="FE230" s="20"/>
      <c r="FF230" s="22"/>
      <c r="FG230" s="20"/>
      <c r="FH230" s="22"/>
      <c r="FI230" s="20"/>
      <c r="FJ230" s="22"/>
      <c r="FK230" s="20"/>
      <c r="FL230" s="22"/>
      <c r="FM230" s="20"/>
      <c r="FN230" s="22"/>
      <c r="FO230" s="20"/>
      <c r="FP230" s="22"/>
      <c r="FQ230" s="20"/>
      <c r="FR230" s="22"/>
      <c r="FS230" s="20"/>
      <c r="FT230" s="22"/>
      <c r="FU230" s="20"/>
      <c r="FV230" s="22"/>
      <c r="FW230" s="20"/>
      <c r="FX230" s="22"/>
      <c r="FY230" s="20"/>
      <c r="FZ230" s="22"/>
      <c r="GA230" s="20"/>
      <c r="GB230" s="22"/>
      <c r="GC230" s="20"/>
      <c r="GD230" s="22"/>
      <c r="GE230" s="20"/>
      <c r="GF230" s="22"/>
      <c r="GG230" s="20"/>
      <c r="GH230" s="22"/>
      <c r="GI230" s="20"/>
      <c r="GJ230" s="22"/>
      <c r="GK230" s="20"/>
      <c r="GL230" s="22"/>
      <c r="GM230" s="20"/>
      <c r="GN230" s="22"/>
      <c r="GO230" s="20"/>
      <c r="GP230" s="22"/>
      <c r="GQ230" s="20"/>
      <c r="GR230" s="22"/>
      <c r="GS230" s="20"/>
      <c r="GT230" s="22"/>
      <c r="GU230" s="20"/>
      <c r="GV230" s="22"/>
      <c r="GW230" s="20"/>
      <c r="GX230" s="20">
        <v>5.0</v>
      </c>
      <c r="GY230" s="20">
        <v>4.0</v>
      </c>
      <c r="GZ230" s="20" t="s">
        <v>234</v>
      </c>
      <c r="HA230" s="20"/>
      <c r="HB230" s="22"/>
      <c r="HC230" s="20"/>
      <c r="HD230" s="22"/>
      <c r="HE230" s="20"/>
      <c r="HF230" s="22"/>
      <c r="HG230" s="20"/>
      <c r="HH230" s="22"/>
      <c r="HI230" s="20"/>
      <c r="HJ230" s="22"/>
      <c r="HK230" s="20"/>
      <c r="HL230" s="22"/>
      <c r="HM230" s="20"/>
      <c r="HN230" s="22"/>
      <c r="HO230" s="20"/>
      <c r="HP230" s="22"/>
      <c r="HQ230" s="20"/>
      <c r="HR230" s="22"/>
      <c r="HS230" s="20"/>
      <c r="HT230" s="22"/>
      <c r="HU230" s="20"/>
      <c r="HV230" s="22"/>
      <c r="HW230" s="20"/>
      <c r="HX230" s="22"/>
      <c r="HY230" s="20"/>
      <c r="HZ230" s="22"/>
      <c r="IA230" s="20"/>
      <c r="IB230" s="22"/>
      <c r="IC230" s="20"/>
      <c r="ID230" s="22"/>
      <c r="IE230" s="20"/>
      <c r="IF230" s="22"/>
      <c r="IG230" s="20"/>
      <c r="IH230" s="22"/>
      <c r="II230" s="20"/>
      <c r="IJ230" s="22"/>
      <c r="IK230" s="20"/>
      <c r="IL230" s="22"/>
      <c r="IM230" s="20"/>
      <c r="IN230" s="22"/>
      <c r="IO230" s="20"/>
      <c r="IP230" s="22"/>
      <c r="IQ230" s="20"/>
      <c r="IR230" s="22"/>
      <c r="IS230" s="20"/>
      <c r="IT230" s="22"/>
      <c r="IU230" s="20"/>
      <c r="IV230" s="22"/>
      <c r="IW230" s="20"/>
      <c r="IX230" s="22"/>
      <c r="IY230" s="20"/>
      <c r="IZ230" s="22"/>
      <c r="JA230" s="20"/>
      <c r="JB230" s="22"/>
      <c r="JC230" s="20"/>
      <c r="JD230" s="22"/>
      <c r="JE230" s="20"/>
      <c r="JF230" s="22"/>
      <c r="JG230" s="20"/>
      <c r="JH230" s="22"/>
      <c r="JI230" s="20"/>
      <c r="JJ230" s="22"/>
      <c r="JK230" s="20"/>
      <c r="JL230" s="22"/>
      <c r="JM230" s="20"/>
      <c r="JN230" s="22"/>
      <c r="JO230" s="20"/>
      <c r="JP230" s="22"/>
      <c r="JQ230" s="20"/>
      <c r="JR230" s="22"/>
      <c r="JS230" s="20"/>
      <c r="JT230" s="22"/>
      <c r="JU230" s="20"/>
      <c r="JV230" s="22"/>
      <c r="JW230" s="20"/>
      <c r="JX230" s="22"/>
      <c r="JY230" s="20"/>
      <c r="JZ230" s="22"/>
      <c r="KA230" s="20"/>
      <c r="KB230" s="22"/>
      <c r="KC230" s="20"/>
      <c r="KD230" s="22"/>
      <c r="KE230" s="20"/>
      <c r="KF230" s="22"/>
      <c r="KG230" s="20"/>
      <c r="KH230" s="22"/>
      <c r="KI230" s="20"/>
      <c r="KJ230" s="22"/>
      <c r="KK230" s="20"/>
      <c r="KL230" s="22"/>
      <c r="KM230" s="20"/>
      <c r="KN230" s="22"/>
      <c r="KO230" s="20"/>
      <c r="KP230" s="22"/>
      <c r="KQ230" s="20"/>
      <c r="KR230" s="22"/>
      <c r="KS230" s="20"/>
      <c r="KT230" s="22"/>
      <c r="KU230" s="20"/>
      <c r="KV230" s="22"/>
      <c r="KW230" s="20"/>
      <c r="KX230" s="22"/>
      <c r="KY230" s="20"/>
      <c r="KZ230" s="22"/>
      <c r="LA230" s="20"/>
      <c r="LB230" s="22"/>
      <c r="LC230" s="20"/>
      <c r="LD230" s="22"/>
      <c r="LE230" s="20"/>
      <c r="LF230" s="22"/>
      <c r="LG230" s="20"/>
      <c r="LH230" s="22"/>
      <c r="LI230" s="20"/>
      <c r="LJ230" s="22"/>
      <c r="LK230" s="20"/>
      <c r="LL230" s="22"/>
      <c r="LM230" s="20"/>
      <c r="LN230" s="22"/>
      <c r="LO230" s="20"/>
      <c r="LP230" s="22"/>
      <c r="LQ230" s="20"/>
      <c r="LR230" s="22"/>
      <c r="LS230" s="20"/>
      <c r="LT230" s="22"/>
      <c r="LU230" s="20"/>
      <c r="LV230" s="22"/>
      <c r="LW230" s="20"/>
      <c r="LX230" s="22"/>
      <c r="LY230" s="20"/>
      <c r="LZ230" s="22"/>
      <c r="MA230" s="20"/>
      <c r="MB230" s="22"/>
      <c r="MC230" s="20"/>
      <c r="MD230" s="22"/>
      <c r="ME230" s="20"/>
      <c r="MF230" s="22"/>
      <c r="MG230" s="20"/>
      <c r="MH230" s="22"/>
      <c r="MI230" s="20"/>
      <c r="MJ230" s="22"/>
      <c r="MK230" s="20"/>
      <c r="ML230" s="22"/>
      <c r="MM230" s="20"/>
      <c r="MN230" s="22"/>
      <c r="MO230" s="20"/>
      <c r="MP230" s="22"/>
      <c r="MQ230" s="20"/>
      <c r="MR230" s="22"/>
      <c r="MS230" s="20"/>
      <c r="MT230" s="22"/>
      <c r="MU230" s="20"/>
      <c r="MV230" s="22"/>
      <c r="MW230" s="20"/>
      <c r="MX230" s="22"/>
      <c r="MY230" s="20"/>
      <c r="MZ230" s="22"/>
      <c r="NA230" s="20"/>
      <c r="NB230" s="22"/>
      <c r="NC230" s="20"/>
      <c r="ND230" s="22"/>
      <c r="NE230" s="20"/>
      <c r="NF230" s="73"/>
    </row>
    <row r="231" hidden="1">
      <c r="A231" s="237"/>
      <c r="B231" s="267"/>
      <c r="C231" s="239">
        <v>46224.0</v>
      </c>
      <c r="D231" s="284" t="s">
        <v>412</v>
      </c>
      <c r="E231" s="242" t="s">
        <v>47</v>
      </c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  <c r="CI231" s="73"/>
      <c r="CJ231" s="73"/>
      <c r="CK231" s="73"/>
      <c r="CL231" s="73"/>
      <c r="CM231" s="73"/>
      <c r="CN231" s="73"/>
      <c r="CO231" s="73"/>
      <c r="CP231" s="73"/>
      <c r="CQ231" s="73"/>
      <c r="CR231" s="73"/>
      <c r="CS231" s="73"/>
      <c r="CT231" s="73"/>
      <c r="CU231" s="73"/>
      <c r="CV231" s="73"/>
      <c r="CW231" s="73"/>
      <c r="CX231" s="73"/>
      <c r="CY231" s="73"/>
      <c r="CZ231" s="73"/>
      <c r="DA231" s="73"/>
      <c r="DB231" s="73"/>
      <c r="DC231" s="73"/>
      <c r="DD231" s="73"/>
      <c r="DE231" s="73"/>
      <c r="DF231" s="73"/>
      <c r="DG231" s="73"/>
      <c r="DH231" s="73"/>
      <c r="DI231" s="73"/>
      <c r="DJ231" s="73"/>
      <c r="DK231" s="73"/>
      <c r="DL231" s="73"/>
      <c r="DM231" s="73"/>
      <c r="DN231" s="73"/>
      <c r="DO231" s="73"/>
      <c r="DP231" s="73"/>
      <c r="DQ231" s="73"/>
      <c r="DR231" s="73"/>
      <c r="DS231" s="73"/>
      <c r="DT231" s="73"/>
      <c r="DU231" s="73"/>
      <c r="DV231" s="22"/>
      <c r="DW231" s="20"/>
      <c r="DX231" s="22"/>
      <c r="DY231" s="20"/>
      <c r="DZ231" s="22"/>
      <c r="EA231" s="20"/>
      <c r="EB231" s="22"/>
      <c r="EC231" s="20"/>
      <c r="ED231" s="22"/>
      <c r="EE231" s="20"/>
      <c r="EF231" s="22"/>
      <c r="EG231" s="20"/>
      <c r="EH231" s="22"/>
      <c r="EI231" s="20"/>
      <c r="EJ231" s="22"/>
      <c r="EK231" s="20"/>
      <c r="EL231" s="22"/>
      <c r="EM231" s="20"/>
      <c r="EN231" s="22"/>
      <c r="EO231" s="20"/>
      <c r="EP231" s="22"/>
      <c r="EQ231" s="20"/>
      <c r="ER231" s="22"/>
      <c r="ES231" s="20"/>
      <c r="ET231" s="22"/>
      <c r="EU231" s="20"/>
      <c r="EV231" s="22"/>
      <c r="EW231" s="20"/>
      <c r="EX231" s="22"/>
      <c r="EY231" s="20"/>
      <c r="EZ231" s="22"/>
      <c r="FA231" s="20"/>
      <c r="FB231" s="22"/>
      <c r="FC231" s="20"/>
      <c r="FD231" s="22"/>
      <c r="FE231" s="20"/>
      <c r="FF231" s="22"/>
      <c r="FG231" s="20"/>
      <c r="FH231" s="22"/>
      <c r="FI231" s="20"/>
      <c r="FJ231" s="22"/>
      <c r="FK231" s="20"/>
      <c r="FL231" s="22"/>
      <c r="FM231" s="20"/>
      <c r="FN231" s="22"/>
      <c r="FO231" s="20"/>
      <c r="FP231" s="22"/>
      <c r="FQ231" s="20"/>
      <c r="FR231" s="22"/>
      <c r="FS231" s="20"/>
      <c r="FT231" s="22"/>
      <c r="FU231" s="20"/>
      <c r="FV231" s="22"/>
      <c r="FW231" s="20"/>
      <c r="FX231" s="22"/>
      <c r="FY231" s="20"/>
      <c r="FZ231" s="22"/>
      <c r="GA231" s="20"/>
      <c r="GB231" s="22"/>
      <c r="GC231" s="20"/>
      <c r="GD231" s="22"/>
      <c r="GE231" s="20"/>
      <c r="GF231" s="22"/>
      <c r="GG231" s="20"/>
      <c r="GH231" s="22"/>
      <c r="GI231" s="20"/>
      <c r="GJ231" s="22"/>
      <c r="GK231" s="20"/>
      <c r="GL231" s="22"/>
      <c r="GM231" s="20"/>
      <c r="GN231" s="22"/>
      <c r="GO231" s="20"/>
      <c r="GP231" s="22"/>
      <c r="GQ231" s="20"/>
      <c r="GR231" s="22"/>
      <c r="GS231" s="20"/>
      <c r="GT231" s="22"/>
      <c r="GU231" s="20"/>
      <c r="GV231" s="22"/>
      <c r="GW231" s="20"/>
      <c r="GX231" s="20">
        <v>1.0</v>
      </c>
      <c r="GY231" s="20">
        <v>1.0</v>
      </c>
      <c r="GZ231" s="22"/>
      <c r="HA231" s="20"/>
      <c r="HB231" s="22"/>
      <c r="HC231" s="20"/>
      <c r="HD231" s="22"/>
      <c r="HE231" s="20"/>
      <c r="HF231" s="22"/>
      <c r="HG231" s="20"/>
      <c r="HH231" s="22"/>
      <c r="HI231" s="20"/>
      <c r="HJ231" s="22"/>
      <c r="HK231" s="20"/>
      <c r="HL231" s="22"/>
      <c r="HM231" s="20"/>
      <c r="HN231" s="22"/>
      <c r="HO231" s="20"/>
      <c r="HP231" s="22"/>
      <c r="HQ231" s="20"/>
      <c r="HR231" s="22"/>
      <c r="HS231" s="20"/>
      <c r="HT231" s="22"/>
      <c r="HU231" s="20"/>
      <c r="HV231" s="22"/>
      <c r="HW231" s="20"/>
      <c r="HX231" s="22"/>
      <c r="HY231" s="20"/>
      <c r="HZ231" s="22"/>
      <c r="IA231" s="20"/>
      <c r="IB231" s="22"/>
      <c r="IC231" s="20"/>
      <c r="ID231" s="22"/>
      <c r="IE231" s="20"/>
      <c r="IF231" s="22"/>
      <c r="IG231" s="20"/>
      <c r="IH231" s="22"/>
      <c r="II231" s="20"/>
      <c r="IJ231" s="22"/>
      <c r="IK231" s="20"/>
      <c r="IL231" s="22"/>
      <c r="IM231" s="20"/>
      <c r="IN231" s="22"/>
      <c r="IO231" s="20"/>
      <c r="IP231" s="22"/>
      <c r="IQ231" s="20"/>
      <c r="IR231" s="22"/>
      <c r="IS231" s="20"/>
      <c r="IT231" s="22"/>
      <c r="IU231" s="20"/>
      <c r="IV231" s="22"/>
      <c r="IW231" s="20"/>
      <c r="IX231" s="22"/>
      <c r="IY231" s="20"/>
      <c r="IZ231" s="22"/>
      <c r="JA231" s="20"/>
      <c r="JB231" s="22"/>
      <c r="JC231" s="20"/>
      <c r="JD231" s="22"/>
      <c r="JE231" s="20"/>
      <c r="JF231" s="22"/>
      <c r="JG231" s="20"/>
      <c r="JH231" s="22"/>
      <c r="JI231" s="20"/>
      <c r="JJ231" s="22"/>
      <c r="JK231" s="20"/>
      <c r="JL231" s="22"/>
      <c r="JM231" s="20"/>
      <c r="JN231" s="22"/>
      <c r="JO231" s="20"/>
      <c r="JP231" s="22"/>
      <c r="JQ231" s="20"/>
      <c r="JR231" s="22"/>
      <c r="JS231" s="20"/>
      <c r="JT231" s="22"/>
      <c r="JU231" s="20"/>
      <c r="JV231" s="22"/>
      <c r="JW231" s="20"/>
      <c r="JX231" s="22"/>
      <c r="JY231" s="20"/>
      <c r="JZ231" s="22"/>
      <c r="KA231" s="20"/>
      <c r="KB231" s="22"/>
      <c r="KC231" s="20"/>
      <c r="KD231" s="22"/>
      <c r="KE231" s="20"/>
      <c r="KF231" s="22"/>
      <c r="KG231" s="20"/>
      <c r="KH231" s="22"/>
      <c r="KI231" s="20"/>
      <c r="KJ231" s="22"/>
      <c r="KK231" s="20"/>
      <c r="KL231" s="22"/>
      <c r="KM231" s="20"/>
      <c r="KN231" s="22"/>
      <c r="KO231" s="20"/>
      <c r="KP231" s="22"/>
      <c r="KQ231" s="20"/>
      <c r="KR231" s="22"/>
      <c r="KS231" s="20"/>
      <c r="KT231" s="22"/>
      <c r="KU231" s="20"/>
      <c r="KV231" s="22"/>
      <c r="KW231" s="20"/>
      <c r="KX231" s="22"/>
      <c r="KY231" s="20"/>
      <c r="KZ231" s="22"/>
      <c r="LA231" s="20"/>
      <c r="LB231" s="22"/>
      <c r="LC231" s="20"/>
      <c r="LD231" s="22"/>
      <c r="LE231" s="20"/>
      <c r="LF231" s="22"/>
      <c r="LG231" s="20"/>
      <c r="LH231" s="22"/>
      <c r="LI231" s="20"/>
      <c r="LJ231" s="22"/>
      <c r="LK231" s="20"/>
      <c r="LL231" s="22"/>
      <c r="LM231" s="20"/>
      <c r="LN231" s="22"/>
      <c r="LO231" s="20"/>
      <c r="LP231" s="22"/>
      <c r="LQ231" s="20"/>
      <c r="LR231" s="22"/>
      <c r="LS231" s="20"/>
      <c r="LT231" s="22"/>
      <c r="LU231" s="20"/>
      <c r="LV231" s="22"/>
      <c r="LW231" s="20"/>
      <c r="LX231" s="22"/>
      <c r="LY231" s="20"/>
      <c r="LZ231" s="22"/>
      <c r="MA231" s="20"/>
      <c r="MB231" s="22"/>
      <c r="MC231" s="20"/>
      <c r="MD231" s="22"/>
      <c r="ME231" s="20"/>
      <c r="MF231" s="22"/>
      <c r="MG231" s="20"/>
      <c r="MH231" s="22"/>
      <c r="MI231" s="20"/>
      <c r="MJ231" s="22"/>
      <c r="MK231" s="20"/>
      <c r="ML231" s="22"/>
      <c r="MM231" s="20"/>
      <c r="MN231" s="22"/>
      <c r="MO231" s="20"/>
      <c r="MP231" s="22"/>
      <c r="MQ231" s="20"/>
      <c r="MR231" s="22"/>
      <c r="MS231" s="20"/>
      <c r="MT231" s="22"/>
      <c r="MU231" s="20"/>
      <c r="MV231" s="22"/>
      <c r="MW231" s="20"/>
      <c r="MX231" s="22"/>
      <c r="MY231" s="20"/>
      <c r="MZ231" s="22"/>
      <c r="NA231" s="20"/>
      <c r="NB231" s="22"/>
      <c r="NC231" s="20"/>
      <c r="ND231" s="22"/>
      <c r="NE231" s="20"/>
      <c r="NF231" s="73"/>
    </row>
    <row r="232" hidden="1">
      <c r="A232" s="237"/>
      <c r="B232" s="267"/>
      <c r="C232" s="239">
        <v>46226.0</v>
      </c>
      <c r="D232" s="286" t="s">
        <v>413</v>
      </c>
      <c r="E232" s="242" t="s">
        <v>47</v>
      </c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  <c r="CI232" s="73"/>
      <c r="CJ232" s="73"/>
      <c r="CK232" s="73"/>
      <c r="CL232" s="73"/>
      <c r="CM232" s="73"/>
      <c r="CN232" s="73"/>
      <c r="CO232" s="73"/>
      <c r="CP232" s="73"/>
      <c r="CQ232" s="73"/>
      <c r="CR232" s="73"/>
      <c r="CS232" s="73"/>
      <c r="CT232" s="73"/>
      <c r="CU232" s="73"/>
      <c r="CV232" s="73"/>
      <c r="CW232" s="73"/>
      <c r="CX232" s="73"/>
      <c r="CY232" s="73"/>
      <c r="CZ232" s="73"/>
      <c r="DA232" s="73"/>
      <c r="DB232" s="73"/>
      <c r="DC232" s="73"/>
      <c r="DD232" s="73"/>
      <c r="DE232" s="73"/>
      <c r="DF232" s="73"/>
      <c r="DG232" s="73"/>
      <c r="DH232" s="73"/>
      <c r="DI232" s="73"/>
      <c r="DJ232" s="73"/>
      <c r="DK232" s="73"/>
      <c r="DL232" s="73"/>
      <c r="DM232" s="73"/>
      <c r="DN232" s="73"/>
      <c r="DO232" s="73"/>
      <c r="DP232" s="73"/>
      <c r="DQ232" s="73"/>
      <c r="DR232" s="73"/>
      <c r="DS232" s="73"/>
      <c r="DT232" s="73"/>
      <c r="DU232" s="73"/>
      <c r="DV232" s="22"/>
      <c r="DW232" s="20"/>
      <c r="DX232" s="22"/>
      <c r="DY232" s="20"/>
      <c r="DZ232" s="22"/>
      <c r="EA232" s="20"/>
      <c r="EB232" s="22"/>
      <c r="EC232" s="20"/>
      <c r="ED232" s="22"/>
      <c r="EE232" s="20"/>
      <c r="EF232" s="22"/>
      <c r="EG232" s="20"/>
      <c r="EH232" s="22"/>
      <c r="EI232" s="20"/>
      <c r="EJ232" s="22"/>
      <c r="EK232" s="20"/>
      <c r="EL232" s="22"/>
      <c r="EM232" s="20"/>
      <c r="EN232" s="22"/>
      <c r="EO232" s="20"/>
      <c r="EP232" s="22"/>
      <c r="EQ232" s="20"/>
      <c r="ER232" s="22"/>
      <c r="ES232" s="20"/>
      <c r="ET232" s="22"/>
      <c r="EU232" s="20"/>
      <c r="EV232" s="22"/>
      <c r="EW232" s="20"/>
      <c r="EX232" s="22"/>
      <c r="EY232" s="20"/>
      <c r="EZ232" s="22"/>
      <c r="FA232" s="20"/>
      <c r="FB232" s="22"/>
      <c r="FC232" s="20"/>
      <c r="FD232" s="22"/>
      <c r="FE232" s="20"/>
      <c r="FF232" s="22"/>
      <c r="FG232" s="20"/>
      <c r="FH232" s="22"/>
      <c r="FI232" s="20"/>
      <c r="FJ232" s="22"/>
      <c r="FK232" s="20"/>
      <c r="FL232" s="22"/>
      <c r="FM232" s="20"/>
      <c r="FN232" s="22"/>
      <c r="FO232" s="20"/>
      <c r="FP232" s="22"/>
      <c r="FQ232" s="20"/>
      <c r="FR232" s="22"/>
      <c r="FS232" s="20"/>
      <c r="FT232" s="22"/>
      <c r="FU232" s="20"/>
      <c r="FV232" s="22"/>
      <c r="FW232" s="20"/>
      <c r="FX232" s="22"/>
      <c r="FY232" s="20"/>
      <c r="FZ232" s="22"/>
      <c r="GA232" s="20"/>
      <c r="GB232" s="22"/>
      <c r="GC232" s="20"/>
      <c r="GD232" s="22"/>
      <c r="GE232" s="20"/>
      <c r="GF232" s="22"/>
      <c r="GG232" s="20"/>
      <c r="GH232" s="22"/>
      <c r="GI232" s="20"/>
      <c r="GJ232" s="22"/>
      <c r="GK232" s="20"/>
      <c r="GL232" s="22"/>
      <c r="GM232" s="20"/>
      <c r="GN232" s="22"/>
      <c r="GO232" s="20"/>
      <c r="GP232" s="22"/>
      <c r="GQ232" s="20"/>
      <c r="GR232" s="22"/>
      <c r="GS232" s="20"/>
      <c r="GT232" s="22"/>
      <c r="GU232" s="20"/>
      <c r="GV232" s="22"/>
      <c r="GW232" s="20"/>
      <c r="GX232" s="22"/>
      <c r="GY232" s="20">
        <v>2.0</v>
      </c>
      <c r="GZ232" s="20">
        <v>9.0</v>
      </c>
      <c r="HA232" s="20">
        <v>5.0</v>
      </c>
      <c r="HB232" s="22"/>
      <c r="HC232" s="20"/>
      <c r="HD232" s="22"/>
      <c r="HE232" s="20"/>
      <c r="HF232" s="22"/>
      <c r="HG232" s="20"/>
      <c r="HH232" s="22"/>
      <c r="HI232" s="20"/>
      <c r="HJ232" s="22"/>
      <c r="HK232" s="20"/>
      <c r="HL232" s="22"/>
      <c r="HM232" s="20"/>
      <c r="HN232" s="22"/>
      <c r="HO232" s="20"/>
      <c r="HP232" s="22"/>
      <c r="HQ232" s="20"/>
      <c r="HR232" s="20"/>
      <c r="HS232" s="20"/>
      <c r="HT232" s="22"/>
      <c r="HU232" s="20"/>
      <c r="HV232" s="22"/>
      <c r="HW232" s="20"/>
      <c r="HX232" s="22"/>
      <c r="HY232" s="20"/>
      <c r="HZ232" s="22"/>
      <c r="IA232" s="20"/>
      <c r="IB232" s="22"/>
      <c r="IC232" s="20"/>
      <c r="ID232" s="22"/>
      <c r="IE232" s="20"/>
      <c r="IF232" s="22"/>
      <c r="IG232" s="20"/>
      <c r="IH232" s="22"/>
      <c r="II232" s="20"/>
      <c r="IJ232" s="22"/>
      <c r="IK232" s="20"/>
      <c r="IL232" s="22"/>
      <c r="IM232" s="20"/>
      <c r="IN232" s="22"/>
      <c r="IO232" s="20"/>
      <c r="IP232" s="22"/>
      <c r="IQ232" s="20"/>
      <c r="IR232" s="22"/>
      <c r="IS232" s="20"/>
      <c r="IT232" s="22"/>
      <c r="IU232" s="20"/>
      <c r="IV232" s="22"/>
      <c r="IW232" s="20"/>
      <c r="IX232" s="22"/>
      <c r="IY232" s="20"/>
      <c r="IZ232" s="22"/>
      <c r="JA232" s="20"/>
      <c r="JB232" s="22"/>
      <c r="JC232" s="20"/>
      <c r="JD232" s="22"/>
      <c r="JE232" s="20"/>
      <c r="JF232" s="22"/>
      <c r="JG232" s="20"/>
      <c r="JH232" s="22"/>
      <c r="JI232" s="20"/>
      <c r="JJ232" s="22"/>
      <c r="JK232" s="20"/>
      <c r="JL232" s="22"/>
      <c r="JM232" s="20"/>
      <c r="JN232" s="22"/>
      <c r="JO232" s="20"/>
      <c r="JP232" s="22"/>
      <c r="JQ232" s="20"/>
      <c r="JR232" s="22"/>
      <c r="JS232" s="20"/>
      <c r="JT232" s="22"/>
      <c r="JU232" s="20"/>
      <c r="JV232" s="22"/>
      <c r="JW232" s="20"/>
      <c r="JX232" s="22"/>
      <c r="JY232" s="20"/>
      <c r="JZ232" s="22"/>
      <c r="KA232" s="20"/>
      <c r="KB232" s="22"/>
      <c r="KC232" s="20"/>
      <c r="KD232" s="22"/>
      <c r="KE232" s="20"/>
      <c r="KF232" s="22"/>
      <c r="KG232" s="20"/>
      <c r="KH232" s="22"/>
      <c r="KI232" s="20"/>
      <c r="KJ232" s="22"/>
      <c r="KK232" s="20"/>
      <c r="KL232" s="22"/>
      <c r="KM232" s="20"/>
      <c r="KN232" s="22"/>
      <c r="KO232" s="20"/>
      <c r="KP232" s="22"/>
      <c r="KQ232" s="20"/>
      <c r="KR232" s="22"/>
      <c r="KS232" s="20"/>
      <c r="KT232" s="22"/>
      <c r="KU232" s="20"/>
      <c r="KV232" s="22"/>
      <c r="KW232" s="20"/>
      <c r="KX232" s="22"/>
      <c r="KY232" s="20"/>
      <c r="KZ232" s="22"/>
      <c r="LA232" s="20"/>
      <c r="LB232" s="22"/>
      <c r="LC232" s="20"/>
      <c r="LD232" s="22"/>
      <c r="LE232" s="20"/>
      <c r="LF232" s="22"/>
      <c r="LG232" s="20"/>
      <c r="LH232" s="22"/>
      <c r="LI232" s="20"/>
      <c r="LJ232" s="22"/>
      <c r="LK232" s="20"/>
      <c r="LL232" s="22"/>
      <c r="LM232" s="20"/>
      <c r="LN232" s="22"/>
      <c r="LO232" s="20"/>
      <c r="LP232" s="22"/>
      <c r="LQ232" s="20"/>
      <c r="LR232" s="22"/>
      <c r="LS232" s="20"/>
      <c r="LT232" s="22"/>
      <c r="LU232" s="20"/>
      <c r="LV232" s="22"/>
      <c r="LW232" s="20"/>
      <c r="LX232" s="22"/>
      <c r="LY232" s="20"/>
      <c r="LZ232" s="22"/>
      <c r="MA232" s="20"/>
      <c r="MB232" s="22"/>
      <c r="MC232" s="20"/>
      <c r="MD232" s="22"/>
      <c r="ME232" s="20"/>
      <c r="MF232" s="22"/>
      <c r="MG232" s="20"/>
      <c r="MH232" s="22"/>
      <c r="MI232" s="20"/>
      <c r="MJ232" s="22"/>
      <c r="MK232" s="20"/>
      <c r="ML232" s="22"/>
      <c r="MM232" s="20"/>
      <c r="MN232" s="22"/>
      <c r="MO232" s="20"/>
      <c r="MP232" s="22"/>
      <c r="MQ232" s="20"/>
      <c r="MR232" s="22"/>
      <c r="MS232" s="20"/>
      <c r="MT232" s="22"/>
      <c r="MU232" s="20"/>
      <c r="MV232" s="22"/>
      <c r="MW232" s="20"/>
      <c r="MX232" s="22"/>
      <c r="MY232" s="20"/>
      <c r="MZ232" s="22"/>
      <c r="NA232" s="20"/>
      <c r="NB232" s="22"/>
      <c r="NC232" s="20"/>
      <c r="ND232" s="22"/>
      <c r="NE232" s="20"/>
      <c r="NF232" s="73"/>
    </row>
    <row r="233" hidden="1">
      <c r="A233" s="237"/>
      <c r="B233" s="267"/>
      <c r="C233" s="239">
        <v>46230.0</v>
      </c>
      <c r="D233" s="286" t="s">
        <v>414</v>
      </c>
      <c r="E233" s="242" t="s">
        <v>47</v>
      </c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  <c r="CI233" s="73"/>
      <c r="CJ233" s="73"/>
      <c r="CK233" s="73"/>
      <c r="CL233" s="73"/>
      <c r="CM233" s="73"/>
      <c r="CN233" s="73"/>
      <c r="CO233" s="73"/>
      <c r="CP233" s="73"/>
      <c r="CQ233" s="73"/>
      <c r="CR233" s="73"/>
      <c r="CS233" s="73"/>
      <c r="CT233" s="73"/>
      <c r="CU233" s="73"/>
      <c r="CV233" s="73"/>
      <c r="CW233" s="73"/>
      <c r="CX233" s="73"/>
      <c r="CY233" s="73"/>
      <c r="CZ233" s="73"/>
      <c r="DA233" s="73"/>
      <c r="DB233" s="73"/>
      <c r="DC233" s="73"/>
      <c r="DD233" s="73"/>
      <c r="DE233" s="73"/>
      <c r="DF233" s="73"/>
      <c r="DG233" s="73"/>
      <c r="DH233" s="73"/>
      <c r="DI233" s="73"/>
      <c r="DJ233" s="73"/>
      <c r="DK233" s="73"/>
      <c r="DL233" s="73"/>
      <c r="DM233" s="73"/>
      <c r="DN233" s="73"/>
      <c r="DO233" s="73"/>
      <c r="DP233" s="73"/>
      <c r="DQ233" s="73"/>
      <c r="DR233" s="73"/>
      <c r="DS233" s="73"/>
      <c r="DT233" s="73"/>
      <c r="DU233" s="73"/>
      <c r="DV233" s="22"/>
      <c r="DW233" s="20"/>
      <c r="DX233" s="22"/>
      <c r="DY233" s="20"/>
      <c r="DZ233" s="22"/>
      <c r="EA233" s="20"/>
      <c r="EB233" s="22"/>
      <c r="EC233" s="20"/>
      <c r="ED233" s="22"/>
      <c r="EE233" s="20"/>
      <c r="EF233" s="22"/>
      <c r="EG233" s="20"/>
      <c r="EH233" s="22"/>
      <c r="EI233" s="20"/>
      <c r="EJ233" s="22"/>
      <c r="EK233" s="20"/>
      <c r="EL233" s="22"/>
      <c r="EM233" s="20"/>
      <c r="EN233" s="22"/>
      <c r="EO233" s="20"/>
      <c r="EP233" s="22"/>
      <c r="EQ233" s="20"/>
      <c r="ER233" s="22"/>
      <c r="ES233" s="20"/>
      <c r="ET233" s="22"/>
      <c r="EU233" s="20"/>
      <c r="EV233" s="22"/>
      <c r="EW233" s="20"/>
      <c r="EX233" s="22"/>
      <c r="EY233" s="20"/>
      <c r="EZ233" s="22"/>
      <c r="FA233" s="20"/>
      <c r="FB233" s="22"/>
      <c r="FC233" s="20"/>
      <c r="FD233" s="22"/>
      <c r="FE233" s="20"/>
      <c r="FF233" s="22"/>
      <c r="FG233" s="20"/>
      <c r="FH233" s="22"/>
      <c r="FI233" s="20"/>
      <c r="FJ233" s="22"/>
      <c r="FK233" s="20"/>
      <c r="FL233" s="22"/>
      <c r="FM233" s="20"/>
      <c r="FN233" s="22"/>
      <c r="FO233" s="20"/>
      <c r="FP233" s="22"/>
      <c r="FQ233" s="20"/>
      <c r="FR233" s="22"/>
      <c r="FS233" s="20"/>
      <c r="FT233" s="22"/>
      <c r="FU233" s="20"/>
      <c r="FV233" s="22"/>
      <c r="FW233" s="20"/>
      <c r="FX233" s="22"/>
      <c r="FY233" s="20"/>
      <c r="FZ233" s="22"/>
      <c r="GA233" s="20"/>
      <c r="GB233" s="22"/>
      <c r="GC233" s="20"/>
      <c r="GD233" s="22"/>
      <c r="GE233" s="20"/>
      <c r="GF233" s="22"/>
      <c r="GG233" s="20"/>
      <c r="GH233" s="22"/>
      <c r="GI233" s="20"/>
      <c r="GJ233" s="22"/>
      <c r="GK233" s="20"/>
      <c r="GL233" s="22"/>
      <c r="GM233" s="20"/>
      <c r="GN233" s="22"/>
      <c r="GO233" s="20"/>
      <c r="GP233" s="22"/>
      <c r="GQ233" s="20"/>
      <c r="GR233" s="22"/>
      <c r="GS233" s="20"/>
      <c r="GT233" s="22"/>
      <c r="GU233" s="20"/>
      <c r="GV233" s="22"/>
      <c r="GW233" s="20"/>
      <c r="GX233" s="22"/>
      <c r="GY233" s="20"/>
      <c r="GZ233" s="22"/>
      <c r="HA233" s="20"/>
      <c r="HB233" s="20">
        <v>3.0</v>
      </c>
      <c r="HC233" s="20"/>
      <c r="HD233" s="22"/>
      <c r="HE233" s="20"/>
      <c r="HF233" s="22"/>
      <c r="HG233" s="20"/>
      <c r="HH233" s="22"/>
      <c r="HI233" s="20"/>
      <c r="HJ233" s="22"/>
      <c r="HK233" s="20"/>
      <c r="HL233" s="22"/>
      <c r="HM233" s="20"/>
      <c r="HN233" s="22"/>
      <c r="HO233" s="20"/>
      <c r="HP233" s="22"/>
      <c r="HQ233" s="20"/>
      <c r="HR233" s="22"/>
      <c r="HS233" s="73"/>
      <c r="HT233" s="22"/>
      <c r="HU233" s="20"/>
      <c r="HV233" s="22"/>
      <c r="HW233" s="20"/>
      <c r="HX233" s="22"/>
      <c r="HY233" s="20"/>
      <c r="HZ233" s="22"/>
      <c r="IA233" s="20"/>
      <c r="IB233" s="22"/>
      <c r="IC233" s="20"/>
      <c r="ID233" s="22"/>
      <c r="IE233" s="20"/>
      <c r="IF233" s="22"/>
      <c r="IG233" s="20"/>
      <c r="IH233" s="22"/>
      <c r="II233" s="20"/>
      <c r="IJ233" s="22"/>
      <c r="IK233" s="20"/>
      <c r="IL233" s="22"/>
      <c r="IM233" s="20"/>
      <c r="IN233" s="22"/>
      <c r="IO233" s="20"/>
      <c r="IP233" s="22"/>
      <c r="IQ233" s="20"/>
      <c r="IR233" s="22"/>
      <c r="IS233" s="20"/>
      <c r="IT233" s="22"/>
      <c r="IU233" s="20"/>
      <c r="IV233" s="22"/>
      <c r="IW233" s="20"/>
      <c r="IX233" s="22"/>
      <c r="IY233" s="20"/>
      <c r="IZ233" s="22"/>
      <c r="JA233" s="20"/>
      <c r="JB233" s="22"/>
      <c r="JC233" s="20"/>
      <c r="JD233" s="22"/>
      <c r="JE233" s="20"/>
      <c r="JF233" s="22"/>
      <c r="JG233" s="20"/>
      <c r="JH233" s="22"/>
      <c r="JI233" s="20"/>
      <c r="JJ233" s="22"/>
      <c r="JK233" s="20"/>
      <c r="JL233" s="22"/>
      <c r="JM233" s="20"/>
      <c r="JN233" s="22"/>
      <c r="JO233" s="20"/>
      <c r="JP233" s="22"/>
      <c r="JQ233" s="20"/>
      <c r="JR233" s="22"/>
      <c r="JS233" s="20"/>
      <c r="JT233" s="22"/>
      <c r="JU233" s="20"/>
      <c r="JV233" s="22"/>
      <c r="JW233" s="20"/>
      <c r="JX233" s="22"/>
      <c r="JY233" s="20"/>
      <c r="JZ233" s="22"/>
      <c r="KA233" s="20"/>
      <c r="KB233" s="22"/>
      <c r="KC233" s="20"/>
      <c r="KD233" s="22"/>
      <c r="KE233" s="20"/>
      <c r="KF233" s="22"/>
      <c r="KG233" s="20"/>
      <c r="KH233" s="22"/>
      <c r="KI233" s="20"/>
      <c r="KJ233" s="22"/>
      <c r="KK233" s="20"/>
      <c r="KL233" s="22"/>
      <c r="KM233" s="20"/>
      <c r="KN233" s="22"/>
      <c r="KO233" s="20"/>
      <c r="KP233" s="22"/>
      <c r="KQ233" s="20"/>
      <c r="KR233" s="22"/>
      <c r="KS233" s="20"/>
      <c r="KT233" s="22"/>
      <c r="KU233" s="20"/>
      <c r="KV233" s="22"/>
      <c r="KW233" s="20"/>
      <c r="KX233" s="22"/>
      <c r="KY233" s="20"/>
      <c r="KZ233" s="22"/>
      <c r="LA233" s="20"/>
      <c r="LB233" s="22"/>
      <c r="LC233" s="20"/>
      <c r="LD233" s="22"/>
      <c r="LE233" s="20"/>
      <c r="LF233" s="22"/>
      <c r="LG233" s="20"/>
      <c r="LH233" s="22"/>
      <c r="LI233" s="20"/>
      <c r="LJ233" s="22"/>
      <c r="LK233" s="20"/>
      <c r="LL233" s="22"/>
      <c r="LM233" s="20"/>
      <c r="LN233" s="22"/>
      <c r="LO233" s="20"/>
      <c r="LP233" s="22"/>
      <c r="LQ233" s="20"/>
      <c r="LR233" s="22"/>
      <c r="LS233" s="20"/>
      <c r="LT233" s="22"/>
      <c r="LU233" s="20"/>
      <c r="LV233" s="22"/>
      <c r="LW233" s="20"/>
      <c r="LX233" s="22"/>
      <c r="LY233" s="20"/>
      <c r="LZ233" s="22"/>
      <c r="MA233" s="20"/>
      <c r="MB233" s="22"/>
      <c r="MC233" s="20"/>
      <c r="MD233" s="22"/>
      <c r="ME233" s="20"/>
      <c r="MF233" s="22"/>
      <c r="MG233" s="20"/>
      <c r="MH233" s="22"/>
      <c r="MI233" s="20"/>
      <c r="MJ233" s="22"/>
      <c r="MK233" s="20"/>
      <c r="ML233" s="22"/>
      <c r="MM233" s="20"/>
      <c r="MN233" s="22"/>
      <c r="MO233" s="20"/>
      <c r="MP233" s="22"/>
      <c r="MQ233" s="20"/>
      <c r="MR233" s="22"/>
      <c r="MS233" s="20"/>
      <c r="MT233" s="22"/>
      <c r="MU233" s="20"/>
      <c r="MV233" s="22"/>
      <c r="MW233" s="20"/>
      <c r="MX233" s="22"/>
      <c r="MY233" s="20"/>
      <c r="MZ233" s="22"/>
      <c r="NA233" s="20"/>
      <c r="NB233" s="22"/>
      <c r="NC233" s="20"/>
      <c r="ND233" s="22"/>
      <c r="NE233" s="20"/>
      <c r="NF233" s="73"/>
    </row>
    <row r="234" hidden="1">
      <c r="A234" s="237"/>
      <c r="B234" s="267"/>
      <c r="C234" s="239">
        <v>46227.0</v>
      </c>
      <c r="D234" s="286" t="s">
        <v>415</v>
      </c>
      <c r="E234" s="242" t="s">
        <v>47</v>
      </c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  <c r="CI234" s="73"/>
      <c r="CJ234" s="73"/>
      <c r="CK234" s="73"/>
      <c r="CL234" s="73"/>
      <c r="CM234" s="73"/>
      <c r="CN234" s="73"/>
      <c r="CO234" s="73"/>
      <c r="CP234" s="73"/>
      <c r="CQ234" s="73"/>
      <c r="CR234" s="73"/>
      <c r="CS234" s="73"/>
      <c r="CT234" s="73"/>
      <c r="CU234" s="73"/>
      <c r="CV234" s="73"/>
      <c r="CW234" s="73"/>
      <c r="CX234" s="73"/>
      <c r="CY234" s="73"/>
      <c r="CZ234" s="73"/>
      <c r="DA234" s="73"/>
      <c r="DB234" s="73"/>
      <c r="DC234" s="73"/>
      <c r="DD234" s="73"/>
      <c r="DE234" s="73"/>
      <c r="DF234" s="73"/>
      <c r="DG234" s="73"/>
      <c r="DH234" s="73"/>
      <c r="DI234" s="73"/>
      <c r="DJ234" s="73"/>
      <c r="DK234" s="73"/>
      <c r="DL234" s="73"/>
      <c r="DM234" s="73"/>
      <c r="DN234" s="73"/>
      <c r="DO234" s="73"/>
      <c r="DP234" s="73"/>
      <c r="DQ234" s="73"/>
      <c r="DR234" s="73"/>
      <c r="DS234" s="73"/>
      <c r="DT234" s="73"/>
      <c r="DU234" s="73"/>
      <c r="DV234" s="22"/>
      <c r="DW234" s="20"/>
      <c r="DX234" s="22"/>
      <c r="DY234" s="20"/>
      <c r="DZ234" s="22"/>
      <c r="EA234" s="20"/>
      <c r="EB234" s="22"/>
      <c r="EC234" s="20"/>
      <c r="ED234" s="22"/>
      <c r="EE234" s="20"/>
      <c r="EF234" s="22"/>
      <c r="EG234" s="20"/>
      <c r="EH234" s="22"/>
      <c r="EI234" s="20"/>
      <c r="EJ234" s="22"/>
      <c r="EK234" s="20"/>
      <c r="EL234" s="22"/>
      <c r="EM234" s="20"/>
      <c r="EN234" s="22"/>
      <c r="EO234" s="20"/>
      <c r="EP234" s="22"/>
      <c r="EQ234" s="20"/>
      <c r="ER234" s="22"/>
      <c r="ES234" s="20"/>
      <c r="ET234" s="22"/>
      <c r="EU234" s="20"/>
      <c r="EV234" s="22"/>
      <c r="EW234" s="20"/>
      <c r="EX234" s="22"/>
      <c r="EY234" s="20"/>
      <c r="EZ234" s="22"/>
      <c r="FA234" s="20"/>
      <c r="FB234" s="22"/>
      <c r="FC234" s="20"/>
      <c r="FD234" s="22"/>
      <c r="FE234" s="20"/>
      <c r="FF234" s="22"/>
      <c r="FG234" s="20"/>
      <c r="FH234" s="22"/>
      <c r="FI234" s="20"/>
      <c r="FJ234" s="22"/>
      <c r="FK234" s="20"/>
      <c r="FL234" s="22"/>
      <c r="FM234" s="20"/>
      <c r="FN234" s="22"/>
      <c r="FO234" s="20"/>
      <c r="FP234" s="22"/>
      <c r="FQ234" s="20"/>
      <c r="FR234" s="22"/>
      <c r="FS234" s="20"/>
      <c r="FT234" s="22"/>
      <c r="FU234" s="20"/>
      <c r="FV234" s="22"/>
      <c r="FW234" s="20"/>
      <c r="FX234" s="22"/>
      <c r="FY234" s="20"/>
      <c r="FZ234" s="22"/>
      <c r="GA234" s="20"/>
      <c r="GB234" s="22"/>
      <c r="GC234" s="20"/>
      <c r="GD234" s="22"/>
      <c r="GE234" s="20"/>
      <c r="GF234" s="22"/>
      <c r="GG234" s="20"/>
      <c r="GH234" s="22"/>
      <c r="GI234" s="20"/>
      <c r="GJ234" s="22"/>
      <c r="GK234" s="20"/>
      <c r="GL234" s="22"/>
      <c r="GM234" s="20"/>
      <c r="GN234" s="22"/>
      <c r="GO234" s="20"/>
      <c r="GP234" s="22"/>
      <c r="GQ234" s="20"/>
      <c r="GR234" s="22"/>
      <c r="GS234" s="20"/>
      <c r="GT234" s="22"/>
      <c r="GU234" s="20"/>
      <c r="GV234" s="22"/>
      <c r="GW234" s="20"/>
      <c r="GX234" s="22"/>
      <c r="GY234" s="20"/>
      <c r="GZ234" s="22"/>
      <c r="HA234" s="20">
        <v>2.0</v>
      </c>
      <c r="HB234" s="20">
        <v>2.0</v>
      </c>
      <c r="HC234" s="20"/>
      <c r="HD234" s="22"/>
      <c r="HE234" s="20"/>
      <c r="HF234" s="22"/>
      <c r="HG234" s="20"/>
      <c r="HH234" s="22"/>
      <c r="HI234" s="20"/>
      <c r="HJ234" s="22"/>
      <c r="HK234" s="20"/>
      <c r="HL234" s="22"/>
      <c r="HM234" s="20"/>
      <c r="HN234" s="22"/>
      <c r="HO234" s="20"/>
      <c r="HP234" s="22"/>
      <c r="HQ234" s="20"/>
      <c r="HR234" s="22"/>
      <c r="HS234" s="20"/>
      <c r="HT234" s="22"/>
      <c r="HU234" s="20"/>
      <c r="HV234" s="22"/>
      <c r="HW234" s="20"/>
      <c r="HX234" s="22"/>
      <c r="HY234" s="20"/>
      <c r="HZ234" s="22"/>
      <c r="IA234" s="20"/>
      <c r="IB234" s="22"/>
      <c r="IC234" s="20"/>
      <c r="ID234" s="22"/>
      <c r="IE234" s="20"/>
      <c r="IF234" s="22"/>
      <c r="IG234" s="20"/>
      <c r="IH234" s="22"/>
      <c r="II234" s="20"/>
      <c r="IJ234" s="22"/>
      <c r="IK234" s="20"/>
      <c r="IL234" s="22"/>
      <c r="IM234" s="20"/>
      <c r="IN234" s="22"/>
      <c r="IO234" s="20"/>
      <c r="IP234" s="22"/>
      <c r="IQ234" s="20"/>
      <c r="IR234" s="22"/>
      <c r="IS234" s="20"/>
      <c r="IT234" s="22"/>
      <c r="IU234" s="20"/>
      <c r="IV234" s="22"/>
      <c r="IW234" s="20"/>
      <c r="IX234" s="22"/>
      <c r="IY234" s="20"/>
      <c r="IZ234" s="22"/>
      <c r="JA234" s="20"/>
      <c r="JB234" s="22"/>
      <c r="JC234" s="20"/>
      <c r="JD234" s="22"/>
      <c r="JE234" s="20"/>
      <c r="JF234" s="22"/>
      <c r="JG234" s="20"/>
      <c r="JH234" s="22"/>
      <c r="JI234" s="20"/>
      <c r="JJ234" s="22"/>
      <c r="JK234" s="20"/>
      <c r="JL234" s="22"/>
      <c r="JM234" s="20"/>
      <c r="JN234" s="22"/>
      <c r="JO234" s="20"/>
      <c r="JP234" s="22"/>
      <c r="JQ234" s="20"/>
      <c r="JR234" s="22"/>
      <c r="JS234" s="20"/>
      <c r="JT234" s="22"/>
      <c r="JU234" s="20"/>
      <c r="JV234" s="22"/>
      <c r="JW234" s="20"/>
      <c r="JX234" s="22"/>
      <c r="JY234" s="20"/>
      <c r="JZ234" s="22"/>
      <c r="KA234" s="20"/>
      <c r="KB234" s="22"/>
      <c r="KC234" s="20"/>
      <c r="KD234" s="22"/>
      <c r="KE234" s="20"/>
      <c r="KF234" s="22"/>
      <c r="KG234" s="20"/>
      <c r="KH234" s="22"/>
      <c r="KI234" s="20"/>
      <c r="KJ234" s="22"/>
      <c r="KK234" s="20"/>
      <c r="KL234" s="22"/>
      <c r="KM234" s="20"/>
      <c r="KN234" s="22"/>
      <c r="KO234" s="20"/>
      <c r="KP234" s="22"/>
      <c r="KQ234" s="20"/>
      <c r="KR234" s="22"/>
      <c r="KS234" s="20"/>
      <c r="KT234" s="22"/>
      <c r="KU234" s="20"/>
      <c r="KV234" s="22"/>
      <c r="KW234" s="20"/>
      <c r="KX234" s="22"/>
      <c r="KY234" s="20"/>
      <c r="KZ234" s="22"/>
      <c r="LA234" s="20"/>
      <c r="LB234" s="22"/>
      <c r="LC234" s="20"/>
      <c r="LD234" s="22"/>
      <c r="LE234" s="20"/>
      <c r="LF234" s="22"/>
      <c r="LG234" s="20"/>
      <c r="LH234" s="22"/>
      <c r="LI234" s="20"/>
      <c r="LJ234" s="22"/>
      <c r="LK234" s="20"/>
      <c r="LL234" s="22"/>
      <c r="LM234" s="20"/>
      <c r="LN234" s="22"/>
      <c r="LO234" s="20"/>
      <c r="LP234" s="22"/>
      <c r="LQ234" s="20"/>
      <c r="LR234" s="22"/>
      <c r="LS234" s="20"/>
      <c r="LT234" s="22"/>
      <c r="LU234" s="20"/>
      <c r="LV234" s="22"/>
      <c r="LW234" s="20"/>
      <c r="LX234" s="22"/>
      <c r="LY234" s="20"/>
      <c r="LZ234" s="22"/>
      <c r="MA234" s="20"/>
      <c r="MB234" s="22"/>
      <c r="MC234" s="20"/>
      <c r="MD234" s="22"/>
      <c r="ME234" s="20"/>
      <c r="MF234" s="22"/>
      <c r="MG234" s="20"/>
      <c r="MH234" s="22"/>
      <c r="MI234" s="20"/>
      <c r="MJ234" s="22"/>
      <c r="MK234" s="20"/>
      <c r="ML234" s="22"/>
      <c r="MM234" s="20"/>
      <c r="MN234" s="22"/>
      <c r="MO234" s="20"/>
      <c r="MP234" s="22"/>
      <c r="MQ234" s="20"/>
      <c r="MR234" s="22"/>
      <c r="MS234" s="20"/>
      <c r="MT234" s="22"/>
      <c r="MU234" s="20"/>
      <c r="MV234" s="22"/>
      <c r="MW234" s="20"/>
      <c r="MX234" s="22"/>
      <c r="MY234" s="20"/>
      <c r="MZ234" s="22"/>
      <c r="NA234" s="20"/>
      <c r="NB234" s="22"/>
      <c r="NC234" s="20"/>
      <c r="ND234" s="22"/>
      <c r="NE234" s="20"/>
      <c r="NF234" s="73"/>
    </row>
    <row r="235" hidden="1">
      <c r="A235" s="237"/>
      <c r="B235" s="267"/>
      <c r="C235" s="239">
        <v>46230.0</v>
      </c>
      <c r="D235" s="284" t="s">
        <v>416</v>
      </c>
      <c r="E235" s="242" t="s">
        <v>47</v>
      </c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  <c r="CI235" s="73"/>
      <c r="CJ235" s="73"/>
      <c r="CK235" s="73"/>
      <c r="CL235" s="73"/>
      <c r="CM235" s="73"/>
      <c r="CN235" s="73"/>
      <c r="CO235" s="73"/>
      <c r="CP235" s="73"/>
      <c r="CQ235" s="73"/>
      <c r="CR235" s="73"/>
      <c r="CS235" s="73"/>
      <c r="CT235" s="73"/>
      <c r="CU235" s="73"/>
      <c r="CV235" s="73"/>
      <c r="CW235" s="73"/>
      <c r="CX235" s="73"/>
      <c r="CY235" s="73"/>
      <c r="CZ235" s="73"/>
      <c r="DA235" s="73"/>
      <c r="DB235" s="73"/>
      <c r="DC235" s="73"/>
      <c r="DD235" s="73"/>
      <c r="DE235" s="73"/>
      <c r="DF235" s="73"/>
      <c r="DG235" s="73"/>
      <c r="DH235" s="73"/>
      <c r="DI235" s="73"/>
      <c r="DJ235" s="73"/>
      <c r="DK235" s="73"/>
      <c r="DL235" s="73"/>
      <c r="DM235" s="73"/>
      <c r="DN235" s="73"/>
      <c r="DO235" s="73"/>
      <c r="DP235" s="73"/>
      <c r="DQ235" s="73"/>
      <c r="DR235" s="73"/>
      <c r="DS235" s="73"/>
      <c r="DT235" s="73"/>
      <c r="DU235" s="73"/>
      <c r="DV235" s="22"/>
      <c r="DW235" s="20"/>
      <c r="DX235" s="22"/>
      <c r="DY235" s="20"/>
      <c r="DZ235" s="22"/>
      <c r="EA235" s="20"/>
      <c r="EB235" s="22"/>
      <c r="EC235" s="20"/>
      <c r="ED235" s="22"/>
      <c r="EE235" s="20"/>
      <c r="EF235" s="22"/>
      <c r="EG235" s="20"/>
      <c r="EH235" s="22"/>
      <c r="EI235" s="20"/>
      <c r="EJ235" s="22"/>
      <c r="EK235" s="20"/>
      <c r="EL235" s="22"/>
      <c r="EM235" s="20"/>
      <c r="EN235" s="22"/>
      <c r="EO235" s="20"/>
      <c r="EP235" s="22"/>
      <c r="EQ235" s="20"/>
      <c r="ER235" s="22"/>
      <c r="ES235" s="20"/>
      <c r="ET235" s="22"/>
      <c r="EU235" s="20"/>
      <c r="EV235" s="22"/>
      <c r="EW235" s="20"/>
      <c r="EX235" s="22"/>
      <c r="EY235" s="20"/>
      <c r="EZ235" s="22"/>
      <c r="FA235" s="20"/>
      <c r="FB235" s="22"/>
      <c r="FC235" s="20"/>
      <c r="FD235" s="22"/>
      <c r="FE235" s="20"/>
      <c r="FF235" s="22"/>
      <c r="FG235" s="20"/>
      <c r="FH235" s="22"/>
      <c r="FI235" s="20"/>
      <c r="FJ235" s="22"/>
      <c r="FK235" s="20"/>
      <c r="FL235" s="22"/>
      <c r="FM235" s="20"/>
      <c r="FN235" s="22"/>
      <c r="FO235" s="20"/>
      <c r="FP235" s="22"/>
      <c r="FQ235" s="20"/>
      <c r="FR235" s="22"/>
      <c r="FS235" s="20"/>
      <c r="FT235" s="22"/>
      <c r="FU235" s="20"/>
      <c r="FV235" s="22"/>
      <c r="FW235" s="20"/>
      <c r="FX235" s="22"/>
      <c r="FY235" s="20"/>
      <c r="FZ235" s="22"/>
      <c r="GA235" s="20"/>
      <c r="GB235" s="22"/>
      <c r="GC235" s="20"/>
      <c r="GD235" s="22"/>
      <c r="GE235" s="20"/>
      <c r="GF235" s="22"/>
      <c r="GG235" s="20"/>
      <c r="GH235" s="22"/>
      <c r="GI235" s="20"/>
      <c r="GJ235" s="22"/>
      <c r="GK235" s="20"/>
      <c r="GL235" s="22"/>
      <c r="GM235" s="20"/>
      <c r="GN235" s="22"/>
      <c r="GO235" s="20"/>
      <c r="GP235" s="22"/>
      <c r="GQ235" s="20"/>
      <c r="GR235" s="22"/>
      <c r="GS235" s="20"/>
      <c r="GT235" s="22"/>
      <c r="GU235" s="20"/>
      <c r="GV235" s="22"/>
      <c r="GW235" s="20"/>
      <c r="GX235" s="22"/>
      <c r="GY235" s="20"/>
      <c r="GZ235" s="22"/>
      <c r="HA235" s="20"/>
      <c r="HB235" s="20">
        <v>2.0</v>
      </c>
      <c r="HC235" s="20"/>
      <c r="HD235" s="22"/>
      <c r="HE235" s="20">
        <v>2.0</v>
      </c>
      <c r="HF235" s="22"/>
      <c r="HG235" s="20"/>
      <c r="HH235" s="20"/>
      <c r="HI235" s="20">
        <v>2.0</v>
      </c>
      <c r="HJ235" s="22"/>
      <c r="HK235" s="20"/>
      <c r="HL235" s="22"/>
      <c r="HM235" s="20"/>
      <c r="HN235" s="22"/>
      <c r="HO235" s="20"/>
      <c r="HP235" s="22"/>
      <c r="HQ235" s="20"/>
      <c r="HR235" s="22"/>
      <c r="HS235" s="20"/>
      <c r="HT235" s="22"/>
      <c r="HU235" s="20"/>
      <c r="HV235" s="22"/>
      <c r="HW235" s="20"/>
      <c r="HX235" s="22"/>
      <c r="HY235" s="20"/>
      <c r="HZ235" s="22"/>
      <c r="IA235" s="20"/>
      <c r="IB235" s="22"/>
      <c r="IC235" s="20"/>
      <c r="ID235" s="22"/>
      <c r="IE235" s="20"/>
      <c r="IF235" s="22"/>
      <c r="IG235" s="20"/>
      <c r="IH235" s="22"/>
      <c r="II235" s="20"/>
      <c r="IJ235" s="22"/>
      <c r="IK235" s="20"/>
      <c r="IL235" s="22"/>
      <c r="IM235" s="20"/>
      <c r="IN235" s="22"/>
      <c r="IO235" s="20"/>
      <c r="IP235" s="22"/>
      <c r="IQ235" s="20"/>
      <c r="IR235" s="22"/>
      <c r="IS235" s="20"/>
      <c r="IT235" s="22"/>
      <c r="IU235" s="20"/>
      <c r="IV235" s="22"/>
      <c r="IW235" s="20"/>
      <c r="IX235" s="22"/>
      <c r="IY235" s="20"/>
      <c r="IZ235" s="22"/>
      <c r="JA235" s="20"/>
      <c r="JB235" s="22"/>
      <c r="JC235" s="20"/>
      <c r="JD235" s="22"/>
      <c r="JE235" s="20"/>
      <c r="JF235" s="22"/>
      <c r="JG235" s="20"/>
      <c r="JH235" s="22"/>
      <c r="JI235" s="20"/>
      <c r="JJ235" s="22"/>
      <c r="JK235" s="20"/>
      <c r="JL235" s="22"/>
      <c r="JM235" s="20"/>
      <c r="JN235" s="22"/>
      <c r="JO235" s="20"/>
      <c r="JP235" s="22"/>
      <c r="JQ235" s="20"/>
      <c r="JR235" s="22"/>
      <c r="JS235" s="20"/>
      <c r="JT235" s="22"/>
      <c r="JU235" s="20"/>
      <c r="JV235" s="22"/>
      <c r="JW235" s="20"/>
      <c r="JX235" s="22"/>
      <c r="JY235" s="20"/>
      <c r="JZ235" s="22"/>
      <c r="KA235" s="20"/>
      <c r="KB235" s="22"/>
      <c r="KC235" s="20"/>
      <c r="KD235" s="22"/>
      <c r="KE235" s="20"/>
      <c r="KF235" s="22"/>
      <c r="KG235" s="20"/>
      <c r="KH235" s="22"/>
      <c r="KI235" s="20"/>
      <c r="KJ235" s="22"/>
      <c r="KK235" s="20"/>
      <c r="KL235" s="22"/>
      <c r="KM235" s="20"/>
      <c r="KN235" s="22"/>
      <c r="KO235" s="20"/>
      <c r="KP235" s="22"/>
      <c r="KQ235" s="20"/>
      <c r="KR235" s="22"/>
      <c r="KS235" s="20"/>
      <c r="KT235" s="22"/>
      <c r="KU235" s="20"/>
      <c r="KV235" s="22"/>
      <c r="KW235" s="20"/>
      <c r="KX235" s="22"/>
      <c r="KY235" s="20"/>
      <c r="KZ235" s="22"/>
      <c r="LA235" s="20"/>
      <c r="LB235" s="22"/>
      <c r="LC235" s="20"/>
      <c r="LD235" s="22"/>
      <c r="LE235" s="20"/>
      <c r="LF235" s="22"/>
      <c r="LG235" s="20"/>
      <c r="LH235" s="22"/>
      <c r="LI235" s="20"/>
      <c r="LJ235" s="22"/>
      <c r="LK235" s="20"/>
      <c r="LL235" s="22"/>
      <c r="LM235" s="20"/>
      <c r="LN235" s="22"/>
      <c r="LO235" s="20"/>
      <c r="LP235" s="22"/>
      <c r="LQ235" s="20"/>
      <c r="LR235" s="22"/>
      <c r="LS235" s="20"/>
      <c r="LT235" s="22"/>
      <c r="LU235" s="20"/>
      <c r="LV235" s="22"/>
      <c r="LW235" s="20"/>
      <c r="LX235" s="22"/>
      <c r="LY235" s="20"/>
      <c r="LZ235" s="22"/>
      <c r="MA235" s="20"/>
      <c r="MB235" s="22"/>
      <c r="MC235" s="20"/>
      <c r="MD235" s="22"/>
      <c r="ME235" s="20"/>
      <c r="MF235" s="22"/>
      <c r="MG235" s="20"/>
      <c r="MH235" s="22"/>
      <c r="MI235" s="20"/>
      <c r="MJ235" s="22"/>
      <c r="MK235" s="20"/>
      <c r="ML235" s="22"/>
      <c r="MM235" s="20"/>
      <c r="MN235" s="22"/>
      <c r="MO235" s="20"/>
      <c r="MP235" s="22"/>
      <c r="MQ235" s="20"/>
      <c r="MR235" s="22"/>
      <c r="MS235" s="20"/>
      <c r="MT235" s="22"/>
      <c r="MU235" s="20"/>
      <c r="MV235" s="22"/>
      <c r="MW235" s="20"/>
      <c r="MX235" s="22"/>
      <c r="MY235" s="20"/>
      <c r="MZ235" s="22"/>
      <c r="NA235" s="20"/>
      <c r="NB235" s="22"/>
      <c r="NC235" s="20"/>
      <c r="ND235" s="22"/>
      <c r="NE235" s="20"/>
      <c r="NF235" s="73"/>
    </row>
    <row r="236" hidden="1">
      <c r="A236" s="237"/>
      <c r="B236" s="267"/>
      <c r="C236" s="239">
        <v>46226.0</v>
      </c>
      <c r="D236" s="284" t="s">
        <v>417</v>
      </c>
      <c r="E236" s="242" t="s">
        <v>47</v>
      </c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  <c r="CI236" s="73"/>
      <c r="CJ236" s="73"/>
      <c r="CK236" s="73"/>
      <c r="CL236" s="73"/>
      <c r="CM236" s="73"/>
      <c r="CN236" s="73"/>
      <c r="CO236" s="73"/>
      <c r="CP236" s="73"/>
      <c r="CQ236" s="73"/>
      <c r="CR236" s="73"/>
      <c r="CS236" s="73"/>
      <c r="CT236" s="73"/>
      <c r="CU236" s="73"/>
      <c r="CV236" s="73"/>
      <c r="CW236" s="73"/>
      <c r="CX236" s="73"/>
      <c r="CY236" s="73"/>
      <c r="CZ236" s="73"/>
      <c r="DA236" s="73"/>
      <c r="DB236" s="73"/>
      <c r="DC236" s="73"/>
      <c r="DD236" s="73"/>
      <c r="DE236" s="73"/>
      <c r="DF236" s="73"/>
      <c r="DG236" s="73"/>
      <c r="DH236" s="73"/>
      <c r="DI236" s="73"/>
      <c r="DJ236" s="73"/>
      <c r="DK236" s="73"/>
      <c r="DL236" s="73"/>
      <c r="DM236" s="73"/>
      <c r="DN236" s="73"/>
      <c r="DO236" s="73"/>
      <c r="DP236" s="73"/>
      <c r="DQ236" s="73"/>
      <c r="DR236" s="73"/>
      <c r="DS236" s="73"/>
      <c r="DT236" s="73"/>
      <c r="DU236" s="73"/>
      <c r="DV236" s="22"/>
      <c r="DW236" s="20"/>
      <c r="DX236" s="22"/>
      <c r="DY236" s="20"/>
      <c r="DZ236" s="22"/>
      <c r="EA236" s="20"/>
      <c r="EB236" s="22"/>
      <c r="EC236" s="20"/>
      <c r="ED236" s="22"/>
      <c r="EE236" s="20"/>
      <c r="EF236" s="22"/>
      <c r="EG236" s="20"/>
      <c r="EH236" s="22"/>
      <c r="EI236" s="20"/>
      <c r="EJ236" s="22"/>
      <c r="EK236" s="20"/>
      <c r="EL236" s="22"/>
      <c r="EM236" s="20"/>
      <c r="EN236" s="22"/>
      <c r="EO236" s="20"/>
      <c r="EP236" s="22"/>
      <c r="EQ236" s="20"/>
      <c r="ER236" s="22"/>
      <c r="ES236" s="20"/>
      <c r="ET236" s="22"/>
      <c r="EU236" s="20"/>
      <c r="EV236" s="22"/>
      <c r="EW236" s="20"/>
      <c r="EX236" s="22"/>
      <c r="EY236" s="20"/>
      <c r="EZ236" s="22"/>
      <c r="FA236" s="20"/>
      <c r="FB236" s="22"/>
      <c r="FC236" s="20"/>
      <c r="FD236" s="22"/>
      <c r="FE236" s="20"/>
      <c r="FF236" s="22"/>
      <c r="FG236" s="20"/>
      <c r="FH236" s="22"/>
      <c r="FI236" s="20"/>
      <c r="FJ236" s="22"/>
      <c r="FK236" s="20"/>
      <c r="FL236" s="22"/>
      <c r="FM236" s="20"/>
      <c r="FN236" s="22"/>
      <c r="FO236" s="20"/>
      <c r="FP236" s="22"/>
      <c r="FQ236" s="20"/>
      <c r="FR236" s="22"/>
      <c r="FS236" s="20"/>
      <c r="FT236" s="22"/>
      <c r="FU236" s="20"/>
      <c r="FV236" s="22"/>
      <c r="FW236" s="20"/>
      <c r="FX236" s="22"/>
      <c r="FY236" s="20"/>
      <c r="FZ236" s="22"/>
      <c r="GA236" s="20"/>
      <c r="GB236" s="22"/>
      <c r="GC236" s="20"/>
      <c r="GD236" s="22"/>
      <c r="GE236" s="20"/>
      <c r="GF236" s="22"/>
      <c r="GG236" s="20"/>
      <c r="GH236" s="22"/>
      <c r="GI236" s="20"/>
      <c r="GJ236" s="22"/>
      <c r="GK236" s="20"/>
      <c r="GL236" s="22"/>
      <c r="GM236" s="20"/>
      <c r="GN236" s="22"/>
      <c r="GO236" s="20"/>
      <c r="GP236" s="22"/>
      <c r="GQ236" s="20"/>
      <c r="GR236" s="22"/>
      <c r="GS236" s="20"/>
      <c r="GT236" s="22"/>
      <c r="GU236" s="20"/>
      <c r="GV236" s="22"/>
      <c r="GW236" s="20"/>
      <c r="GX236" s="22"/>
      <c r="GY236" s="20"/>
      <c r="GZ236" s="22"/>
      <c r="HA236" s="20">
        <v>1.0</v>
      </c>
      <c r="HB236" s="22"/>
      <c r="HC236" s="20"/>
      <c r="HD236" s="22"/>
      <c r="HE236" s="20"/>
      <c r="HF236" s="22"/>
      <c r="HG236" s="20"/>
      <c r="HH236" s="22"/>
      <c r="HI236" s="20"/>
      <c r="HJ236" s="22"/>
      <c r="HK236" s="20"/>
      <c r="HL236" s="22"/>
      <c r="HM236" s="20"/>
      <c r="HN236" s="22"/>
      <c r="HO236" s="20"/>
      <c r="HP236" s="22"/>
      <c r="HQ236" s="20"/>
      <c r="HR236" s="22"/>
      <c r="HS236" s="20"/>
      <c r="HT236" s="22"/>
      <c r="HU236" s="20"/>
      <c r="HV236" s="22"/>
      <c r="HW236" s="20"/>
      <c r="HX236" s="22"/>
      <c r="HY236" s="20"/>
      <c r="HZ236" s="22"/>
      <c r="IA236" s="20"/>
      <c r="IB236" s="22"/>
      <c r="IC236" s="20"/>
      <c r="ID236" s="22"/>
      <c r="IE236" s="20"/>
      <c r="IF236" s="22"/>
      <c r="IG236" s="20"/>
      <c r="IH236" s="22"/>
      <c r="II236" s="20"/>
      <c r="IJ236" s="22"/>
      <c r="IK236" s="20"/>
      <c r="IL236" s="22"/>
      <c r="IM236" s="20"/>
      <c r="IN236" s="22"/>
      <c r="IO236" s="20"/>
      <c r="IP236" s="22"/>
      <c r="IQ236" s="20"/>
      <c r="IR236" s="22"/>
      <c r="IS236" s="20"/>
      <c r="IT236" s="22"/>
      <c r="IU236" s="20"/>
      <c r="IV236" s="22"/>
      <c r="IW236" s="20"/>
      <c r="IX236" s="22"/>
      <c r="IY236" s="20"/>
      <c r="IZ236" s="22"/>
      <c r="JA236" s="20"/>
      <c r="JB236" s="22"/>
      <c r="JC236" s="20"/>
      <c r="JD236" s="22"/>
      <c r="JE236" s="20"/>
      <c r="JF236" s="22"/>
      <c r="JG236" s="20"/>
      <c r="JH236" s="22"/>
      <c r="JI236" s="20"/>
      <c r="JJ236" s="22"/>
      <c r="JK236" s="20"/>
      <c r="JL236" s="22"/>
      <c r="JM236" s="20"/>
      <c r="JN236" s="22"/>
      <c r="JO236" s="20"/>
      <c r="JP236" s="22"/>
      <c r="JQ236" s="20"/>
      <c r="JR236" s="22"/>
      <c r="JS236" s="20"/>
      <c r="JT236" s="22"/>
      <c r="JU236" s="20"/>
      <c r="JV236" s="22"/>
      <c r="JW236" s="20"/>
      <c r="JX236" s="22"/>
      <c r="JY236" s="20"/>
      <c r="JZ236" s="22"/>
      <c r="KA236" s="20"/>
      <c r="KB236" s="22"/>
      <c r="KC236" s="20"/>
      <c r="KD236" s="22"/>
      <c r="KE236" s="20"/>
      <c r="KF236" s="22"/>
      <c r="KG236" s="20"/>
      <c r="KH236" s="22"/>
      <c r="KI236" s="20"/>
      <c r="KJ236" s="22"/>
      <c r="KK236" s="20"/>
      <c r="KL236" s="22"/>
      <c r="KM236" s="20"/>
      <c r="KN236" s="22"/>
      <c r="KO236" s="20"/>
      <c r="KP236" s="22"/>
      <c r="KQ236" s="20"/>
      <c r="KR236" s="22"/>
      <c r="KS236" s="20"/>
      <c r="KT236" s="22"/>
      <c r="KU236" s="20"/>
      <c r="KV236" s="22"/>
      <c r="KW236" s="20"/>
      <c r="KX236" s="22"/>
      <c r="KY236" s="20"/>
      <c r="KZ236" s="22"/>
      <c r="LA236" s="20"/>
      <c r="LB236" s="22"/>
      <c r="LC236" s="20"/>
      <c r="LD236" s="22"/>
      <c r="LE236" s="20"/>
      <c r="LF236" s="22"/>
      <c r="LG236" s="20"/>
      <c r="LH236" s="22"/>
      <c r="LI236" s="20"/>
      <c r="LJ236" s="22"/>
      <c r="LK236" s="20"/>
      <c r="LL236" s="22"/>
      <c r="LM236" s="20"/>
      <c r="LN236" s="22"/>
      <c r="LO236" s="20"/>
      <c r="LP236" s="22"/>
      <c r="LQ236" s="20"/>
      <c r="LR236" s="22"/>
      <c r="LS236" s="20"/>
      <c r="LT236" s="22"/>
      <c r="LU236" s="20"/>
      <c r="LV236" s="22"/>
      <c r="LW236" s="20"/>
      <c r="LX236" s="22"/>
      <c r="LY236" s="20"/>
      <c r="LZ236" s="22"/>
      <c r="MA236" s="20"/>
      <c r="MB236" s="22"/>
      <c r="MC236" s="20"/>
      <c r="MD236" s="22"/>
      <c r="ME236" s="20"/>
      <c r="MF236" s="22"/>
      <c r="MG236" s="20"/>
      <c r="MH236" s="22"/>
      <c r="MI236" s="20"/>
      <c r="MJ236" s="22"/>
      <c r="MK236" s="20"/>
      <c r="ML236" s="22"/>
      <c r="MM236" s="20"/>
      <c r="MN236" s="22"/>
      <c r="MO236" s="20"/>
      <c r="MP236" s="22"/>
      <c r="MQ236" s="20"/>
      <c r="MR236" s="22"/>
      <c r="MS236" s="20"/>
      <c r="MT236" s="22"/>
      <c r="MU236" s="20"/>
      <c r="MV236" s="22"/>
      <c r="MW236" s="20"/>
      <c r="MX236" s="22"/>
      <c r="MY236" s="20"/>
      <c r="MZ236" s="22"/>
      <c r="NA236" s="20"/>
      <c r="NB236" s="22"/>
      <c r="NC236" s="20"/>
      <c r="ND236" s="22"/>
      <c r="NE236" s="20"/>
      <c r="NF236" s="73"/>
    </row>
    <row r="237" hidden="1">
      <c r="A237" s="237"/>
      <c r="B237" s="267"/>
      <c r="C237" s="239">
        <v>46227.0</v>
      </c>
      <c r="D237" s="286" t="s">
        <v>418</v>
      </c>
      <c r="E237" s="242" t="s">
        <v>43</v>
      </c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  <c r="CI237" s="73"/>
      <c r="CJ237" s="73"/>
      <c r="CK237" s="73"/>
      <c r="CL237" s="73"/>
      <c r="CM237" s="73"/>
      <c r="CN237" s="73"/>
      <c r="CO237" s="73"/>
      <c r="CP237" s="73"/>
      <c r="CQ237" s="73"/>
      <c r="CR237" s="73"/>
      <c r="CS237" s="73"/>
      <c r="CT237" s="73"/>
      <c r="CU237" s="73"/>
      <c r="CV237" s="73"/>
      <c r="CW237" s="73"/>
      <c r="CX237" s="73"/>
      <c r="CY237" s="73"/>
      <c r="CZ237" s="73"/>
      <c r="DA237" s="73"/>
      <c r="DB237" s="73"/>
      <c r="DC237" s="73"/>
      <c r="DD237" s="73"/>
      <c r="DE237" s="73"/>
      <c r="DF237" s="73"/>
      <c r="DG237" s="73"/>
      <c r="DH237" s="73"/>
      <c r="DI237" s="73"/>
      <c r="DJ237" s="73"/>
      <c r="DK237" s="73"/>
      <c r="DL237" s="73"/>
      <c r="DM237" s="73"/>
      <c r="DN237" s="73"/>
      <c r="DO237" s="73"/>
      <c r="DP237" s="73"/>
      <c r="DQ237" s="73"/>
      <c r="DR237" s="73"/>
      <c r="DS237" s="73"/>
      <c r="DT237" s="73"/>
      <c r="DU237" s="73"/>
      <c r="DV237" s="22"/>
      <c r="DW237" s="20"/>
      <c r="DX237" s="22"/>
      <c r="DY237" s="20"/>
      <c r="DZ237" s="22"/>
      <c r="EA237" s="20"/>
      <c r="EB237" s="22"/>
      <c r="EC237" s="20"/>
      <c r="ED237" s="22"/>
      <c r="EE237" s="20"/>
      <c r="EF237" s="22"/>
      <c r="EG237" s="20"/>
      <c r="EH237" s="22"/>
      <c r="EI237" s="20"/>
      <c r="EJ237" s="22"/>
      <c r="EK237" s="20"/>
      <c r="EL237" s="22"/>
      <c r="EM237" s="20"/>
      <c r="EN237" s="22"/>
      <c r="EO237" s="20"/>
      <c r="EP237" s="22"/>
      <c r="EQ237" s="20"/>
      <c r="ER237" s="22"/>
      <c r="ES237" s="20"/>
      <c r="ET237" s="22"/>
      <c r="EU237" s="20"/>
      <c r="EV237" s="22"/>
      <c r="EW237" s="20"/>
      <c r="EX237" s="22"/>
      <c r="EY237" s="20"/>
      <c r="EZ237" s="22"/>
      <c r="FA237" s="20"/>
      <c r="FB237" s="22"/>
      <c r="FC237" s="20"/>
      <c r="FD237" s="22"/>
      <c r="FE237" s="20"/>
      <c r="FF237" s="22"/>
      <c r="FG237" s="20"/>
      <c r="FH237" s="22"/>
      <c r="FI237" s="20"/>
      <c r="FJ237" s="22"/>
      <c r="FK237" s="20"/>
      <c r="FL237" s="22"/>
      <c r="FM237" s="20"/>
      <c r="FN237" s="22"/>
      <c r="FO237" s="20"/>
      <c r="FP237" s="22"/>
      <c r="FQ237" s="20"/>
      <c r="FR237" s="22"/>
      <c r="FS237" s="20"/>
      <c r="FT237" s="22"/>
      <c r="FU237" s="20"/>
      <c r="FV237" s="22"/>
      <c r="FW237" s="20"/>
      <c r="FX237" s="22"/>
      <c r="FY237" s="20"/>
      <c r="FZ237" s="22"/>
      <c r="GA237" s="20"/>
      <c r="GB237" s="22"/>
      <c r="GC237" s="20"/>
      <c r="GD237" s="22"/>
      <c r="GE237" s="20"/>
      <c r="GF237" s="22"/>
      <c r="GG237" s="20"/>
      <c r="GH237" s="22"/>
      <c r="GI237" s="20"/>
      <c r="GJ237" s="22"/>
      <c r="GK237" s="20"/>
      <c r="GL237" s="22"/>
      <c r="GM237" s="20"/>
      <c r="GN237" s="22"/>
      <c r="GO237" s="20"/>
      <c r="GP237" s="22"/>
      <c r="GQ237" s="20"/>
      <c r="GR237" s="22"/>
      <c r="GS237" s="20"/>
      <c r="GT237" s="22"/>
      <c r="GU237" s="20"/>
      <c r="GV237" s="22"/>
      <c r="GW237" s="20"/>
      <c r="GX237" s="22"/>
      <c r="GY237" s="20"/>
      <c r="GZ237" s="22"/>
      <c r="HA237" s="20"/>
      <c r="HB237" s="20">
        <v>1.0</v>
      </c>
      <c r="HC237" s="20"/>
      <c r="HD237" s="22"/>
      <c r="HE237" s="20">
        <v>3.0</v>
      </c>
      <c r="HF237" s="20">
        <v>2.0</v>
      </c>
      <c r="HG237" s="20"/>
      <c r="HH237" s="20">
        <v>2.0</v>
      </c>
      <c r="HI237" s="20"/>
      <c r="HJ237" s="22"/>
      <c r="HK237" s="20"/>
      <c r="HL237" s="22"/>
      <c r="HM237" s="20"/>
      <c r="HN237" s="22"/>
      <c r="HO237" s="20"/>
      <c r="HP237" s="22"/>
      <c r="HQ237" s="20"/>
      <c r="HR237" s="22"/>
      <c r="HS237" s="20"/>
      <c r="HT237" s="22"/>
      <c r="HU237" s="20"/>
      <c r="HV237" s="22"/>
      <c r="HW237" s="20"/>
      <c r="HX237" s="22"/>
      <c r="HY237" s="20"/>
      <c r="HZ237" s="22"/>
      <c r="IA237" s="20"/>
      <c r="IB237" s="22"/>
      <c r="IC237" s="20"/>
      <c r="ID237" s="22"/>
      <c r="IE237" s="20"/>
      <c r="IF237" s="22"/>
      <c r="IG237" s="20"/>
      <c r="IH237" s="22"/>
      <c r="II237" s="20"/>
      <c r="IJ237" s="22"/>
      <c r="IK237" s="20"/>
      <c r="IL237" s="22"/>
      <c r="IM237" s="20"/>
      <c r="IN237" s="22"/>
      <c r="IO237" s="20"/>
      <c r="IP237" s="22"/>
      <c r="IQ237" s="20"/>
      <c r="IR237" s="22"/>
      <c r="IS237" s="20"/>
      <c r="IT237" s="22"/>
      <c r="IU237" s="20"/>
      <c r="IV237" s="22"/>
      <c r="IW237" s="20"/>
      <c r="IX237" s="22"/>
      <c r="IY237" s="20"/>
      <c r="IZ237" s="22"/>
      <c r="JA237" s="20"/>
      <c r="JB237" s="22"/>
      <c r="JC237" s="20"/>
      <c r="JD237" s="22"/>
      <c r="JE237" s="20"/>
      <c r="JF237" s="22"/>
      <c r="JG237" s="20"/>
      <c r="JH237" s="22"/>
      <c r="JI237" s="20"/>
      <c r="JJ237" s="22"/>
      <c r="JK237" s="20"/>
      <c r="JL237" s="22"/>
      <c r="JM237" s="20"/>
      <c r="JN237" s="22"/>
      <c r="JO237" s="20"/>
      <c r="JP237" s="22"/>
      <c r="JQ237" s="20"/>
      <c r="JR237" s="22"/>
      <c r="JS237" s="20"/>
      <c r="JT237" s="22"/>
      <c r="JU237" s="20"/>
      <c r="JV237" s="22"/>
      <c r="JW237" s="20"/>
      <c r="JX237" s="22"/>
      <c r="JY237" s="20"/>
      <c r="JZ237" s="22"/>
      <c r="KA237" s="20"/>
      <c r="KB237" s="22"/>
      <c r="KC237" s="20"/>
      <c r="KD237" s="22"/>
      <c r="KE237" s="20"/>
      <c r="KF237" s="22"/>
      <c r="KG237" s="20"/>
      <c r="KH237" s="22"/>
      <c r="KI237" s="20"/>
      <c r="KJ237" s="22"/>
      <c r="KK237" s="20"/>
      <c r="KL237" s="22"/>
      <c r="KM237" s="20"/>
      <c r="KN237" s="22"/>
      <c r="KO237" s="20"/>
      <c r="KP237" s="22"/>
      <c r="KQ237" s="20"/>
      <c r="KR237" s="22"/>
      <c r="KS237" s="20"/>
      <c r="KT237" s="22"/>
      <c r="KU237" s="20"/>
      <c r="KV237" s="22"/>
      <c r="KW237" s="20"/>
      <c r="KX237" s="22"/>
      <c r="KY237" s="20"/>
      <c r="KZ237" s="22"/>
      <c r="LA237" s="20"/>
      <c r="LB237" s="22"/>
      <c r="LC237" s="20"/>
      <c r="LD237" s="22"/>
      <c r="LE237" s="20"/>
      <c r="LF237" s="22"/>
      <c r="LG237" s="20"/>
      <c r="LH237" s="22"/>
      <c r="LI237" s="20"/>
      <c r="LJ237" s="22"/>
      <c r="LK237" s="20"/>
      <c r="LL237" s="22"/>
      <c r="LM237" s="20"/>
      <c r="LN237" s="22"/>
      <c r="LO237" s="20"/>
      <c r="LP237" s="22"/>
      <c r="LQ237" s="20"/>
      <c r="LR237" s="22"/>
      <c r="LS237" s="20"/>
      <c r="LT237" s="22"/>
      <c r="LU237" s="20"/>
      <c r="LV237" s="22"/>
      <c r="LW237" s="20"/>
      <c r="LX237" s="22"/>
      <c r="LY237" s="20"/>
      <c r="LZ237" s="22"/>
      <c r="MA237" s="20"/>
      <c r="MB237" s="22"/>
      <c r="MC237" s="20"/>
      <c r="MD237" s="22"/>
      <c r="ME237" s="20"/>
      <c r="MF237" s="22"/>
      <c r="MG237" s="20"/>
      <c r="MH237" s="22"/>
      <c r="MI237" s="20"/>
      <c r="MJ237" s="22"/>
      <c r="MK237" s="20"/>
      <c r="ML237" s="22"/>
      <c r="MM237" s="20"/>
      <c r="MN237" s="22"/>
      <c r="MO237" s="20"/>
      <c r="MP237" s="22"/>
      <c r="MQ237" s="20"/>
      <c r="MR237" s="22"/>
      <c r="MS237" s="20"/>
      <c r="MT237" s="22"/>
      <c r="MU237" s="20"/>
      <c r="MV237" s="22"/>
      <c r="MW237" s="20"/>
      <c r="MX237" s="22"/>
      <c r="MY237" s="20"/>
      <c r="MZ237" s="22"/>
      <c r="NA237" s="20"/>
      <c r="NB237" s="22"/>
      <c r="NC237" s="20"/>
      <c r="ND237" s="22"/>
      <c r="NE237" s="20"/>
      <c r="NF237" s="73"/>
    </row>
    <row r="238" hidden="1">
      <c r="A238" s="237"/>
      <c r="B238" s="267"/>
      <c r="C238" s="239">
        <v>46227.0</v>
      </c>
      <c r="D238" s="284" t="s">
        <v>419</v>
      </c>
      <c r="E238" s="242" t="s">
        <v>47</v>
      </c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  <c r="CI238" s="73"/>
      <c r="CJ238" s="73"/>
      <c r="CK238" s="73"/>
      <c r="CL238" s="73"/>
      <c r="CM238" s="73"/>
      <c r="CN238" s="73"/>
      <c r="CO238" s="73"/>
      <c r="CP238" s="73"/>
      <c r="CQ238" s="73"/>
      <c r="CR238" s="73"/>
      <c r="CS238" s="73"/>
      <c r="CT238" s="73"/>
      <c r="CU238" s="73"/>
      <c r="CV238" s="73"/>
      <c r="CW238" s="73"/>
      <c r="CX238" s="73"/>
      <c r="CY238" s="73"/>
      <c r="CZ238" s="73"/>
      <c r="DA238" s="73"/>
      <c r="DB238" s="73"/>
      <c r="DC238" s="73"/>
      <c r="DD238" s="73"/>
      <c r="DE238" s="73"/>
      <c r="DF238" s="73"/>
      <c r="DG238" s="73"/>
      <c r="DH238" s="73"/>
      <c r="DI238" s="73"/>
      <c r="DJ238" s="73"/>
      <c r="DK238" s="73"/>
      <c r="DL238" s="73"/>
      <c r="DM238" s="73"/>
      <c r="DN238" s="73"/>
      <c r="DO238" s="73"/>
      <c r="DP238" s="73"/>
      <c r="DQ238" s="73"/>
      <c r="DR238" s="73"/>
      <c r="DS238" s="73"/>
      <c r="DT238" s="73"/>
      <c r="DU238" s="73"/>
      <c r="DV238" s="22"/>
      <c r="DW238" s="20"/>
      <c r="DX238" s="22"/>
      <c r="DY238" s="20"/>
      <c r="DZ238" s="22"/>
      <c r="EA238" s="20"/>
      <c r="EB238" s="22"/>
      <c r="EC238" s="20"/>
      <c r="ED238" s="22"/>
      <c r="EE238" s="20"/>
      <c r="EF238" s="22"/>
      <c r="EG238" s="20"/>
      <c r="EH238" s="22"/>
      <c r="EI238" s="20"/>
      <c r="EJ238" s="22"/>
      <c r="EK238" s="20"/>
      <c r="EL238" s="22"/>
      <c r="EM238" s="20"/>
      <c r="EN238" s="22"/>
      <c r="EO238" s="20"/>
      <c r="EP238" s="22"/>
      <c r="EQ238" s="20"/>
      <c r="ER238" s="22"/>
      <c r="ES238" s="20"/>
      <c r="ET238" s="22"/>
      <c r="EU238" s="20"/>
      <c r="EV238" s="22"/>
      <c r="EW238" s="20"/>
      <c r="EX238" s="22"/>
      <c r="EY238" s="20"/>
      <c r="EZ238" s="22"/>
      <c r="FA238" s="20"/>
      <c r="FB238" s="22"/>
      <c r="FC238" s="20"/>
      <c r="FD238" s="22"/>
      <c r="FE238" s="20"/>
      <c r="FF238" s="22"/>
      <c r="FG238" s="20"/>
      <c r="FH238" s="22"/>
      <c r="FI238" s="20"/>
      <c r="FJ238" s="22"/>
      <c r="FK238" s="20"/>
      <c r="FL238" s="22"/>
      <c r="FM238" s="20"/>
      <c r="FN238" s="22"/>
      <c r="FO238" s="20"/>
      <c r="FP238" s="22"/>
      <c r="FQ238" s="20"/>
      <c r="FR238" s="22"/>
      <c r="FS238" s="20"/>
      <c r="FT238" s="22"/>
      <c r="FU238" s="20"/>
      <c r="FV238" s="22"/>
      <c r="FW238" s="20"/>
      <c r="FX238" s="22"/>
      <c r="FY238" s="20"/>
      <c r="FZ238" s="22"/>
      <c r="GA238" s="20"/>
      <c r="GB238" s="22"/>
      <c r="GC238" s="20"/>
      <c r="GD238" s="22"/>
      <c r="GE238" s="20"/>
      <c r="GF238" s="22"/>
      <c r="GG238" s="20"/>
      <c r="GH238" s="22"/>
      <c r="GI238" s="20"/>
      <c r="GJ238" s="22"/>
      <c r="GK238" s="20"/>
      <c r="GL238" s="22"/>
      <c r="GM238" s="20"/>
      <c r="GN238" s="22"/>
      <c r="GO238" s="20"/>
      <c r="GP238" s="22"/>
      <c r="GQ238" s="20"/>
      <c r="GR238" s="22"/>
      <c r="GS238" s="20"/>
      <c r="GT238" s="22"/>
      <c r="GU238" s="20"/>
      <c r="GV238" s="22"/>
      <c r="GW238" s="20"/>
      <c r="GX238" s="22"/>
      <c r="GY238" s="20"/>
      <c r="GZ238" s="22"/>
      <c r="HA238" s="20"/>
      <c r="HB238" s="20">
        <v>1.0</v>
      </c>
      <c r="HC238" s="20"/>
      <c r="HD238" s="22"/>
      <c r="HE238" s="20">
        <v>2.0</v>
      </c>
      <c r="HF238" s="22"/>
      <c r="HG238" s="20"/>
      <c r="HH238" s="22"/>
      <c r="HI238" s="20"/>
      <c r="HJ238" s="22"/>
      <c r="HK238" s="20"/>
      <c r="HL238" s="22"/>
      <c r="HM238" s="20"/>
      <c r="HN238" s="22"/>
      <c r="HO238" s="20"/>
      <c r="HP238" s="22"/>
      <c r="HQ238" s="20"/>
      <c r="HR238" s="22"/>
      <c r="HS238" s="20"/>
      <c r="HT238" s="22"/>
      <c r="HU238" s="20"/>
      <c r="HV238" s="22"/>
      <c r="HW238" s="20"/>
      <c r="HX238" s="22"/>
      <c r="HY238" s="20"/>
      <c r="HZ238" s="22"/>
      <c r="IA238" s="20"/>
      <c r="IB238" s="22"/>
      <c r="IC238" s="20"/>
      <c r="ID238" s="22"/>
      <c r="IE238" s="20"/>
      <c r="IF238" s="22"/>
      <c r="IG238" s="20"/>
      <c r="IH238" s="22"/>
      <c r="II238" s="20"/>
      <c r="IJ238" s="22"/>
      <c r="IK238" s="20"/>
      <c r="IL238" s="22"/>
      <c r="IM238" s="20"/>
      <c r="IN238" s="22"/>
      <c r="IO238" s="20"/>
      <c r="IP238" s="22"/>
      <c r="IQ238" s="20"/>
      <c r="IR238" s="22"/>
      <c r="IS238" s="20"/>
      <c r="IT238" s="22"/>
      <c r="IU238" s="20"/>
      <c r="IV238" s="22"/>
      <c r="IW238" s="20"/>
      <c r="IX238" s="22"/>
      <c r="IY238" s="20"/>
      <c r="IZ238" s="22"/>
      <c r="JA238" s="20"/>
      <c r="JB238" s="22"/>
      <c r="JC238" s="20"/>
      <c r="JD238" s="22"/>
      <c r="JE238" s="20"/>
      <c r="JF238" s="22"/>
      <c r="JG238" s="20"/>
      <c r="JH238" s="22"/>
      <c r="JI238" s="20"/>
      <c r="JJ238" s="22"/>
      <c r="JK238" s="20"/>
      <c r="JL238" s="22"/>
      <c r="JM238" s="20"/>
      <c r="JN238" s="22"/>
      <c r="JO238" s="20"/>
      <c r="JP238" s="22"/>
      <c r="JQ238" s="20"/>
      <c r="JR238" s="22"/>
      <c r="JS238" s="20"/>
      <c r="JT238" s="22"/>
      <c r="JU238" s="20"/>
      <c r="JV238" s="22"/>
      <c r="JW238" s="20"/>
      <c r="JX238" s="22"/>
      <c r="JY238" s="20"/>
      <c r="JZ238" s="22"/>
      <c r="KA238" s="20"/>
      <c r="KB238" s="22"/>
      <c r="KC238" s="20"/>
      <c r="KD238" s="22"/>
      <c r="KE238" s="20"/>
      <c r="KF238" s="22"/>
      <c r="KG238" s="20"/>
      <c r="KH238" s="22"/>
      <c r="KI238" s="20"/>
      <c r="KJ238" s="22"/>
      <c r="KK238" s="20"/>
      <c r="KL238" s="22"/>
      <c r="KM238" s="20"/>
      <c r="KN238" s="22"/>
      <c r="KO238" s="20"/>
      <c r="KP238" s="22"/>
      <c r="KQ238" s="20"/>
      <c r="KR238" s="22"/>
      <c r="KS238" s="20"/>
      <c r="KT238" s="22"/>
      <c r="KU238" s="20"/>
      <c r="KV238" s="22"/>
      <c r="KW238" s="20"/>
      <c r="KX238" s="22"/>
      <c r="KY238" s="20"/>
      <c r="KZ238" s="22"/>
      <c r="LA238" s="20"/>
      <c r="LB238" s="22"/>
      <c r="LC238" s="20"/>
      <c r="LD238" s="22"/>
      <c r="LE238" s="20"/>
      <c r="LF238" s="22"/>
      <c r="LG238" s="20"/>
      <c r="LH238" s="22"/>
      <c r="LI238" s="20"/>
      <c r="LJ238" s="22"/>
      <c r="LK238" s="20"/>
      <c r="LL238" s="22"/>
      <c r="LM238" s="20"/>
      <c r="LN238" s="22"/>
      <c r="LO238" s="20"/>
      <c r="LP238" s="22"/>
      <c r="LQ238" s="20"/>
      <c r="LR238" s="22"/>
      <c r="LS238" s="20"/>
      <c r="LT238" s="22"/>
      <c r="LU238" s="20"/>
      <c r="LV238" s="22"/>
      <c r="LW238" s="20"/>
      <c r="LX238" s="22"/>
      <c r="LY238" s="20"/>
      <c r="LZ238" s="22"/>
      <c r="MA238" s="20"/>
      <c r="MB238" s="22"/>
      <c r="MC238" s="20"/>
      <c r="MD238" s="22"/>
      <c r="ME238" s="20"/>
      <c r="MF238" s="22"/>
      <c r="MG238" s="20"/>
      <c r="MH238" s="22"/>
      <c r="MI238" s="20"/>
      <c r="MJ238" s="22"/>
      <c r="MK238" s="20"/>
      <c r="ML238" s="22"/>
      <c r="MM238" s="20"/>
      <c r="MN238" s="22"/>
      <c r="MO238" s="20"/>
      <c r="MP238" s="22"/>
      <c r="MQ238" s="20"/>
      <c r="MR238" s="22"/>
      <c r="MS238" s="20"/>
      <c r="MT238" s="22"/>
      <c r="MU238" s="20"/>
      <c r="MV238" s="22"/>
      <c r="MW238" s="20"/>
      <c r="MX238" s="22"/>
      <c r="MY238" s="20"/>
      <c r="MZ238" s="22"/>
      <c r="NA238" s="20"/>
      <c r="NB238" s="22"/>
      <c r="NC238" s="20"/>
      <c r="ND238" s="22"/>
      <c r="NE238" s="20"/>
      <c r="NF238" s="73"/>
    </row>
    <row r="239" hidden="1">
      <c r="A239" s="237"/>
      <c r="B239" s="267"/>
      <c r="C239" s="239">
        <v>46231.0</v>
      </c>
      <c r="D239" s="284" t="s">
        <v>420</v>
      </c>
      <c r="E239" s="242" t="s">
        <v>47</v>
      </c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  <c r="CI239" s="73"/>
      <c r="CJ239" s="73"/>
      <c r="CK239" s="73"/>
      <c r="CL239" s="73"/>
      <c r="CM239" s="73"/>
      <c r="CN239" s="73"/>
      <c r="CO239" s="73"/>
      <c r="CP239" s="73"/>
      <c r="CQ239" s="73"/>
      <c r="CR239" s="73"/>
      <c r="CS239" s="73"/>
      <c r="CT239" s="73"/>
      <c r="CU239" s="73"/>
      <c r="CV239" s="73"/>
      <c r="CW239" s="73"/>
      <c r="CX239" s="73"/>
      <c r="CY239" s="73"/>
      <c r="CZ239" s="73"/>
      <c r="DA239" s="73"/>
      <c r="DB239" s="73"/>
      <c r="DC239" s="73"/>
      <c r="DD239" s="73"/>
      <c r="DE239" s="73"/>
      <c r="DF239" s="73"/>
      <c r="DG239" s="73"/>
      <c r="DH239" s="73"/>
      <c r="DI239" s="73"/>
      <c r="DJ239" s="73"/>
      <c r="DK239" s="73"/>
      <c r="DL239" s="73"/>
      <c r="DM239" s="73"/>
      <c r="DN239" s="73"/>
      <c r="DO239" s="73"/>
      <c r="DP239" s="73"/>
      <c r="DQ239" s="73"/>
      <c r="DR239" s="73"/>
      <c r="DS239" s="73"/>
      <c r="DT239" s="73"/>
      <c r="DU239" s="73"/>
      <c r="DV239" s="22"/>
      <c r="DW239" s="20"/>
      <c r="DX239" s="22"/>
      <c r="DY239" s="20"/>
      <c r="DZ239" s="22"/>
      <c r="EA239" s="20"/>
      <c r="EB239" s="22"/>
      <c r="EC239" s="20"/>
      <c r="ED239" s="22"/>
      <c r="EE239" s="20"/>
      <c r="EF239" s="22"/>
      <c r="EG239" s="20"/>
      <c r="EH239" s="22"/>
      <c r="EI239" s="20"/>
      <c r="EJ239" s="22"/>
      <c r="EK239" s="20"/>
      <c r="EL239" s="22"/>
      <c r="EM239" s="20"/>
      <c r="EN239" s="22"/>
      <c r="EO239" s="20"/>
      <c r="EP239" s="22"/>
      <c r="EQ239" s="20"/>
      <c r="ER239" s="22"/>
      <c r="ES239" s="20"/>
      <c r="ET239" s="22"/>
      <c r="EU239" s="20"/>
      <c r="EV239" s="22"/>
      <c r="EW239" s="20"/>
      <c r="EX239" s="22"/>
      <c r="EY239" s="20"/>
      <c r="EZ239" s="22"/>
      <c r="FA239" s="20"/>
      <c r="FB239" s="22"/>
      <c r="FC239" s="20"/>
      <c r="FD239" s="22"/>
      <c r="FE239" s="20"/>
      <c r="FF239" s="22"/>
      <c r="FG239" s="20"/>
      <c r="FH239" s="22"/>
      <c r="FI239" s="20"/>
      <c r="FJ239" s="22"/>
      <c r="FK239" s="20"/>
      <c r="FL239" s="22"/>
      <c r="FM239" s="20"/>
      <c r="FN239" s="22"/>
      <c r="FO239" s="20"/>
      <c r="FP239" s="22"/>
      <c r="FQ239" s="20"/>
      <c r="FR239" s="22"/>
      <c r="FS239" s="20"/>
      <c r="FT239" s="22"/>
      <c r="FU239" s="20"/>
      <c r="FV239" s="22"/>
      <c r="FW239" s="20"/>
      <c r="FX239" s="22"/>
      <c r="FY239" s="20"/>
      <c r="FZ239" s="22"/>
      <c r="GA239" s="20"/>
      <c r="GB239" s="22"/>
      <c r="GC239" s="20"/>
      <c r="GD239" s="22"/>
      <c r="GE239" s="20"/>
      <c r="GF239" s="22"/>
      <c r="GG239" s="20"/>
      <c r="GH239" s="22"/>
      <c r="GI239" s="20"/>
      <c r="GJ239" s="22"/>
      <c r="GK239" s="20"/>
      <c r="GL239" s="22"/>
      <c r="GM239" s="20"/>
      <c r="GN239" s="22"/>
      <c r="GO239" s="20"/>
      <c r="GP239" s="22"/>
      <c r="GQ239" s="20"/>
      <c r="GR239" s="22"/>
      <c r="GS239" s="20"/>
      <c r="GT239" s="22"/>
      <c r="GU239" s="20"/>
      <c r="GV239" s="22"/>
      <c r="GW239" s="20"/>
      <c r="GX239" s="22"/>
      <c r="GY239" s="20"/>
      <c r="GZ239" s="22"/>
      <c r="HA239" s="20"/>
      <c r="HB239" s="22"/>
      <c r="HC239" s="20"/>
      <c r="HD239" s="22"/>
      <c r="HE239" s="20"/>
      <c r="HF239" s="20">
        <v>2.0</v>
      </c>
      <c r="HG239" s="20"/>
      <c r="HH239" s="22"/>
      <c r="HI239" s="20"/>
      <c r="HJ239" s="22"/>
      <c r="HK239" s="20"/>
      <c r="HL239" s="22"/>
      <c r="HM239" s="20"/>
      <c r="HN239" s="22"/>
      <c r="HO239" s="20"/>
      <c r="HP239" s="22"/>
      <c r="HQ239" s="20"/>
      <c r="HR239" s="22"/>
      <c r="HS239" s="20"/>
      <c r="HT239" s="22"/>
      <c r="HU239" s="20"/>
      <c r="HV239" s="22"/>
      <c r="HW239" s="20"/>
      <c r="HX239" s="22"/>
      <c r="HY239" s="20"/>
      <c r="HZ239" s="22"/>
      <c r="IA239" s="20"/>
      <c r="IB239" s="22"/>
      <c r="IC239" s="20"/>
      <c r="ID239" s="22"/>
      <c r="IE239" s="20"/>
      <c r="IF239" s="22"/>
      <c r="IG239" s="20"/>
      <c r="IH239" s="22"/>
      <c r="II239" s="20"/>
      <c r="IJ239" s="22"/>
      <c r="IK239" s="20"/>
      <c r="IL239" s="22"/>
      <c r="IM239" s="20"/>
      <c r="IN239" s="22"/>
      <c r="IO239" s="20"/>
      <c r="IP239" s="22"/>
      <c r="IQ239" s="20"/>
      <c r="IR239" s="22"/>
      <c r="IS239" s="20"/>
      <c r="IT239" s="22"/>
      <c r="IU239" s="20"/>
      <c r="IV239" s="22"/>
      <c r="IW239" s="20"/>
      <c r="IX239" s="22"/>
      <c r="IY239" s="20"/>
      <c r="IZ239" s="22"/>
      <c r="JA239" s="20"/>
      <c r="JB239" s="22"/>
      <c r="JC239" s="20"/>
      <c r="JD239" s="22"/>
      <c r="JE239" s="20"/>
      <c r="JF239" s="22"/>
      <c r="JG239" s="20"/>
      <c r="JH239" s="22"/>
      <c r="JI239" s="20"/>
      <c r="JJ239" s="22"/>
      <c r="JK239" s="20"/>
      <c r="JL239" s="22"/>
      <c r="JM239" s="20"/>
      <c r="JN239" s="22"/>
      <c r="JO239" s="20"/>
      <c r="JP239" s="22"/>
      <c r="JQ239" s="20"/>
      <c r="JR239" s="22"/>
      <c r="JS239" s="20"/>
      <c r="JT239" s="22"/>
      <c r="JU239" s="20"/>
      <c r="JV239" s="22"/>
      <c r="JW239" s="20"/>
      <c r="JX239" s="22"/>
      <c r="JY239" s="20"/>
      <c r="JZ239" s="22"/>
      <c r="KA239" s="20"/>
      <c r="KB239" s="22"/>
      <c r="KC239" s="20"/>
      <c r="KD239" s="22"/>
      <c r="KE239" s="20"/>
      <c r="KF239" s="22"/>
      <c r="KG239" s="20"/>
      <c r="KH239" s="22"/>
      <c r="KI239" s="20"/>
      <c r="KJ239" s="22"/>
      <c r="KK239" s="20"/>
      <c r="KL239" s="22"/>
      <c r="KM239" s="20"/>
      <c r="KN239" s="22"/>
      <c r="KO239" s="20"/>
      <c r="KP239" s="22"/>
      <c r="KQ239" s="20"/>
      <c r="KR239" s="22"/>
      <c r="KS239" s="20"/>
      <c r="KT239" s="22"/>
      <c r="KU239" s="20"/>
      <c r="KV239" s="22"/>
      <c r="KW239" s="20"/>
      <c r="KX239" s="22"/>
      <c r="KY239" s="20"/>
      <c r="KZ239" s="22"/>
      <c r="LA239" s="20"/>
      <c r="LB239" s="22"/>
      <c r="LC239" s="20"/>
      <c r="LD239" s="22"/>
      <c r="LE239" s="20"/>
      <c r="LF239" s="22"/>
      <c r="LG239" s="20"/>
      <c r="LH239" s="22"/>
      <c r="LI239" s="20"/>
      <c r="LJ239" s="22"/>
      <c r="LK239" s="20"/>
      <c r="LL239" s="22"/>
      <c r="LM239" s="20"/>
      <c r="LN239" s="22"/>
      <c r="LO239" s="20"/>
      <c r="LP239" s="22"/>
      <c r="LQ239" s="20"/>
      <c r="LR239" s="22"/>
      <c r="LS239" s="20"/>
      <c r="LT239" s="22"/>
      <c r="LU239" s="20"/>
      <c r="LV239" s="22"/>
      <c r="LW239" s="20"/>
      <c r="LX239" s="22"/>
      <c r="LY239" s="20"/>
      <c r="LZ239" s="22"/>
      <c r="MA239" s="20"/>
      <c r="MB239" s="22"/>
      <c r="MC239" s="20"/>
      <c r="MD239" s="22"/>
      <c r="ME239" s="20"/>
      <c r="MF239" s="22"/>
      <c r="MG239" s="20"/>
      <c r="MH239" s="22"/>
      <c r="MI239" s="20"/>
      <c r="MJ239" s="22"/>
      <c r="MK239" s="20"/>
      <c r="ML239" s="22"/>
      <c r="MM239" s="20"/>
      <c r="MN239" s="22"/>
      <c r="MO239" s="20"/>
      <c r="MP239" s="22"/>
      <c r="MQ239" s="20"/>
      <c r="MR239" s="22"/>
      <c r="MS239" s="20"/>
      <c r="MT239" s="22"/>
      <c r="MU239" s="20"/>
      <c r="MV239" s="22"/>
      <c r="MW239" s="20"/>
      <c r="MX239" s="22"/>
      <c r="MY239" s="20"/>
      <c r="MZ239" s="22"/>
      <c r="NA239" s="20"/>
      <c r="NB239" s="22"/>
      <c r="NC239" s="20"/>
      <c r="ND239" s="22"/>
      <c r="NE239" s="20"/>
      <c r="NF239" s="73"/>
    </row>
    <row r="240" hidden="1">
      <c r="A240" s="237"/>
      <c r="B240" s="267"/>
      <c r="C240" s="239">
        <v>46233.0</v>
      </c>
      <c r="D240" s="284" t="s">
        <v>421</v>
      </c>
      <c r="E240" s="242" t="s">
        <v>47</v>
      </c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  <c r="CI240" s="73"/>
      <c r="CJ240" s="73"/>
      <c r="CK240" s="73"/>
      <c r="CL240" s="73"/>
      <c r="CM240" s="73"/>
      <c r="CN240" s="73"/>
      <c r="CO240" s="73"/>
      <c r="CP240" s="73"/>
      <c r="CQ240" s="73"/>
      <c r="CR240" s="73"/>
      <c r="CS240" s="73"/>
      <c r="CT240" s="73"/>
      <c r="CU240" s="73"/>
      <c r="CV240" s="73"/>
      <c r="CW240" s="73"/>
      <c r="CX240" s="73"/>
      <c r="CY240" s="73"/>
      <c r="CZ240" s="73"/>
      <c r="DA240" s="73"/>
      <c r="DB240" s="73"/>
      <c r="DC240" s="73"/>
      <c r="DD240" s="73"/>
      <c r="DE240" s="73"/>
      <c r="DF240" s="73"/>
      <c r="DG240" s="73"/>
      <c r="DH240" s="73"/>
      <c r="DI240" s="73"/>
      <c r="DJ240" s="73"/>
      <c r="DK240" s="73"/>
      <c r="DL240" s="73"/>
      <c r="DM240" s="73"/>
      <c r="DN240" s="73"/>
      <c r="DO240" s="73"/>
      <c r="DP240" s="73"/>
      <c r="DQ240" s="73"/>
      <c r="DR240" s="73"/>
      <c r="DS240" s="73"/>
      <c r="DT240" s="73"/>
      <c r="DU240" s="73"/>
      <c r="DV240" s="22"/>
      <c r="DW240" s="20"/>
      <c r="DX240" s="22"/>
      <c r="DY240" s="20"/>
      <c r="DZ240" s="22"/>
      <c r="EA240" s="20"/>
      <c r="EB240" s="22"/>
      <c r="EC240" s="20"/>
      <c r="ED240" s="22"/>
      <c r="EE240" s="20"/>
      <c r="EF240" s="22"/>
      <c r="EG240" s="20"/>
      <c r="EH240" s="22"/>
      <c r="EI240" s="20"/>
      <c r="EJ240" s="22"/>
      <c r="EK240" s="20"/>
      <c r="EL240" s="22"/>
      <c r="EM240" s="20"/>
      <c r="EN240" s="22"/>
      <c r="EO240" s="20"/>
      <c r="EP240" s="22"/>
      <c r="EQ240" s="20"/>
      <c r="ER240" s="22"/>
      <c r="ES240" s="20"/>
      <c r="ET240" s="22"/>
      <c r="EU240" s="20"/>
      <c r="EV240" s="22"/>
      <c r="EW240" s="20"/>
      <c r="EX240" s="22"/>
      <c r="EY240" s="20"/>
      <c r="EZ240" s="22"/>
      <c r="FA240" s="20"/>
      <c r="FB240" s="22"/>
      <c r="FC240" s="20"/>
      <c r="FD240" s="22"/>
      <c r="FE240" s="20"/>
      <c r="FF240" s="22"/>
      <c r="FG240" s="20"/>
      <c r="FH240" s="22"/>
      <c r="FI240" s="20"/>
      <c r="FJ240" s="22"/>
      <c r="FK240" s="20"/>
      <c r="FL240" s="22"/>
      <c r="FM240" s="20"/>
      <c r="FN240" s="22"/>
      <c r="FO240" s="20"/>
      <c r="FP240" s="22"/>
      <c r="FQ240" s="20"/>
      <c r="FR240" s="22"/>
      <c r="FS240" s="20"/>
      <c r="FT240" s="22"/>
      <c r="FU240" s="20"/>
      <c r="FV240" s="22"/>
      <c r="FW240" s="20"/>
      <c r="FX240" s="22"/>
      <c r="FY240" s="20"/>
      <c r="FZ240" s="22"/>
      <c r="GA240" s="20"/>
      <c r="GB240" s="22"/>
      <c r="GC240" s="20"/>
      <c r="GD240" s="22"/>
      <c r="GE240" s="20"/>
      <c r="GF240" s="22"/>
      <c r="GG240" s="20"/>
      <c r="GH240" s="22"/>
      <c r="GI240" s="20"/>
      <c r="GJ240" s="22"/>
      <c r="GK240" s="20"/>
      <c r="GL240" s="22"/>
      <c r="GM240" s="20"/>
      <c r="GN240" s="22"/>
      <c r="GO240" s="20"/>
      <c r="GP240" s="22"/>
      <c r="GQ240" s="20"/>
      <c r="GR240" s="22"/>
      <c r="GS240" s="20"/>
      <c r="GT240" s="22"/>
      <c r="GU240" s="20"/>
      <c r="GV240" s="22"/>
      <c r="GW240" s="20"/>
      <c r="GX240" s="22"/>
      <c r="GY240" s="20"/>
      <c r="GZ240" s="22"/>
      <c r="HA240" s="20"/>
      <c r="HB240" s="22"/>
      <c r="HC240" s="20"/>
      <c r="HD240" s="22"/>
      <c r="HE240" s="20"/>
      <c r="HF240" s="20">
        <v>1.0</v>
      </c>
      <c r="HG240" s="20">
        <v>3.0</v>
      </c>
      <c r="HH240" s="22"/>
      <c r="HI240" s="20"/>
      <c r="HJ240" s="22"/>
      <c r="HK240" s="20"/>
      <c r="HL240" s="22"/>
      <c r="HM240" s="20"/>
      <c r="HN240" s="22"/>
      <c r="HO240" s="20"/>
      <c r="HP240" s="22"/>
      <c r="HQ240" s="20"/>
      <c r="HR240" s="22"/>
      <c r="HS240" s="20"/>
      <c r="HT240" s="22"/>
      <c r="HU240" s="20"/>
      <c r="HV240" s="22"/>
      <c r="HW240" s="20"/>
      <c r="HX240" s="22"/>
      <c r="HY240" s="20"/>
      <c r="HZ240" s="22"/>
      <c r="IA240" s="20"/>
      <c r="IB240" s="22"/>
      <c r="IC240" s="20"/>
      <c r="ID240" s="22"/>
      <c r="IE240" s="20"/>
      <c r="IF240" s="22"/>
      <c r="IG240" s="20"/>
      <c r="IH240" s="22"/>
      <c r="II240" s="20"/>
      <c r="IJ240" s="22"/>
      <c r="IK240" s="20"/>
      <c r="IL240" s="22"/>
      <c r="IM240" s="20"/>
      <c r="IN240" s="22"/>
      <c r="IO240" s="20"/>
      <c r="IP240" s="22"/>
      <c r="IQ240" s="20"/>
      <c r="IR240" s="22"/>
      <c r="IS240" s="20"/>
      <c r="IT240" s="22"/>
      <c r="IU240" s="20"/>
      <c r="IV240" s="22"/>
      <c r="IW240" s="20"/>
      <c r="IX240" s="22"/>
      <c r="IY240" s="20"/>
      <c r="IZ240" s="22"/>
      <c r="JA240" s="20"/>
      <c r="JB240" s="22"/>
      <c r="JC240" s="20"/>
      <c r="JD240" s="22"/>
      <c r="JE240" s="20"/>
      <c r="JF240" s="22"/>
      <c r="JG240" s="20"/>
      <c r="JH240" s="22"/>
      <c r="JI240" s="20"/>
      <c r="JJ240" s="22"/>
      <c r="JK240" s="20"/>
      <c r="JL240" s="22"/>
      <c r="JM240" s="20"/>
      <c r="JN240" s="22"/>
      <c r="JO240" s="20"/>
      <c r="JP240" s="22"/>
      <c r="JQ240" s="20"/>
      <c r="JR240" s="22"/>
      <c r="JS240" s="20"/>
      <c r="JT240" s="22"/>
      <c r="JU240" s="20"/>
      <c r="JV240" s="22"/>
      <c r="JW240" s="20"/>
      <c r="JX240" s="22"/>
      <c r="JY240" s="20"/>
      <c r="JZ240" s="22"/>
      <c r="KA240" s="20"/>
      <c r="KB240" s="22"/>
      <c r="KC240" s="20"/>
      <c r="KD240" s="22"/>
      <c r="KE240" s="20"/>
      <c r="KF240" s="22"/>
      <c r="KG240" s="20"/>
      <c r="KH240" s="22"/>
      <c r="KI240" s="20"/>
      <c r="KJ240" s="22"/>
      <c r="KK240" s="20"/>
      <c r="KL240" s="22"/>
      <c r="KM240" s="20"/>
      <c r="KN240" s="22"/>
      <c r="KO240" s="20"/>
      <c r="KP240" s="22"/>
      <c r="KQ240" s="20"/>
      <c r="KR240" s="22"/>
      <c r="KS240" s="20"/>
      <c r="KT240" s="22"/>
      <c r="KU240" s="20"/>
      <c r="KV240" s="22"/>
      <c r="KW240" s="20"/>
      <c r="KX240" s="22"/>
      <c r="KY240" s="20"/>
      <c r="KZ240" s="22"/>
      <c r="LA240" s="20"/>
      <c r="LB240" s="22"/>
      <c r="LC240" s="20"/>
      <c r="LD240" s="22"/>
      <c r="LE240" s="20"/>
      <c r="LF240" s="22"/>
      <c r="LG240" s="20"/>
      <c r="LH240" s="22"/>
      <c r="LI240" s="20"/>
      <c r="LJ240" s="22"/>
      <c r="LK240" s="20"/>
      <c r="LL240" s="22"/>
      <c r="LM240" s="20"/>
      <c r="LN240" s="22"/>
      <c r="LO240" s="20"/>
      <c r="LP240" s="22"/>
      <c r="LQ240" s="20"/>
      <c r="LR240" s="22"/>
      <c r="LS240" s="20"/>
      <c r="LT240" s="22"/>
      <c r="LU240" s="20"/>
      <c r="LV240" s="22"/>
      <c r="LW240" s="20"/>
      <c r="LX240" s="22"/>
      <c r="LY240" s="20"/>
      <c r="LZ240" s="22"/>
      <c r="MA240" s="20"/>
      <c r="MB240" s="22"/>
      <c r="MC240" s="20"/>
      <c r="MD240" s="22"/>
      <c r="ME240" s="20"/>
      <c r="MF240" s="22"/>
      <c r="MG240" s="20"/>
      <c r="MH240" s="22"/>
      <c r="MI240" s="20"/>
      <c r="MJ240" s="22"/>
      <c r="MK240" s="20"/>
      <c r="ML240" s="22"/>
      <c r="MM240" s="20"/>
      <c r="MN240" s="22"/>
      <c r="MO240" s="20"/>
      <c r="MP240" s="22"/>
      <c r="MQ240" s="20"/>
      <c r="MR240" s="22"/>
      <c r="MS240" s="20"/>
      <c r="MT240" s="22"/>
      <c r="MU240" s="20"/>
      <c r="MV240" s="22"/>
      <c r="MW240" s="20"/>
      <c r="MX240" s="22"/>
      <c r="MY240" s="20"/>
      <c r="MZ240" s="22"/>
      <c r="NA240" s="20"/>
      <c r="NB240" s="22"/>
      <c r="NC240" s="20"/>
      <c r="ND240" s="22"/>
      <c r="NE240" s="20"/>
      <c r="NF240" s="73"/>
    </row>
    <row r="241" hidden="1">
      <c r="A241" s="237"/>
      <c r="B241" s="267"/>
      <c r="C241" s="239">
        <v>46234.0</v>
      </c>
      <c r="D241" s="286" t="s">
        <v>422</v>
      </c>
      <c r="E241" s="242" t="s">
        <v>47</v>
      </c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  <c r="CI241" s="73"/>
      <c r="CJ241" s="73"/>
      <c r="CK241" s="73"/>
      <c r="CL241" s="73"/>
      <c r="CM241" s="73"/>
      <c r="CN241" s="73"/>
      <c r="CO241" s="73"/>
      <c r="CP241" s="73"/>
      <c r="CQ241" s="73"/>
      <c r="CR241" s="73"/>
      <c r="CS241" s="73"/>
      <c r="CT241" s="73"/>
      <c r="CU241" s="73"/>
      <c r="CV241" s="73"/>
      <c r="CW241" s="73"/>
      <c r="CX241" s="73"/>
      <c r="CY241" s="73"/>
      <c r="CZ241" s="73"/>
      <c r="DA241" s="73"/>
      <c r="DB241" s="73"/>
      <c r="DC241" s="73"/>
      <c r="DD241" s="73"/>
      <c r="DE241" s="73"/>
      <c r="DF241" s="73"/>
      <c r="DG241" s="73"/>
      <c r="DH241" s="73"/>
      <c r="DI241" s="73"/>
      <c r="DJ241" s="73"/>
      <c r="DK241" s="73"/>
      <c r="DL241" s="73"/>
      <c r="DM241" s="73"/>
      <c r="DN241" s="73"/>
      <c r="DO241" s="73"/>
      <c r="DP241" s="73"/>
      <c r="DQ241" s="73"/>
      <c r="DR241" s="73"/>
      <c r="DS241" s="73"/>
      <c r="DT241" s="73"/>
      <c r="DU241" s="73"/>
      <c r="DV241" s="22"/>
      <c r="DW241" s="20"/>
      <c r="DX241" s="22"/>
      <c r="DY241" s="20"/>
      <c r="DZ241" s="22"/>
      <c r="EA241" s="20"/>
      <c r="EB241" s="22"/>
      <c r="EC241" s="20"/>
      <c r="ED241" s="22"/>
      <c r="EE241" s="20"/>
      <c r="EF241" s="22"/>
      <c r="EG241" s="20"/>
      <c r="EH241" s="22"/>
      <c r="EI241" s="20"/>
      <c r="EJ241" s="22"/>
      <c r="EK241" s="20"/>
      <c r="EL241" s="22"/>
      <c r="EM241" s="20"/>
      <c r="EN241" s="22"/>
      <c r="EO241" s="20"/>
      <c r="EP241" s="22"/>
      <c r="EQ241" s="20"/>
      <c r="ER241" s="22"/>
      <c r="ES241" s="20"/>
      <c r="ET241" s="22"/>
      <c r="EU241" s="20"/>
      <c r="EV241" s="22"/>
      <c r="EW241" s="20"/>
      <c r="EX241" s="22"/>
      <c r="EY241" s="20"/>
      <c r="EZ241" s="22"/>
      <c r="FA241" s="20"/>
      <c r="FB241" s="22"/>
      <c r="FC241" s="20"/>
      <c r="FD241" s="22"/>
      <c r="FE241" s="20"/>
      <c r="FF241" s="22"/>
      <c r="FG241" s="20"/>
      <c r="FH241" s="22"/>
      <c r="FI241" s="20"/>
      <c r="FJ241" s="22"/>
      <c r="FK241" s="20"/>
      <c r="FL241" s="22"/>
      <c r="FM241" s="20"/>
      <c r="FN241" s="22"/>
      <c r="FO241" s="20"/>
      <c r="FP241" s="22"/>
      <c r="FQ241" s="20"/>
      <c r="FR241" s="22"/>
      <c r="FS241" s="20"/>
      <c r="FT241" s="22"/>
      <c r="FU241" s="20"/>
      <c r="FV241" s="22"/>
      <c r="FW241" s="20"/>
      <c r="FX241" s="22"/>
      <c r="FY241" s="20"/>
      <c r="FZ241" s="22"/>
      <c r="GA241" s="20"/>
      <c r="GB241" s="22"/>
      <c r="GC241" s="20"/>
      <c r="GD241" s="22"/>
      <c r="GE241" s="20"/>
      <c r="GF241" s="22"/>
      <c r="GG241" s="20"/>
      <c r="GH241" s="22"/>
      <c r="GI241" s="20"/>
      <c r="GJ241" s="22"/>
      <c r="GK241" s="20"/>
      <c r="GL241" s="22"/>
      <c r="GM241" s="20"/>
      <c r="GN241" s="22"/>
      <c r="GO241" s="20"/>
      <c r="GP241" s="22"/>
      <c r="GQ241" s="20"/>
      <c r="GR241" s="22"/>
      <c r="GS241" s="20"/>
      <c r="GT241" s="22"/>
      <c r="GU241" s="20"/>
      <c r="GV241" s="22"/>
      <c r="GW241" s="20"/>
      <c r="GX241" s="22"/>
      <c r="GY241" s="20"/>
      <c r="GZ241" s="22"/>
      <c r="HA241" s="20"/>
      <c r="HB241" s="22"/>
      <c r="HC241" s="20"/>
      <c r="HD241" s="22"/>
      <c r="HE241" s="20"/>
      <c r="HF241" s="22"/>
      <c r="HG241" s="20">
        <v>4.0</v>
      </c>
      <c r="HH241" s="20">
        <v>2.0</v>
      </c>
      <c r="HI241" s="20"/>
      <c r="HJ241" s="22"/>
      <c r="HK241" s="20"/>
      <c r="HL241" s="22"/>
      <c r="HM241" s="20"/>
      <c r="HN241" s="22"/>
      <c r="HO241" s="20"/>
      <c r="HP241" s="22"/>
      <c r="HQ241" s="20"/>
      <c r="HR241" s="22"/>
      <c r="HS241" s="20"/>
      <c r="HT241" s="22"/>
      <c r="HU241" s="20"/>
      <c r="HV241" s="22"/>
      <c r="HW241" s="20"/>
      <c r="HX241" s="22"/>
      <c r="HY241" s="20"/>
      <c r="HZ241" s="22"/>
      <c r="IA241" s="20"/>
      <c r="IB241" s="22"/>
      <c r="IC241" s="20"/>
      <c r="ID241" s="22"/>
      <c r="IE241" s="20"/>
      <c r="IF241" s="22"/>
      <c r="IG241" s="20"/>
      <c r="IH241" s="22"/>
      <c r="II241" s="20"/>
      <c r="IJ241" s="22"/>
      <c r="IK241" s="20"/>
      <c r="IL241" s="22"/>
      <c r="IM241" s="20"/>
      <c r="IN241" s="22"/>
      <c r="IO241" s="20"/>
      <c r="IP241" s="22"/>
      <c r="IQ241" s="20"/>
      <c r="IR241" s="22"/>
      <c r="IS241" s="20"/>
      <c r="IT241" s="22"/>
      <c r="IU241" s="20"/>
      <c r="IV241" s="22"/>
      <c r="IW241" s="20"/>
      <c r="IX241" s="22"/>
      <c r="IY241" s="20"/>
      <c r="IZ241" s="22"/>
      <c r="JA241" s="20"/>
      <c r="JB241" s="22"/>
      <c r="JC241" s="20"/>
      <c r="JD241" s="22"/>
      <c r="JE241" s="20"/>
      <c r="JF241" s="22"/>
      <c r="JG241" s="20"/>
      <c r="JH241" s="22"/>
      <c r="JI241" s="20"/>
      <c r="JJ241" s="22"/>
      <c r="JK241" s="20"/>
      <c r="JL241" s="22"/>
      <c r="JM241" s="20"/>
      <c r="JN241" s="22"/>
      <c r="JO241" s="20"/>
      <c r="JP241" s="22"/>
      <c r="JQ241" s="20"/>
      <c r="JR241" s="22"/>
      <c r="JS241" s="20"/>
      <c r="JT241" s="22"/>
      <c r="JU241" s="20"/>
      <c r="JV241" s="22"/>
      <c r="JW241" s="20"/>
      <c r="JX241" s="22"/>
      <c r="JY241" s="20"/>
      <c r="JZ241" s="22"/>
      <c r="KA241" s="20"/>
      <c r="KB241" s="22"/>
      <c r="KC241" s="20"/>
      <c r="KD241" s="22"/>
      <c r="KE241" s="20"/>
      <c r="KF241" s="22"/>
      <c r="KG241" s="20"/>
      <c r="KH241" s="22"/>
      <c r="KI241" s="20"/>
      <c r="KJ241" s="22"/>
      <c r="KK241" s="20"/>
      <c r="KL241" s="22"/>
      <c r="KM241" s="20"/>
      <c r="KN241" s="22"/>
      <c r="KO241" s="20"/>
      <c r="KP241" s="22"/>
      <c r="KQ241" s="20"/>
      <c r="KR241" s="22"/>
      <c r="KS241" s="20"/>
      <c r="KT241" s="22"/>
      <c r="KU241" s="20"/>
      <c r="KV241" s="22"/>
      <c r="KW241" s="20"/>
      <c r="KX241" s="22"/>
      <c r="KY241" s="20"/>
      <c r="KZ241" s="22"/>
      <c r="LA241" s="20"/>
      <c r="LB241" s="22"/>
      <c r="LC241" s="20"/>
      <c r="LD241" s="22"/>
      <c r="LE241" s="20"/>
      <c r="LF241" s="22"/>
      <c r="LG241" s="20"/>
      <c r="LH241" s="22"/>
      <c r="LI241" s="20"/>
      <c r="LJ241" s="22"/>
      <c r="LK241" s="20"/>
      <c r="LL241" s="22"/>
      <c r="LM241" s="20"/>
      <c r="LN241" s="22"/>
      <c r="LO241" s="20"/>
      <c r="LP241" s="22"/>
      <c r="LQ241" s="20"/>
      <c r="LR241" s="22"/>
      <c r="LS241" s="20"/>
      <c r="LT241" s="22"/>
      <c r="LU241" s="20"/>
      <c r="LV241" s="22"/>
      <c r="LW241" s="20"/>
      <c r="LX241" s="22"/>
      <c r="LY241" s="20"/>
      <c r="LZ241" s="22"/>
      <c r="MA241" s="20"/>
      <c r="MB241" s="22"/>
      <c r="MC241" s="20"/>
      <c r="MD241" s="22"/>
      <c r="ME241" s="20"/>
      <c r="MF241" s="22"/>
      <c r="MG241" s="20"/>
      <c r="MH241" s="22"/>
      <c r="MI241" s="20"/>
      <c r="MJ241" s="22"/>
      <c r="MK241" s="20"/>
      <c r="ML241" s="22"/>
      <c r="MM241" s="20"/>
      <c r="MN241" s="22"/>
      <c r="MO241" s="20"/>
      <c r="MP241" s="22"/>
      <c r="MQ241" s="20"/>
      <c r="MR241" s="22"/>
      <c r="MS241" s="20"/>
      <c r="MT241" s="22"/>
      <c r="MU241" s="20"/>
      <c r="MV241" s="22"/>
      <c r="MW241" s="20"/>
      <c r="MX241" s="22"/>
      <c r="MY241" s="20"/>
      <c r="MZ241" s="22"/>
      <c r="NA241" s="20"/>
      <c r="NB241" s="22"/>
      <c r="NC241" s="20"/>
      <c r="ND241" s="22"/>
      <c r="NE241" s="20"/>
      <c r="NF241" s="73"/>
    </row>
    <row r="242" hidden="1">
      <c r="A242" s="237"/>
      <c r="B242" s="267"/>
      <c r="C242" s="239">
        <v>46238.0</v>
      </c>
      <c r="D242" s="285" t="s">
        <v>423</v>
      </c>
      <c r="E242" s="242" t="s">
        <v>47</v>
      </c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  <c r="CK242" s="73"/>
      <c r="CL242" s="73"/>
      <c r="CM242" s="73"/>
      <c r="CN242" s="73"/>
      <c r="CO242" s="73"/>
      <c r="CP242" s="73"/>
      <c r="CQ242" s="73"/>
      <c r="CR242" s="73"/>
      <c r="CS242" s="73"/>
      <c r="CT242" s="73"/>
      <c r="CU242" s="73"/>
      <c r="CV242" s="73"/>
      <c r="CW242" s="73"/>
      <c r="CX242" s="73"/>
      <c r="CY242" s="73"/>
      <c r="CZ242" s="73"/>
      <c r="DA242" s="73"/>
      <c r="DB242" s="73"/>
      <c r="DC242" s="73"/>
      <c r="DD242" s="73"/>
      <c r="DE242" s="73"/>
      <c r="DF242" s="73"/>
      <c r="DG242" s="73"/>
      <c r="DH242" s="73"/>
      <c r="DI242" s="73"/>
      <c r="DJ242" s="73"/>
      <c r="DK242" s="73"/>
      <c r="DL242" s="73"/>
      <c r="DM242" s="73"/>
      <c r="DN242" s="73"/>
      <c r="DO242" s="73"/>
      <c r="DP242" s="73"/>
      <c r="DQ242" s="73"/>
      <c r="DR242" s="73"/>
      <c r="DS242" s="73"/>
      <c r="DT242" s="73"/>
      <c r="DU242" s="73"/>
      <c r="DV242" s="22"/>
      <c r="DW242" s="20"/>
      <c r="DX242" s="22"/>
      <c r="DY242" s="20"/>
      <c r="DZ242" s="22"/>
      <c r="EA242" s="20"/>
      <c r="EB242" s="22"/>
      <c r="EC242" s="20"/>
      <c r="ED242" s="22"/>
      <c r="EE242" s="20"/>
      <c r="EF242" s="22"/>
      <c r="EG242" s="20"/>
      <c r="EH242" s="22"/>
      <c r="EI242" s="20"/>
      <c r="EJ242" s="22"/>
      <c r="EK242" s="20"/>
      <c r="EL242" s="22"/>
      <c r="EM242" s="20"/>
      <c r="EN242" s="22"/>
      <c r="EO242" s="20"/>
      <c r="EP242" s="22"/>
      <c r="EQ242" s="20"/>
      <c r="ER242" s="22"/>
      <c r="ES242" s="20"/>
      <c r="ET242" s="22"/>
      <c r="EU242" s="20"/>
      <c r="EV242" s="22"/>
      <c r="EW242" s="20"/>
      <c r="EX242" s="22"/>
      <c r="EY242" s="20"/>
      <c r="EZ242" s="22"/>
      <c r="FA242" s="20"/>
      <c r="FB242" s="22"/>
      <c r="FC242" s="20"/>
      <c r="FD242" s="22"/>
      <c r="FE242" s="20"/>
      <c r="FF242" s="22"/>
      <c r="FG242" s="20"/>
      <c r="FH242" s="22"/>
      <c r="FI242" s="20"/>
      <c r="FJ242" s="22"/>
      <c r="FK242" s="20"/>
      <c r="FL242" s="22"/>
      <c r="FM242" s="20"/>
      <c r="FN242" s="22"/>
      <c r="FO242" s="20"/>
      <c r="FP242" s="22"/>
      <c r="FQ242" s="20"/>
      <c r="FR242" s="22"/>
      <c r="FS242" s="20"/>
      <c r="FT242" s="22"/>
      <c r="FU242" s="20"/>
      <c r="FV242" s="22"/>
      <c r="FW242" s="20"/>
      <c r="FX242" s="22"/>
      <c r="FY242" s="20"/>
      <c r="FZ242" s="22"/>
      <c r="GA242" s="20"/>
      <c r="GB242" s="22"/>
      <c r="GC242" s="20"/>
      <c r="GD242" s="22"/>
      <c r="GE242" s="20"/>
      <c r="GF242" s="22"/>
      <c r="GG242" s="20"/>
      <c r="GH242" s="22"/>
      <c r="GI242" s="20"/>
      <c r="GJ242" s="22"/>
      <c r="GK242" s="20"/>
      <c r="GL242" s="22"/>
      <c r="GM242" s="20"/>
      <c r="GN242" s="22"/>
      <c r="GO242" s="20"/>
      <c r="GP242" s="22"/>
      <c r="GQ242" s="20"/>
      <c r="GR242" s="22"/>
      <c r="GS242" s="20"/>
      <c r="GT242" s="22"/>
      <c r="GU242" s="20"/>
      <c r="GV242" s="22"/>
      <c r="GW242" s="20"/>
      <c r="GX242" s="22"/>
      <c r="GY242" s="20"/>
      <c r="GZ242" s="22"/>
      <c r="HA242" s="20"/>
      <c r="HB242" s="22"/>
      <c r="HC242" s="20"/>
      <c r="HD242" s="22"/>
      <c r="HE242" s="20"/>
      <c r="HF242" s="22"/>
      <c r="HG242" s="20"/>
      <c r="HH242" s="22"/>
      <c r="HI242" s="20">
        <v>5.0</v>
      </c>
      <c r="HJ242" s="22"/>
      <c r="HK242" s="20"/>
      <c r="HL242" s="20">
        <v>7.0</v>
      </c>
      <c r="HM242" s="20">
        <v>1.0</v>
      </c>
      <c r="HN242" s="22"/>
      <c r="HO242" s="20"/>
      <c r="HP242" s="22"/>
      <c r="HQ242" s="20"/>
      <c r="HR242" s="22"/>
      <c r="HS242" s="20"/>
      <c r="HT242" s="22"/>
      <c r="HU242" s="20"/>
      <c r="HV242" s="22"/>
      <c r="HW242" s="20"/>
      <c r="HX242" s="22"/>
      <c r="HY242" s="20"/>
      <c r="HZ242" s="22"/>
      <c r="IA242" s="20"/>
      <c r="IB242" s="22"/>
      <c r="IC242" s="20"/>
      <c r="ID242" s="22"/>
      <c r="IE242" s="20"/>
      <c r="IF242" s="22"/>
      <c r="IG242" s="20"/>
      <c r="IH242" s="22"/>
      <c r="II242" s="20"/>
      <c r="IJ242" s="22"/>
      <c r="IK242" s="20"/>
      <c r="IL242" s="22"/>
      <c r="IM242" s="20"/>
      <c r="IN242" s="22"/>
      <c r="IO242" s="20"/>
      <c r="IP242" s="22"/>
      <c r="IQ242" s="20"/>
      <c r="IR242" s="22"/>
      <c r="IS242" s="20"/>
      <c r="IT242" s="22"/>
      <c r="IU242" s="20"/>
      <c r="IV242" s="22"/>
      <c r="IW242" s="20"/>
      <c r="IX242" s="22"/>
      <c r="IY242" s="20"/>
      <c r="IZ242" s="22"/>
      <c r="JA242" s="20"/>
      <c r="JB242" s="22"/>
      <c r="JC242" s="20"/>
      <c r="JD242" s="22"/>
      <c r="JE242" s="20"/>
      <c r="JF242" s="22"/>
      <c r="JG242" s="20"/>
      <c r="JH242" s="22"/>
      <c r="JI242" s="20"/>
      <c r="JJ242" s="22"/>
      <c r="JK242" s="20"/>
      <c r="JL242" s="22"/>
      <c r="JM242" s="20"/>
      <c r="JN242" s="22"/>
      <c r="JO242" s="20"/>
      <c r="JP242" s="22"/>
      <c r="JQ242" s="20"/>
      <c r="JR242" s="22"/>
      <c r="JS242" s="20"/>
      <c r="JT242" s="22"/>
      <c r="JU242" s="20"/>
      <c r="JV242" s="22"/>
      <c r="JW242" s="20"/>
      <c r="JX242" s="22"/>
      <c r="JY242" s="20"/>
      <c r="JZ242" s="22"/>
      <c r="KA242" s="20"/>
      <c r="KB242" s="22"/>
      <c r="KC242" s="20"/>
      <c r="KD242" s="22"/>
      <c r="KE242" s="20"/>
      <c r="KF242" s="22"/>
      <c r="KG242" s="20"/>
      <c r="KH242" s="22"/>
      <c r="KI242" s="20"/>
      <c r="KJ242" s="22"/>
      <c r="KK242" s="20"/>
      <c r="KL242" s="22"/>
      <c r="KM242" s="20"/>
      <c r="KN242" s="22"/>
      <c r="KO242" s="20"/>
      <c r="KP242" s="22"/>
      <c r="KQ242" s="20"/>
      <c r="KR242" s="22"/>
      <c r="KS242" s="20"/>
      <c r="KT242" s="22"/>
      <c r="KU242" s="20"/>
      <c r="KV242" s="22"/>
      <c r="KW242" s="20"/>
      <c r="KX242" s="22"/>
      <c r="KY242" s="20"/>
      <c r="KZ242" s="22"/>
      <c r="LA242" s="20"/>
      <c r="LB242" s="22"/>
      <c r="LC242" s="20"/>
      <c r="LD242" s="22"/>
      <c r="LE242" s="20"/>
      <c r="LF242" s="22"/>
      <c r="LG242" s="20"/>
      <c r="LH242" s="22"/>
      <c r="LI242" s="20"/>
      <c r="LJ242" s="22"/>
      <c r="LK242" s="20"/>
      <c r="LL242" s="22"/>
      <c r="LM242" s="20"/>
      <c r="LN242" s="22"/>
      <c r="LO242" s="20"/>
      <c r="LP242" s="22"/>
      <c r="LQ242" s="20"/>
      <c r="LR242" s="22"/>
      <c r="LS242" s="20"/>
      <c r="LT242" s="22"/>
      <c r="LU242" s="20"/>
      <c r="LV242" s="22"/>
      <c r="LW242" s="20"/>
      <c r="LX242" s="22"/>
      <c r="LY242" s="20"/>
      <c r="LZ242" s="22"/>
      <c r="MA242" s="20"/>
      <c r="MB242" s="22"/>
      <c r="MC242" s="20"/>
      <c r="MD242" s="22"/>
      <c r="ME242" s="20"/>
      <c r="MF242" s="22"/>
      <c r="MG242" s="20"/>
      <c r="MH242" s="22"/>
      <c r="MI242" s="20"/>
      <c r="MJ242" s="22"/>
      <c r="MK242" s="20"/>
      <c r="ML242" s="22"/>
      <c r="MM242" s="20"/>
      <c r="MN242" s="22"/>
      <c r="MO242" s="20"/>
      <c r="MP242" s="22"/>
      <c r="MQ242" s="20"/>
      <c r="MR242" s="22"/>
      <c r="MS242" s="20"/>
      <c r="MT242" s="22"/>
      <c r="MU242" s="20"/>
      <c r="MV242" s="22"/>
      <c r="MW242" s="20"/>
      <c r="MX242" s="22"/>
      <c r="MY242" s="20"/>
      <c r="MZ242" s="22"/>
      <c r="NA242" s="20"/>
      <c r="NB242" s="22"/>
      <c r="NC242" s="20"/>
      <c r="ND242" s="22"/>
      <c r="NE242" s="20"/>
      <c r="NF242" s="73"/>
    </row>
    <row r="243" hidden="1">
      <c r="A243" s="237"/>
      <c r="B243" s="267"/>
      <c r="C243" s="239">
        <v>46238.0</v>
      </c>
      <c r="D243" s="285" t="s">
        <v>424</v>
      </c>
      <c r="E243" s="242" t="s">
        <v>47</v>
      </c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  <c r="CI243" s="73"/>
      <c r="CJ243" s="73"/>
      <c r="CK243" s="73"/>
      <c r="CL243" s="73"/>
      <c r="CM243" s="73"/>
      <c r="CN243" s="73"/>
      <c r="CO243" s="73"/>
      <c r="CP243" s="73"/>
      <c r="CQ243" s="73"/>
      <c r="CR243" s="73"/>
      <c r="CS243" s="73"/>
      <c r="CT243" s="73"/>
      <c r="CU243" s="73"/>
      <c r="CV243" s="73"/>
      <c r="CW243" s="73"/>
      <c r="CX243" s="73"/>
      <c r="CY243" s="73"/>
      <c r="CZ243" s="73"/>
      <c r="DA243" s="73"/>
      <c r="DB243" s="73"/>
      <c r="DC243" s="73"/>
      <c r="DD243" s="73"/>
      <c r="DE243" s="73"/>
      <c r="DF243" s="73"/>
      <c r="DG243" s="73"/>
      <c r="DH243" s="73"/>
      <c r="DI243" s="73"/>
      <c r="DJ243" s="73"/>
      <c r="DK243" s="73"/>
      <c r="DL243" s="73"/>
      <c r="DM243" s="73"/>
      <c r="DN243" s="73"/>
      <c r="DO243" s="73"/>
      <c r="DP243" s="73"/>
      <c r="DQ243" s="73"/>
      <c r="DR243" s="73"/>
      <c r="DS243" s="73"/>
      <c r="DT243" s="73"/>
      <c r="DU243" s="73"/>
      <c r="DV243" s="22"/>
      <c r="DW243" s="20"/>
      <c r="DX243" s="22"/>
      <c r="DY243" s="20"/>
      <c r="DZ243" s="22"/>
      <c r="EA243" s="20"/>
      <c r="EB243" s="22"/>
      <c r="EC243" s="20"/>
      <c r="ED243" s="22"/>
      <c r="EE243" s="20"/>
      <c r="EF243" s="22"/>
      <c r="EG243" s="20"/>
      <c r="EH243" s="22"/>
      <c r="EI243" s="20"/>
      <c r="EJ243" s="22"/>
      <c r="EK243" s="20"/>
      <c r="EL243" s="22"/>
      <c r="EM243" s="20"/>
      <c r="EN243" s="22"/>
      <c r="EO243" s="20"/>
      <c r="EP243" s="22"/>
      <c r="EQ243" s="20"/>
      <c r="ER243" s="22"/>
      <c r="ES243" s="20"/>
      <c r="ET243" s="22"/>
      <c r="EU243" s="20"/>
      <c r="EV243" s="22"/>
      <c r="EW243" s="20"/>
      <c r="EX243" s="22"/>
      <c r="EY243" s="20"/>
      <c r="EZ243" s="22"/>
      <c r="FA243" s="20"/>
      <c r="FB243" s="22"/>
      <c r="FC243" s="20"/>
      <c r="FD243" s="22"/>
      <c r="FE243" s="20"/>
      <c r="FF243" s="22"/>
      <c r="FG243" s="20"/>
      <c r="FH243" s="22"/>
      <c r="FI243" s="20"/>
      <c r="FJ243" s="22"/>
      <c r="FK243" s="20"/>
      <c r="FL243" s="22"/>
      <c r="FM243" s="20"/>
      <c r="FN243" s="22"/>
      <c r="FO243" s="20"/>
      <c r="FP243" s="22"/>
      <c r="FQ243" s="20"/>
      <c r="FR243" s="22"/>
      <c r="FS243" s="20"/>
      <c r="FT243" s="22"/>
      <c r="FU243" s="20"/>
      <c r="FV243" s="22"/>
      <c r="FW243" s="20"/>
      <c r="FX243" s="22"/>
      <c r="FY243" s="20"/>
      <c r="FZ243" s="22"/>
      <c r="GA243" s="20"/>
      <c r="GB243" s="22"/>
      <c r="GC243" s="20"/>
      <c r="GD243" s="22"/>
      <c r="GE243" s="20"/>
      <c r="GF243" s="22"/>
      <c r="GG243" s="20"/>
      <c r="GH243" s="22"/>
      <c r="GI243" s="20"/>
      <c r="GJ243" s="22"/>
      <c r="GK243" s="20"/>
      <c r="GL243" s="22"/>
      <c r="GM243" s="20"/>
      <c r="GN243" s="22"/>
      <c r="GO243" s="20"/>
      <c r="GP243" s="22"/>
      <c r="GQ243" s="20"/>
      <c r="GR243" s="22"/>
      <c r="GS243" s="20"/>
      <c r="GT243" s="22"/>
      <c r="GU243" s="20"/>
      <c r="GV243" s="22"/>
      <c r="GW243" s="20"/>
      <c r="GX243" s="22"/>
      <c r="GY243" s="20"/>
      <c r="GZ243" s="22"/>
      <c r="HA243" s="20"/>
      <c r="HB243" s="22"/>
      <c r="HC243" s="20"/>
      <c r="HD243" s="22"/>
      <c r="HE243" s="20"/>
      <c r="HF243" s="22"/>
      <c r="HG243" s="20"/>
      <c r="HH243" s="22"/>
      <c r="HI243" s="20"/>
      <c r="HJ243" s="22"/>
      <c r="HK243" s="20"/>
      <c r="HL243" s="22"/>
      <c r="HM243" s="20">
        <v>5.0</v>
      </c>
      <c r="HN243" s="22"/>
      <c r="HO243" s="20"/>
      <c r="HP243" s="22"/>
      <c r="HQ243" s="20"/>
      <c r="HR243" s="22"/>
      <c r="HS243" s="20"/>
      <c r="HT243" s="22"/>
      <c r="HU243" s="20"/>
      <c r="HV243" s="22"/>
      <c r="HW243" s="20"/>
      <c r="HX243" s="22"/>
      <c r="HY243" s="20"/>
      <c r="HZ243" s="22"/>
      <c r="IA243" s="20"/>
      <c r="IB243" s="22"/>
      <c r="IC243" s="20"/>
      <c r="ID243" s="22"/>
      <c r="IE243" s="20"/>
      <c r="IF243" s="22"/>
      <c r="IG243" s="20"/>
      <c r="IH243" s="22"/>
      <c r="II243" s="20"/>
      <c r="IJ243" s="22"/>
      <c r="IK243" s="20"/>
      <c r="IL243" s="22"/>
      <c r="IM243" s="20"/>
      <c r="IN243" s="22"/>
      <c r="IO243" s="20"/>
      <c r="IP243" s="22"/>
      <c r="IQ243" s="20"/>
      <c r="IR243" s="22"/>
      <c r="IS243" s="20"/>
      <c r="IT243" s="22"/>
      <c r="IU243" s="20"/>
      <c r="IV243" s="22"/>
      <c r="IW243" s="20"/>
      <c r="IX243" s="22"/>
      <c r="IY243" s="20"/>
      <c r="IZ243" s="22"/>
      <c r="JA243" s="20"/>
      <c r="JB243" s="22"/>
      <c r="JC243" s="20"/>
      <c r="JD243" s="22"/>
      <c r="JE243" s="20"/>
      <c r="JF243" s="22"/>
      <c r="JG243" s="20"/>
      <c r="JH243" s="22"/>
      <c r="JI243" s="20"/>
      <c r="JJ243" s="22"/>
      <c r="JK243" s="20"/>
      <c r="JL243" s="22"/>
      <c r="JM243" s="20"/>
      <c r="JN243" s="22"/>
      <c r="JO243" s="20"/>
      <c r="JP243" s="22"/>
      <c r="JQ243" s="20"/>
      <c r="JR243" s="22"/>
      <c r="JS243" s="20"/>
      <c r="JT243" s="22"/>
      <c r="JU243" s="20"/>
      <c r="JV243" s="22"/>
      <c r="JW243" s="20"/>
      <c r="JX243" s="22"/>
      <c r="JY243" s="20"/>
      <c r="JZ243" s="22"/>
      <c r="KA243" s="20"/>
      <c r="KB243" s="22"/>
      <c r="KC243" s="20"/>
      <c r="KD243" s="22"/>
      <c r="KE243" s="20"/>
      <c r="KF243" s="22"/>
      <c r="KG243" s="20"/>
      <c r="KH243" s="22"/>
      <c r="KI243" s="20"/>
      <c r="KJ243" s="22"/>
      <c r="KK243" s="20"/>
      <c r="KL243" s="22"/>
      <c r="KM243" s="20"/>
      <c r="KN243" s="22"/>
      <c r="KO243" s="20"/>
      <c r="KP243" s="22"/>
      <c r="KQ243" s="20"/>
      <c r="KR243" s="22"/>
      <c r="KS243" s="20"/>
      <c r="KT243" s="22"/>
      <c r="KU243" s="20"/>
      <c r="KV243" s="22"/>
      <c r="KW243" s="20"/>
      <c r="KX243" s="22"/>
      <c r="KY243" s="20"/>
      <c r="KZ243" s="22"/>
      <c r="LA243" s="20"/>
      <c r="LB243" s="22"/>
      <c r="LC243" s="20"/>
      <c r="LD243" s="22"/>
      <c r="LE243" s="20"/>
      <c r="LF243" s="22"/>
      <c r="LG243" s="20"/>
      <c r="LH243" s="22"/>
      <c r="LI243" s="20"/>
      <c r="LJ243" s="22"/>
      <c r="LK243" s="20"/>
      <c r="LL243" s="22"/>
      <c r="LM243" s="20"/>
      <c r="LN243" s="22"/>
      <c r="LO243" s="20"/>
      <c r="LP243" s="22"/>
      <c r="LQ243" s="20"/>
      <c r="LR243" s="22"/>
      <c r="LS243" s="20"/>
      <c r="LT243" s="22"/>
      <c r="LU243" s="20"/>
      <c r="LV243" s="22"/>
      <c r="LW243" s="20"/>
      <c r="LX243" s="22"/>
      <c r="LY243" s="20"/>
      <c r="LZ243" s="22"/>
      <c r="MA243" s="20"/>
      <c r="MB243" s="22"/>
      <c r="MC243" s="20"/>
      <c r="MD243" s="22"/>
      <c r="ME243" s="20"/>
      <c r="MF243" s="22"/>
      <c r="MG243" s="20"/>
      <c r="MH243" s="22"/>
      <c r="MI243" s="20"/>
      <c r="MJ243" s="22"/>
      <c r="MK243" s="20"/>
      <c r="ML243" s="22"/>
      <c r="MM243" s="20"/>
      <c r="MN243" s="22"/>
      <c r="MO243" s="20"/>
      <c r="MP243" s="22"/>
      <c r="MQ243" s="20"/>
      <c r="MR243" s="22"/>
      <c r="MS243" s="20"/>
      <c r="MT243" s="22"/>
      <c r="MU243" s="20"/>
      <c r="MV243" s="22"/>
      <c r="MW243" s="20"/>
      <c r="MX243" s="22"/>
      <c r="MY243" s="20"/>
      <c r="MZ243" s="22"/>
      <c r="NA243" s="20"/>
      <c r="NB243" s="22"/>
      <c r="NC243" s="20"/>
      <c r="ND243" s="22"/>
      <c r="NE243" s="20"/>
      <c r="NF243" s="73"/>
    </row>
    <row r="244" hidden="1">
      <c r="A244" s="237"/>
      <c r="B244" s="267"/>
      <c r="C244" s="239">
        <v>46245.0</v>
      </c>
      <c r="D244" s="284" t="s">
        <v>425</v>
      </c>
      <c r="E244" s="242" t="s">
        <v>47</v>
      </c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  <c r="CK244" s="73"/>
      <c r="CL244" s="73"/>
      <c r="CM244" s="73"/>
      <c r="CN244" s="73"/>
      <c r="CO244" s="73"/>
      <c r="CP244" s="73"/>
      <c r="CQ244" s="73"/>
      <c r="CR244" s="73"/>
      <c r="CS244" s="73"/>
      <c r="CT244" s="73"/>
      <c r="CU244" s="73"/>
      <c r="CV244" s="73"/>
      <c r="CW244" s="73"/>
      <c r="CX244" s="73"/>
      <c r="CY244" s="73"/>
      <c r="CZ244" s="73"/>
      <c r="DA244" s="73"/>
      <c r="DB244" s="73"/>
      <c r="DC244" s="73"/>
      <c r="DD244" s="73"/>
      <c r="DE244" s="73"/>
      <c r="DF244" s="73"/>
      <c r="DG244" s="73"/>
      <c r="DH244" s="73"/>
      <c r="DI244" s="73"/>
      <c r="DJ244" s="73"/>
      <c r="DK244" s="73"/>
      <c r="DL244" s="73"/>
      <c r="DM244" s="73"/>
      <c r="DN244" s="73"/>
      <c r="DO244" s="73"/>
      <c r="DP244" s="73"/>
      <c r="DQ244" s="73"/>
      <c r="DR244" s="73"/>
      <c r="DS244" s="73"/>
      <c r="DT244" s="73"/>
      <c r="DU244" s="73"/>
      <c r="DV244" s="22"/>
      <c r="DW244" s="20"/>
      <c r="DX244" s="22"/>
      <c r="DY244" s="20"/>
      <c r="DZ244" s="22"/>
      <c r="EA244" s="20"/>
      <c r="EB244" s="22"/>
      <c r="EC244" s="20"/>
      <c r="ED244" s="22"/>
      <c r="EE244" s="20"/>
      <c r="EF244" s="22"/>
      <c r="EG244" s="20"/>
      <c r="EH244" s="22"/>
      <c r="EI244" s="20"/>
      <c r="EJ244" s="22"/>
      <c r="EK244" s="20"/>
      <c r="EL244" s="22"/>
      <c r="EM244" s="20"/>
      <c r="EN244" s="22"/>
      <c r="EO244" s="20"/>
      <c r="EP244" s="22"/>
      <c r="EQ244" s="20"/>
      <c r="ER244" s="22"/>
      <c r="ES244" s="20"/>
      <c r="ET244" s="22"/>
      <c r="EU244" s="20"/>
      <c r="EV244" s="22"/>
      <c r="EW244" s="20"/>
      <c r="EX244" s="22"/>
      <c r="EY244" s="20"/>
      <c r="EZ244" s="22"/>
      <c r="FA244" s="20"/>
      <c r="FB244" s="22"/>
      <c r="FC244" s="20"/>
      <c r="FD244" s="22"/>
      <c r="FE244" s="20"/>
      <c r="FF244" s="22"/>
      <c r="FG244" s="20"/>
      <c r="FH244" s="22"/>
      <c r="FI244" s="20"/>
      <c r="FJ244" s="22"/>
      <c r="FK244" s="20"/>
      <c r="FL244" s="22"/>
      <c r="FM244" s="20"/>
      <c r="FN244" s="22"/>
      <c r="FO244" s="20"/>
      <c r="FP244" s="22"/>
      <c r="FQ244" s="20"/>
      <c r="FR244" s="22"/>
      <c r="FS244" s="20"/>
      <c r="FT244" s="22"/>
      <c r="FU244" s="20"/>
      <c r="FV244" s="22"/>
      <c r="FW244" s="20"/>
      <c r="FX244" s="22"/>
      <c r="FY244" s="20"/>
      <c r="FZ244" s="22"/>
      <c r="GA244" s="20"/>
      <c r="GB244" s="22"/>
      <c r="GC244" s="20"/>
      <c r="GD244" s="22"/>
      <c r="GE244" s="20"/>
      <c r="GF244" s="22"/>
      <c r="GG244" s="20"/>
      <c r="GH244" s="22"/>
      <c r="GI244" s="20"/>
      <c r="GJ244" s="22"/>
      <c r="GK244" s="20"/>
      <c r="GL244" s="22"/>
      <c r="GM244" s="20"/>
      <c r="GN244" s="22"/>
      <c r="GO244" s="20"/>
      <c r="GP244" s="22"/>
      <c r="GQ244" s="20"/>
      <c r="GR244" s="22"/>
      <c r="GS244" s="20"/>
      <c r="GT244" s="22"/>
      <c r="GU244" s="20"/>
      <c r="GV244" s="22"/>
      <c r="GW244" s="20"/>
      <c r="GX244" s="22"/>
      <c r="GY244" s="20"/>
      <c r="GZ244" s="22"/>
      <c r="HA244" s="20"/>
      <c r="HB244" s="22"/>
      <c r="HC244" s="20"/>
      <c r="HD244" s="22"/>
      <c r="HE244" s="20"/>
      <c r="HF244" s="22"/>
      <c r="HG244" s="20"/>
      <c r="HH244" s="22"/>
      <c r="HI244" s="20"/>
      <c r="HJ244" s="22"/>
      <c r="HK244" s="20"/>
      <c r="HL244" s="22"/>
      <c r="HM244" s="20"/>
      <c r="HN244" s="20">
        <v>4.0</v>
      </c>
      <c r="HO244" s="20"/>
      <c r="HP244" s="22"/>
      <c r="HQ244" s="20"/>
      <c r="HR244" s="22"/>
      <c r="HS244" s="20">
        <v>1.0</v>
      </c>
      <c r="HT244" s="22"/>
      <c r="HU244" s="20"/>
      <c r="HV244" s="22"/>
      <c r="HW244" s="20"/>
      <c r="HX244" s="22"/>
      <c r="HY244" s="20"/>
      <c r="HZ244" s="22"/>
      <c r="IA244" s="20"/>
      <c r="IB244" s="22"/>
      <c r="IC244" s="20"/>
      <c r="ID244" s="22"/>
      <c r="IE244" s="20"/>
      <c r="IF244" s="22"/>
      <c r="IG244" s="20"/>
      <c r="IH244" s="22"/>
      <c r="II244" s="20"/>
      <c r="IJ244" s="22"/>
      <c r="IK244" s="20"/>
      <c r="IL244" s="22"/>
      <c r="IM244" s="20"/>
      <c r="IN244" s="22"/>
      <c r="IO244" s="20"/>
      <c r="IP244" s="22"/>
      <c r="IQ244" s="20"/>
      <c r="IR244" s="22"/>
      <c r="IS244" s="20"/>
      <c r="IT244" s="22"/>
      <c r="IU244" s="20"/>
      <c r="IV244" s="22"/>
      <c r="IW244" s="20"/>
      <c r="IX244" s="22"/>
      <c r="IY244" s="20"/>
      <c r="IZ244" s="22"/>
      <c r="JA244" s="20"/>
      <c r="JB244" s="22"/>
      <c r="JC244" s="20"/>
      <c r="JD244" s="22"/>
      <c r="JE244" s="20"/>
      <c r="JF244" s="22"/>
      <c r="JG244" s="20"/>
      <c r="JH244" s="22"/>
      <c r="JI244" s="20"/>
      <c r="JJ244" s="22"/>
      <c r="JK244" s="20"/>
      <c r="JL244" s="22"/>
      <c r="JM244" s="20"/>
      <c r="JN244" s="22"/>
      <c r="JO244" s="20"/>
      <c r="JP244" s="22"/>
      <c r="JQ244" s="20"/>
      <c r="JR244" s="22"/>
      <c r="JS244" s="20"/>
      <c r="JT244" s="22"/>
      <c r="JU244" s="20"/>
      <c r="JV244" s="22"/>
      <c r="JW244" s="20"/>
      <c r="JX244" s="22"/>
      <c r="JY244" s="20"/>
      <c r="JZ244" s="22"/>
      <c r="KA244" s="20"/>
      <c r="KB244" s="22"/>
      <c r="KC244" s="20"/>
      <c r="KD244" s="22"/>
      <c r="KE244" s="20"/>
      <c r="KF244" s="22"/>
      <c r="KG244" s="20"/>
      <c r="KH244" s="22"/>
      <c r="KI244" s="20"/>
      <c r="KJ244" s="22"/>
      <c r="KK244" s="20"/>
      <c r="KL244" s="22"/>
      <c r="KM244" s="20"/>
      <c r="KN244" s="22"/>
      <c r="KO244" s="20"/>
      <c r="KP244" s="22"/>
      <c r="KQ244" s="20"/>
      <c r="KR244" s="22"/>
      <c r="KS244" s="20"/>
      <c r="KT244" s="22"/>
      <c r="KU244" s="20"/>
      <c r="KV244" s="22"/>
      <c r="KW244" s="20"/>
      <c r="KX244" s="22"/>
      <c r="KY244" s="20"/>
      <c r="KZ244" s="22"/>
      <c r="LA244" s="20"/>
      <c r="LB244" s="22"/>
      <c r="LC244" s="20"/>
      <c r="LD244" s="22"/>
      <c r="LE244" s="20"/>
      <c r="LF244" s="22"/>
      <c r="LG244" s="20"/>
      <c r="LH244" s="22"/>
      <c r="LI244" s="20"/>
      <c r="LJ244" s="22"/>
      <c r="LK244" s="20"/>
      <c r="LL244" s="22"/>
      <c r="LM244" s="20"/>
      <c r="LN244" s="22"/>
      <c r="LO244" s="20"/>
      <c r="LP244" s="22"/>
      <c r="LQ244" s="20"/>
      <c r="LR244" s="22"/>
      <c r="LS244" s="20"/>
      <c r="LT244" s="22"/>
      <c r="LU244" s="20"/>
      <c r="LV244" s="22"/>
      <c r="LW244" s="20"/>
      <c r="LX244" s="22"/>
      <c r="LY244" s="20"/>
      <c r="LZ244" s="22"/>
      <c r="MA244" s="20"/>
      <c r="MB244" s="22"/>
      <c r="MC244" s="20"/>
      <c r="MD244" s="22"/>
      <c r="ME244" s="20"/>
      <c r="MF244" s="22"/>
      <c r="MG244" s="20"/>
      <c r="MH244" s="22"/>
      <c r="MI244" s="20"/>
      <c r="MJ244" s="22"/>
      <c r="MK244" s="20"/>
      <c r="ML244" s="22"/>
      <c r="MM244" s="20"/>
      <c r="MN244" s="22"/>
      <c r="MO244" s="20"/>
      <c r="MP244" s="22"/>
      <c r="MQ244" s="20"/>
      <c r="MR244" s="22"/>
      <c r="MS244" s="20"/>
      <c r="MT244" s="22"/>
      <c r="MU244" s="20"/>
      <c r="MV244" s="22"/>
      <c r="MW244" s="20"/>
      <c r="MX244" s="22"/>
      <c r="MY244" s="20"/>
      <c r="MZ244" s="22"/>
      <c r="NA244" s="20"/>
      <c r="NB244" s="22"/>
      <c r="NC244" s="20"/>
      <c r="ND244" s="22"/>
      <c r="NE244" s="20"/>
      <c r="NF244" s="73"/>
    </row>
    <row r="245" hidden="1">
      <c r="A245" s="237"/>
      <c r="B245" s="267"/>
      <c r="C245" s="239">
        <v>46240.0</v>
      </c>
      <c r="D245" s="285" t="s">
        <v>426</v>
      </c>
      <c r="E245" s="242" t="s">
        <v>47</v>
      </c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  <c r="CI245" s="73"/>
      <c r="CJ245" s="73"/>
      <c r="CK245" s="73"/>
      <c r="CL245" s="73"/>
      <c r="CM245" s="73"/>
      <c r="CN245" s="73"/>
      <c r="CO245" s="73"/>
      <c r="CP245" s="73"/>
      <c r="CQ245" s="73"/>
      <c r="CR245" s="73"/>
      <c r="CS245" s="73"/>
      <c r="CT245" s="73"/>
      <c r="CU245" s="73"/>
      <c r="CV245" s="73"/>
      <c r="CW245" s="73"/>
      <c r="CX245" s="73"/>
      <c r="CY245" s="73"/>
      <c r="CZ245" s="73"/>
      <c r="DA245" s="73"/>
      <c r="DB245" s="73"/>
      <c r="DC245" s="73"/>
      <c r="DD245" s="73"/>
      <c r="DE245" s="73"/>
      <c r="DF245" s="73"/>
      <c r="DG245" s="73"/>
      <c r="DH245" s="73"/>
      <c r="DI245" s="73"/>
      <c r="DJ245" s="73"/>
      <c r="DK245" s="73"/>
      <c r="DL245" s="73"/>
      <c r="DM245" s="73"/>
      <c r="DN245" s="73"/>
      <c r="DO245" s="73"/>
      <c r="DP245" s="73"/>
      <c r="DQ245" s="73"/>
      <c r="DR245" s="73"/>
      <c r="DS245" s="73"/>
      <c r="DT245" s="73"/>
      <c r="DU245" s="73"/>
      <c r="DV245" s="22"/>
      <c r="DW245" s="20"/>
      <c r="DX245" s="22"/>
      <c r="DY245" s="20"/>
      <c r="DZ245" s="22"/>
      <c r="EA245" s="20"/>
      <c r="EB245" s="22"/>
      <c r="EC245" s="20"/>
      <c r="ED245" s="22"/>
      <c r="EE245" s="20"/>
      <c r="EF245" s="22"/>
      <c r="EG245" s="20"/>
      <c r="EH245" s="22"/>
      <c r="EI245" s="20"/>
      <c r="EJ245" s="22"/>
      <c r="EK245" s="20"/>
      <c r="EL245" s="22"/>
      <c r="EM245" s="20"/>
      <c r="EN245" s="22"/>
      <c r="EO245" s="20"/>
      <c r="EP245" s="22"/>
      <c r="EQ245" s="20"/>
      <c r="ER245" s="22"/>
      <c r="ES245" s="20"/>
      <c r="ET245" s="22"/>
      <c r="EU245" s="20"/>
      <c r="EV245" s="22"/>
      <c r="EW245" s="20"/>
      <c r="EX245" s="22"/>
      <c r="EY245" s="20"/>
      <c r="EZ245" s="22"/>
      <c r="FA245" s="20"/>
      <c r="FB245" s="22"/>
      <c r="FC245" s="20"/>
      <c r="FD245" s="22"/>
      <c r="FE245" s="20"/>
      <c r="FF245" s="22"/>
      <c r="FG245" s="20"/>
      <c r="FH245" s="22"/>
      <c r="FI245" s="20"/>
      <c r="FJ245" s="22"/>
      <c r="FK245" s="20"/>
      <c r="FL245" s="22"/>
      <c r="FM245" s="20"/>
      <c r="FN245" s="22"/>
      <c r="FO245" s="20"/>
      <c r="FP245" s="22"/>
      <c r="FQ245" s="20"/>
      <c r="FR245" s="22"/>
      <c r="FS245" s="20"/>
      <c r="FT245" s="22"/>
      <c r="FU245" s="20"/>
      <c r="FV245" s="22"/>
      <c r="FW245" s="20"/>
      <c r="FX245" s="22"/>
      <c r="FY245" s="20"/>
      <c r="FZ245" s="22"/>
      <c r="GA245" s="20"/>
      <c r="GB245" s="22"/>
      <c r="GC245" s="20"/>
      <c r="GD245" s="22"/>
      <c r="GE245" s="20"/>
      <c r="GF245" s="22"/>
      <c r="GG245" s="20"/>
      <c r="GH245" s="22"/>
      <c r="GI245" s="20"/>
      <c r="GJ245" s="22"/>
      <c r="GK245" s="20"/>
      <c r="GL245" s="22"/>
      <c r="GM245" s="20"/>
      <c r="GN245" s="22"/>
      <c r="GO245" s="20"/>
      <c r="GP245" s="22"/>
      <c r="GQ245" s="20"/>
      <c r="GR245" s="22"/>
      <c r="GS245" s="20"/>
      <c r="GT245" s="22"/>
      <c r="GU245" s="20"/>
      <c r="GV245" s="22"/>
      <c r="GW245" s="20"/>
      <c r="GX245" s="22"/>
      <c r="GY245" s="20"/>
      <c r="GZ245" s="22"/>
      <c r="HA245" s="20"/>
      <c r="HB245" s="22"/>
      <c r="HC245" s="20"/>
      <c r="HD245" s="22"/>
      <c r="HE245" s="20"/>
      <c r="HF245" s="22"/>
      <c r="HG245" s="20"/>
      <c r="HH245" s="22"/>
      <c r="HI245" s="20"/>
      <c r="HJ245" s="22"/>
      <c r="HK245" s="20"/>
      <c r="HL245" s="22"/>
      <c r="HM245" s="20"/>
      <c r="HN245" s="20">
        <v>1.0</v>
      </c>
      <c r="HO245" s="20">
        <v>4.0</v>
      </c>
      <c r="HP245" s="22"/>
      <c r="HQ245" s="20"/>
      <c r="HR245" s="22"/>
      <c r="HS245" s="20"/>
      <c r="HT245" s="22"/>
      <c r="HU245" s="20"/>
      <c r="HV245" s="22"/>
      <c r="HW245" s="20"/>
      <c r="HX245" s="22"/>
      <c r="HY245" s="20"/>
      <c r="HZ245" s="22"/>
      <c r="IA245" s="20"/>
      <c r="IB245" s="22"/>
      <c r="IC245" s="20"/>
      <c r="ID245" s="22"/>
      <c r="IE245" s="20"/>
      <c r="IF245" s="22"/>
      <c r="IG245" s="20"/>
      <c r="IH245" s="22"/>
      <c r="II245" s="20"/>
      <c r="IJ245" s="22"/>
      <c r="IK245" s="20"/>
      <c r="IL245" s="22"/>
      <c r="IM245" s="20"/>
      <c r="IN245" s="22"/>
      <c r="IO245" s="20"/>
      <c r="IP245" s="22"/>
      <c r="IQ245" s="20"/>
      <c r="IR245" s="22"/>
      <c r="IS245" s="20"/>
      <c r="IT245" s="22"/>
      <c r="IU245" s="20"/>
      <c r="IV245" s="22"/>
      <c r="IW245" s="20"/>
      <c r="IX245" s="22"/>
      <c r="IY245" s="20"/>
      <c r="IZ245" s="22"/>
      <c r="JA245" s="20"/>
      <c r="JB245" s="22"/>
      <c r="JC245" s="20"/>
      <c r="JD245" s="22"/>
      <c r="JE245" s="20"/>
      <c r="JF245" s="22"/>
      <c r="JG245" s="20"/>
      <c r="JH245" s="22"/>
      <c r="JI245" s="20"/>
      <c r="JJ245" s="22"/>
      <c r="JK245" s="20"/>
      <c r="JL245" s="22"/>
      <c r="JM245" s="20"/>
      <c r="JN245" s="22"/>
      <c r="JO245" s="20"/>
      <c r="JP245" s="22"/>
      <c r="JQ245" s="20"/>
      <c r="JR245" s="22"/>
      <c r="JS245" s="20"/>
      <c r="JT245" s="22"/>
      <c r="JU245" s="20"/>
      <c r="JV245" s="22"/>
      <c r="JW245" s="20"/>
      <c r="JX245" s="22"/>
      <c r="JY245" s="20"/>
      <c r="JZ245" s="22"/>
      <c r="KA245" s="20"/>
      <c r="KB245" s="22"/>
      <c r="KC245" s="20"/>
      <c r="KD245" s="22"/>
      <c r="KE245" s="20"/>
      <c r="KF245" s="22"/>
      <c r="KG245" s="20"/>
      <c r="KH245" s="22"/>
      <c r="KI245" s="20"/>
      <c r="KJ245" s="22"/>
      <c r="KK245" s="20"/>
      <c r="KL245" s="22"/>
      <c r="KM245" s="20"/>
      <c r="KN245" s="22"/>
      <c r="KO245" s="20"/>
      <c r="KP245" s="22"/>
      <c r="KQ245" s="20"/>
      <c r="KR245" s="22"/>
      <c r="KS245" s="20"/>
      <c r="KT245" s="22"/>
      <c r="KU245" s="20"/>
      <c r="KV245" s="22"/>
      <c r="KW245" s="20"/>
      <c r="KX245" s="22"/>
      <c r="KY245" s="20"/>
      <c r="KZ245" s="22"/>
      <c r="LA245" s="20"/>
      <c r="LB245" s="22"/>
      <c r="LC245" s="20"/>
      <c r="LD245" s="22"/>
      <c r="LE245" s="20"/>
      <c r="LF245" s="22"/>
      <c r="LG245" s="20"/>
      <c r="LH245" s="22"/>
      <c r="LI245" s="20"/>
      <c r="LJ245" s="22"/>
      <c r="LK245" s="20"/>
      <c r="LL245" s="22"/>
      <c r="LM245" s="20"/>
      <c r="LN245" s="22"/>
      <c r="LO245" s="20"/>
      <c r="LP245" s="22"/>
      <c r="LQ245" s="20"/>
      <c r="LR245" s="22"/>
      <c r="LS245" s="20"/>
      <c r="LT245" s="22"/>
      <c r="LU245" s="20"/>
      <c r="LV245" s="22"/>
      <c r="LW245" s="20"/>
      <c r="LX245" s="22"/>
      <c r="LY245" s="20"/>
      <c r="LZ245" s="22"/>
      <c r="MA245" s="20"/>
      <c r="MB245" s="22"/>
      <c r="MC245" s="20"/>
      <c r="MD245" s="22"/>
      <c r="ME245" s="20"/>
      <c r="MF245" s="22"/>
      <c r="MG245" s="20"/>
      <c r="MH245" s="22"/>
      <c r="MI245" s="20"/>
      <c r="MJ245" s="22"/>
      <c r="MK245" s="20"/>
      <c r="ML245" s="22"/>
      <c r="MM245" s="20"/>
      <c r="MN245" s="22"/>
      <c r="MO245" s="20"/>
      <c r="MP245" s="22"/>
      <c r="MQ245" s="20"/>
      <c r="MR245" s="22"/>
      <c r="MS245" s="20"/>
      <c r="MT245" s="22"/>
      <c r="MU245" s="20"/>
      <c r="MV245" s="22"/>
      <c r="MW245" s="20"/>
      <c r="MX245" s="22"/>
      <c r="MY245" s="20"/>
      <c r="MZ245" s="22"/>
      <c r="NA245" s="20"/>
      <c r="NB245" s="22"/>
      <c r="NC245" s="20"/>
      <c r="ND245" s="22"/>
      <c r="NE245" s="20"/>
      <c r="NF245" s="73"/>
    </row>
    <row r="246" hidden="1">
      <c r="A246" s="237"/>
      <c r="B246" s="267"/>
      <c r="C246" s="239">
        <v>46241.0</v>
      </c>
      <c r="D246" s="286" t="s">
        <v>427</v>
      </c>
      <c r="E246" s="242" t="s">
        <v>47</v>
      </c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  <c r="CI246" s="73"/>
      <c r="CJ246" s="73"/>
      <c r="CK246" s="73"/>
      <c r="CL246" s="73"/>
      <c r="CM246" s="73"/>
      <c r="CN246" s="73"/>
      <c r="CO246" s="73"/>
      <c r="CP246" s="73"/>
      <c r="CQ246" s="73"/>
      <c r="CR246" s="73"/>
      <c r="CS246" s="73"/>
      <c r="CT246" s="73"/>
      <c r="CU246" s="73"/>
      <c r="CV246" s="73"/>
      <c r="CW246" s="73"/>
      <c r="CX246" s="73"/>
      <c r="CY246" s="73"/>
      <c r="CZ246" s="73"/>
      <c r="DA246" s="73"/>
      <c r="DB246" s="73"/>
      <c r="DC246" s="73"/>
      <c r="DD246" s="73"/>
      <c r="DE246" s="73"/>
      <c r="DF246" s="73"/>
      <c r="DG246" s="73"/>
      <c r="DH246" s="73"/>
      <c r="DI246" s="73"/>
      <c r="DJ246" s="73"/>
      <c r="DK246" s="73"/>
      <c r="DL246" s="73"/>
      <c r="DM246" s="73"/>
      <c r="DN246" s="73"/>
      <c r="DO246" s="73"/>
      <c r="DP246" s="73"/>
      <c r="DQ246" s="73"/>
      <c r="DR246" s="73"/>
      <c r="DS246" s="73"/>
      <c r="DT246" s="73"/>
      <c r="DU246" s="73"/>
      <c r="DV246" s="22"/>
      <c r="DW246" s="20"/>
      <c r="DX246" s="22"/>
      <c r="DY246" s="20"/>
      <c r="DZ246" s="22"/>
      <c r="EA246" s="20"/>
      <c r="EB246" s="22"/>
      <c r="EC246" s="20"/>
      <c r="ED246" s="22"/>
      <c r="EE246" s="20"/>
      <c r="EF246" s="22"/>
      <c r="EG246" s="20"/>
      <c r="EH246" s="22"/>
      <c r="EI246" s="20"/>
      <c r="EJ246" s="22"/>
      <c r="EK246" s="20"/>
      <c r="EL246" s="22"/>
      <c r="EM246" s="20"/>
      <c r="EN246" s="22"/>
      <c r="EO246" s="20"/>
      <c r="EP246" s="22"/>
      <c r="EQ246" s="20"/>
      <c r="ER246" s="22"/>
      <c r="ES246" s="20"/>
      <c r="ET246" s="22"/>
      <c r="EU246" s="20"/>
      <c r="EV246" s="22"/>
      <c r="EW246" s="20"/>
      <c r="EX246" s="22"/>
      <c r="EY246" s="20"/>
      <c r="EZ246" s="22"/>
      <c r="FA246" s="20"/>
      <c r="FB246" s="22"/>
      <c r="FC246" s="20"/>
      <c r="FD246" s="22"/>
      <c r="FE246" s="20"/>
      <c r="FF246" s="22"/>
      <c r="FG246" s="20"/>
      <c r="FH246" s="22"/>
      <c r="FI246" s="20"/>
      <c r="FJ246" s="22"/>
      <c r="FK246" s="20"/>
      <c r="FL246" s="22"/>
      <c r="FM246" s="20"/>
      <c r="FN246" s="22"/>
      <c r="FO246" s="20"/>
      <c r="FP246" s="22"/>
      <c r="FQ246" s="20"/>
      <c r="FR246" s="22"/>
      <c r="FS246" s="20"/>
      <c r="FT246" s="22"/>
      <c r="FU246" s="20"/>
      <c r="FV246" s="22"/>
      <c r="FW246" s="20"/>
      <c r="FX246" s="22"/>
      <c r="FY246" s="20"/>
      <c r="FZ246" s="22"/>
      <c r="GA246" s="20"/>
      <c r="GB246" s="22"/>
      <c r="GC246" s="20"/>
      <c r="GD246" s="22"/>
      <c r="GE246" s="20"/>
      <c r="GF246" s="22"/>
      <c r="GG246" s="20"/>
      <c r="GH246" s="22"/>
      <c r="GI246" s="20"/>
      <c r="GJ246" s="22"/>
      <c r="GK246" s="20"/>
      <c r="GL246" s="22"/>
      <c r="GM246" s="20"/>
      <c r="GN246" s="22"/>
      <c r="GO246" s="20"/>
      <c r="GP246" s="22"/>
      <c r="GQ246" s="20"/>
      <c r="GR246" s="22"/>
      <c r="GS246" s="20"/>
      <c r="GT246" s="22"/>
      <c r="GU246" s="20"/>
      <c r="GV246" s="22"/>
      <c r="GW246" s="20"/>
      <c r="GX246" s="22"/>
      <c r="GY246" s="20"/>
      <c r="GZ246" s="22"/>
      <c r="HA246" s="20"/>
      <c r="HB246" s="22"/>
      <c r="HC246" s="20"/>
      <c r="HD246" s="22"/>
      <c r="HE246" s="20"/>
      <c r="HF246" s="22"/>
      <c r="HG246" s="20"/>
      <c r="HH246" s="22"/>
      <c r="HI246" s="20"/>
      <c r="HJ246" s="22"/>
      <c r="HK246" s="20"/>
      <c r="HL246" s="22"/>
      <c r="HM246" s="20"/>
      <c r="HN246" s="22"/>
      <c r="HO246" s="20">
        <v>3.0</v>
      </c>
      <c r="HP246" s="20">
        <v>1.0</v>
      </c>
      <c r="HQ246" s="20"/>
      <c r="HR246" s="22"/>
      <c r="HS246" s="20"/>
      <c r="HT246" s="22"/>
      <c r="HU246" s="20"/>
      <c r="HV246" s="22"/>
      <c r="HW246" s="20"/>
      <c r="HX246" s="22"/>
      <c r="HY246" s="20"/>
      <c r="HZ246" s="22"/>
      <c r="IA246" s="20"/>
      <c r="IB246" s="22"/>
      <c r="IC246" s="20"/>
      <c r="ID246" s="22"/>
      <c r="IE246" s="20"/>
      <c r="IF246" s="22"/>
      <c r="IG246" s="20"/>
      <c r="IH246" s="22"/>
      <c r="II246" s="20"/>
      <c r="IJ246" s="20">
        <v>1.0</v>
      </c>
      <c r="IK246" s="20"/>
      <c r="IL246" s="22"/>
      <c r="IM246" s="20"/>
      <c r="IN246" s="22"/>
      <c r="IO246" s="20"/>
      <c r="IP246" s="22"/>
      <c r="IQ246" s="20"/>
      <c r="IR246" s="22"/>
      <c r="IS246" s="20"/>
      <c r="IT246" s="22"/>
      <c r="IU246" s="20"/>
      <c r="IV246" s="22"/>
      <c r="IW246" s="20"/>
      <c r="IX246" s="22"/>
      <c r="IY246" s="20"/>
      <c r="IZ246" s="22"/>
      <c r="JA246" s="20"/>
      <c r="JB246" s="22"/>
      <c r="JC246" s="20"/>
      <c r="JD246" s="22"/>
      <c r="JE246" s="20"/>
      <c r="JF246" s="22"/>
      <c r="JG246" s="20"/>
      <c r="JH246" s="22"/>
      <c r="JI246" s="20"/>
      <c r="JJ246" s="22"/>
      <c r="JK246" s="20"/>
      <c r="JL246" s="22"/>
      <c r="JM246" s="20"/>
      <c r="JN246" s="22"/>
      <c r="JO246" s="20"/>
      <c r="JP246" s="22"/>
      <c r="JQ246" s="20"/>
      <c r="JR246" s="22"/>
      <c r="JS246" s="20"/>
      <c r="JT246" s="22"/>
      <c r="JU246" s="20"/>
      <c r="JV246" s="22"/>
      <c r="JW246" s="20"/>
      <c r="JX246" s="22"/>
      <c r="JY246" s="20"/>
      <c r="JZ246" s="22"/>
      <c r="KA246" s="20"/>
      <c r="KB246" s="22"/>
      <c r="KC246" s="20"/>
      <c r="KD246" s="22"/>
      <c r="KE246" s="20"/>
      <c r="KF246" s="22"/>
      <c r="KG246" s="20"/>
      <c r="KH246" s="22"/>
      <c r="KI246" s="20"/>
      <c r="KJ246" s="22"/>
      <c r="KK246" s="20"/>
      <c r="KL246" s="22"/>
      <c r="KM246" s="20"/>
      <c r="KN246" s="22"/>
      <c r="KO246" s="20"/>
      <c r="KP246" s="22"/>
      <c r="KQ246" s="20"/>
      <c r="KR246" s="22"/>
      <c r="KS246" s="20"/>
      <c r="KT246" s="22"/>
      <c r="KU246" s="20"/>
      <c r="KV246" s="22"/>
      <c r="KW246" s="20"/>
      <c r="KX246" s="22"/>
      <c r="KY246" s="20"/>
      <c r="KZ246" s="22"/>
      <c r="LA246" s="20"/>
      <c r="LB246" s="22"/>
      <c r="LC246" s="20"/>
      <c r="LD246" s="22"/>
      <c r="LE246" s="20"/>
      <c r="LF246" s="22"/>
      <c r="LG246" s="20"/>
      <c r="LH246" s="22"/>
      <c r="LI246" s="20"/>
      <c r="LJ246" s="22"/>
      <c r="LK246" s="20"/>
      <c r="LL246" s="22"/>
      <c r="LM246" s="20"/>
      <c r="LN246" s="22"/>
      <c r="LO246" s="20"/>
      <c r="LP246" s="22"/>
      <c r="LQ246" s="20"/>
      <c r="LR246" s="22"/>
      <c r="LS246" s="20"/>
      <c r="LT246" s="22"/>
      <c r="LU246" s="20"/>
      <c r="LV246" s="22"/>
      <c r="LW246" s="20"/>
      <c r="LX246" s="22"/>
      <c r="LY246" s="20"/>
      <c r="LZ246" s="22"/>
      <c r="MA246" s="20"/>
      <c r="MB246" s="22"/>
      <c r="MC246" s="20"/>
      <c r="MD246" s="22"/>
      <c r="ME246" s="20"/>
      <c r="MF246" s="22"/>
      <c r="MG246" s="20"/>
      <c r="MH246" s="22"/>
      <c r="MI246" s="20"/>
      <c r="MJ246" s="22"/>
      <c r="MK246" s="20"/>
      <c r="ML246" s="22"/>
      <c r="MM246" s="20"/>
      <c r="MN246" s="22"/>
      <c r="MO246" s="20"/>
      <c r="MP246" s="22"/>
      <c r="MQ246" s="20"/>
      <c r="MR246" s="22"/>
      <c r="MS246" s="20"/>
      <c r="MT246" s="22"/>
      <c r="MU246" s="20"/>
      <c r="MV246" s="22"/>
      <c r="MW246" s="20"/>
      <c r="MX246" s="22"/>
      <c r="MY246" s="20"/>
      <c r="MZ246" s="22"/>
      <c r="NA246" s="20"/>
      <c r="NB246" s="22"/>
      <c r="NC246" s="20"/>
      <c r="ND246" s="22"/>
      <c r="NE246" s="20"/>
      <c r="NF246" s="73"/>
    </row>
    <row r="247" hidden="1">
      <c r="A247" s="237"/>
      <c r="B247" s="267"/>
      <c r="C247" s="239">
        <v>46245.0</v>
      </c>
      <c r="D247" s="284" t="s">
        <v>428</v>
      </c>
      <c r="E247" s="242" t="s">
        <v>47</v>
      </c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  <c r="CI247" s="73"/>
      <c r="CJ247" s="73"/>
      <c r="CK247" s="73"/>
      <c r="CL247" s="73"/>
      <c r="CM247" s="73"/>
      <c r="CN247" s="73"/>
      <c r="CO247" s="73"/>
      <c r="CP247" s="73"/>
      <c r="CQ247" s="73"/>
      <c r="CR247" s="73"/>
      <c r="CS247" s="73"/>
      <c r="CT247" s="73"/>
      <c r="CU247" s="73"/>
      <c r="CV247" s="73"/>
      <c r="CW247" s="73"/>
      <c r="CX247" s="73"/>
      <c r="CY247" s="73"/>
      <c r="CZ247" s="73"/>
      <c r="DA247" s="73"/>
      <c r="DB247" s="73"/>
      <c r="DC247" s="73"/>
      <c r="DD247" s="73"/>
      <c r="DE247" s="73"/>
      <c r="DF247" s="73"/>
      <c r="DG247" s="73"/>
      <c r="DH247" s="73"/>
      <c r="DI247" s="73"/>
      <c r="DJ247" s="73"/>
      <c r="DK247" s="73"/>
      <c r="DL247" s="73"/>
      <c r="DM247" s="73"/>
      <c r="DN247" s="73"/>
      <c r="DO247" s="73"/>
      <c r="DP247" s="73"/>
      <c r="DQ247" s="73"/>
      <c r="DR247" s="73"/>
      <c r="DS247" s="73"/>
      <c r="DT247" s="73"/>
      <c r="DU247" s="73"/>
      <c r="DV247" s="22"/>
      <c r="DW247" s="20"/>
      <c r="DX247" s="22"/>
      <c r="DY247" s="20"/>
      <c r="DZ247" s="22"/>
      <c r="EA247" s="20"/>
      <c r="EB247" s="22"/>
      <c r="EC247" s="20"/>
      <c r="ED247" s="22"/>
      <c r="EE247" s="20"/>
      <c r="EF247" s="22"/>
      <c r="EG247" s="20"/>
      <c r="EH247" s="22"/>
      <c r="EI247" s="20"/>
      <c r="EJ247" s="22"/>
      <c r="EK247" s="20"/>
      <c r="EL247" s="22"/>
      <c r="EM247" s="20"/>
      <c r="EN247" s="22"/>
      <c r="EO247" s="20"/>
      <c r="EP247" s="22"/>
      <c r="EQ247" s="20"/>
      <c r="ER247" s="22"/>
      <c r="ES247" s="20"/>
      <c r="ET247" s="22"/>
      <c r="EU247" s="20"/>
      <c r="EV247" s="22"/>
      <c r="EW247" s="20"/>
      <c r="EX247" s="22"/>
      <c r="EY247" s="20"/>
      <c r="EZ247" s="22"/>
      <c r="FA247" s="20"/>
      <c r="FB247" s="22"/>
      <c r="FC247" s="20"/>
      <c r="FD247" s="22"/>
      <c r="FE247" s="20"/>
      <c r="FF247" s="22"/>
      <c r="FG247" s="20"/>
      <c r="FH247" s="22"/>
      <c r="FI247" s="20"/>
      <c r="FJ247" s="22"/>
      <c r="FK247" s="20"/>
      <c r="FL247" s="22"/>
      <c r="FM247" s="20"/>
      <c r="FN247" s="22"/>
      <c r="FO247" s="20"/>
      <c r="FP247" s="22"/>
      <c r="FQ247" s="20"/>
      <c r="FR247" s="22"/>
      <c r="FS247" s="20"/>
      <c r="FT247" s="22"/>
      <c r="FU247" s="20"/>
      <c r="FV247" s="22"/>
      <c r="FW247" s="20"/>
      <c r="FX247" s="22"/>
      <c r="FY247" s="20"/>
      <c r="FZ247" s="22"/>
      <c r="GA247" s="20"/>
      <c r="GB247" s="22"/>
      <c r="GC247" s="20"/>
      <c r="GD247" s="22"/>
      <c r="GE247" s="20"/>
      <c r="GF247" s="22"/>
      <c r="GG247" s="20"/>
      <c r="GH247" s="22"/>
      <c r="GI247" s="20"/>
      <c r="GJ247" s="22"/>
      <c r="GK247" s="20"/>
      <c r="GL247" s="22"/>
      <c r="GM247" s="20"/>
      <c r="GN247" s="22"/>
      <c r="GO247" s="20"/>
      <c r="GP247" s="22"/>
      <c r="GQ247" s="20"/>
      <c r="GR247" s="22"/>
      <c r="GS247" s="20"/>
      <c r="GT247" s="22"/>
      <c r="GU247" s="20"/>
      <c r="GV247" s="22"/>
      <c r="GW247" s="20"/>
      <c r="GX247" s="22"/>
      <c r="GY247" s="20"/>
      <c r="GZ247" s="22"/>
      <c r="HA247" s="20"/>
      <c r="HB247" s="22"/>
      <c r="HC247" s="20"/>
      <c r="HD247" s="22"/>
      <c r="HE247" s="20"/>
      <c r="HF247" s="22"/>
      <c r="HG247" s="20"/>
      <c r="HH247" s="22"/>
      <c r="HI247" s="20"/>
      <c r="HJ247" s="22"/>
      <c r="HK247" s="20"/>
      <c r="HL247" s="22"/>
      <c r="HM247" s="20">
        <v>1.0</v>
      </c>
      <c r="HN247" s="22"/>
      <c r="HO247" s="20"/>
      <c r="HP247" s="20">
        <v>6.0</v>
      </c>
      <c r="HQ247" s="20"/>
      <c r="HR247" s="22"/>
      <c r="HS247" s="20">
        <v>1.0</v>
      </c>
      <c r="HT247" s="22"/>
      <c r="HU247" s="20"/>
      <c r="HV247" s="22"/>
      <c r="HW247" s="20"/>
      <c r="HX247" s="22"/>
      <c r="HY247" s="20"/>
      <c r="HZ247" s="22"/>
      <c r="IA247" s="20"/>
      <c r="IB247" s="22"/>
      <c r="IC247" s="20"/>
      <c r="ID247" s="22"/>
      <c r="IE247" s="20"/>
      <c r="IF247" s="22"/>
      <c r="IG247" s="20"/>
      <c r="IH247" s="22"/>
      <c r="II247" s="20"/>
      <c r="IJ247" s="22"/>
      <c r="IK247" s="20"/>
      <c r="IL247" s="22"/>
      <c r="IM247" s="20"/>
      <c r="IN247" s="22"/>
      <c r="IO247" s="20"/>
      <c r="IP247" s="22"/>
      <c r="IQ247" s="20"/>
      <c r="IR247" s="22"/>
      <c r="IS247" s="20"/>
      <c r="IT247" s="22"/>
      <c r="IU247" s="20"/>
      <c r="IV247" s="22"/>
      <c r="IW247" s="20"/>
      <c r="IX247" s="22"/>
      <c r="IY247" s="20"/>
      <c r="IZ247" s="22"/>
      <c r="JA247" s="20"/>
      <c r="JB247" s="22"/>
      <c r="JC247" s="20"/>
      <c r="JD247" s="22"/>
      <c r="JE247" s="20"/>
      <c r="JF247" s="22"/>
      <c r="JG247" s="20"/>
      <c r="JH247" s="22"/>
      <c r="JI247" s="20"/>
      <c r="JJ247" s="22"/>
      <c r="JK247" s="20"/>
      <c r="JL247" s="22"/>
      <c r="JM247" s="20"/>
      <c r="JN247" s="22"/>
      <c r="JO247" s="20"/>
      <c r="JP247" s="22"/>
      <c r="JQ247" s="20"/>
      <c r="JR247" s="22"/>
      <c r="JS247" s="20"/>
      <c r="JT247" s="22"/>
      <c r="JU247" s="20"/>
      <c r="JV247" s="22"/>
      <c r="JW247" s="20"/>
      <c r="JX247" s="22"/>
      <c r="JY247" s="20"/>
      <c r="JZ247" s="22"/>
      <c r="KA247" s="20"/>
      <c r="KB247" s="22"/>
      <c r="KC247" s="20"/>
      <c r="KD247" s="22"/>
      <c r="KE247" s="20"/>
      <c r="KF247" s="22"/>
      <c r="KG247" s="20"/>
      <c r="KH247" s="22"/>
      <c r="KI247" s="20"/>
      <c r="KJ247" s="22"/>
      <c r="KK247" s="20"/>
      <c r="KL247" s="22"/>
      <c r="KM247" s="20"/>
      <c r="KN247" s="22"/>
      <c r="KO247" s="20"/>
      <c r="KP247" s="22"/>
      <c r="KQ247" s="20"/>
      <c r="KR247" s="22"/>
      <c r="KS247" s="20"/>
      <c r="KT247" s="22"/>
      <c r="KU247" s="20"/>
      <c r="KV247" s="22"/>
      <c r="KW247" s="20"/>
      <c r="KX247" s="22"/>
      <c r="KY247" s="20"/>
      <c r="KZ247" s="22"/>
      <c r="LA247" s="20"/>
      <c r="LB247" s="22"/>
      <c r="LC247" s="20"/>
      <c r="LD247" s="22"/>
      <c r="LE247" s="20"/>
      <c r="LF247" s="22"/>
      <c r="LG247" s="20"/>
      <c r="LH247" s="22"/>
      <c r="LI247" s="20"/>
      <c r="LJ247" s="22"/>
      <c r="LK247" s="20"/>
      <c r="LL247" s="22"/>
      <c r="LM247" s="20"/>
      <c r="LN247" s="22"/>
      <c r="LO247" s="20"/>
      <c r="LP247" s="22"/>
      <c r="LQ247" s="20"/>
      <c r="LR247" s="22"/>
      <c r="LS247" s="20"/>
      <c r="LT247" s="22"/>
      <c r="LU247" s="20"/>
      <c r="LV247" s="22"/>
      <c r="LW247" s="20"/>
      <c r="LX247" s="22"/>
      <c r="LY247" s="20"/>
      <c r="LZ247" s="22"/>
      <c r="MA247" s="20"/>
      <c r="MB247" s="22"/>
      <c r="MC247" s="20"/>
      <c r="MD247" s="22"/>
      <c r="ME247" s="20"/>
      <c r="MF247" s="22"/>
      <c r="MG247" s="20"/>
      <c r="MH247" s="22"/>
      <c r="MI247" s="20"/>
      <c r="MJ247" s="22"/>
      <c r="MK247" s="20"/>
      <c r="ML247" s="22"/>
      <c r="MM247" s="20"/>
      <c r="MN247" s="22"/>
      <c r="MO247" s="20"/>
      <c r="MP247" s="22"/>
      <c r="MQ247" s="20"/>
      <c r="MR247" s="22"/>
      <c r="MS247" s="20"/>
      <c r="MT247" s="22"/>
      <c r="MU247" s="20"/>
      <c r="MV247" s="22"/>
      <c r="MW247" s="20"/>
      <c r="MX247" s="22"/>
      <c r="MY247" s="20"/>
      <c r="MZ247" s="22"/>
      <c r="NA247" s="20"/>
      <c r="NB247" s="22"/>
      <c r="NC247" s="20"/>
      <c r="ND247" s="22"/>
      <c r="NE247" s="20"/>
      <c r="NF247" s="73"/>
    </row>
    <row r="248" hidden="1">
      <c r="A248" s="237"/>
      <c r="B248" s="267"/>
      <c r="C248" s="239">
        <v>46247.0</v>
      </c>
      <c r="D248" s="285" t="s">
        <v>429</v>
      </c>
      <c r="E248" s="242" t="s">
        <v>43</v>
      </c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  <c r="CI248" s="73"/>
      <c r="CJ248" s="73"/>
      <c r="CK248" s="73"/>
      <c r="CL248" s="73"/>
      <c r="CM248" s="73"/>
      <c r="CN248" s="73"/>
      <c r="CO248" s="73"/>
      <c r="CP248" s="73"/>
      <c r="CQ248" s="73"/>
      <c r="CR248" s="73"/>
      <c r="CS248" s="73"/>
      <c r="CT248" s="73"/>
      <c r="CU248" s="73"/>
      <c r="CV248" s="73"/>
      <c r="CW248" s="73"/>
      <c r="CX248" s="73"/>
      <c r="CY248" s="73"/>
      <c r="CZ248" s="73"/>
      <c r="DA248" s="73"/>
      <c r="DB248" s="73"/>
      <c r="DC248" s="73"/>
      <c r="DD248" s="73"/>
      <c r="DE248" s="73"/>
      <c r="DF248" s="73"/>
      <c r="DG248" s="73"/>
      <c r="DH248" s="73"/>
      <c r="DI248" s="73"/>
      <c r="DJ248" s="73"/>
      <c r="DK248" s="73"/>
      <c r="DL248" s="73"/>
      <c r="DM248" s="73"/>
      <c r="DN248" s="73"/>
      <c r="DO248" s="73"/>
      <c r="DP248" s="73"/>
      <c r="DQ248" s="73"/>
      <c r="DR248" s="73"/>
      <c r="DS248" s="73"/>
      <c r="DT248" s="73"/>
      <c r="DU248" s="73"/>
      <c r="DV248" s="22"/>
      <c r="DW248" s="20"/>
      <c r="DX248" s="22"/>
      <c r="DY248" s="20"/>
      <c r="DZ248" s="22"/>
      <c r="EA248" s="20"/>
      <c r="EB248" s="22"/>
      <c r="EC248" s="20"/>
      <c r="ED248" s="22"/>
      <c r="EE248" s="20"/>
      <c r="EF248" s="22"/>
      <c r="EG248" s="20"/>
      <c r="EH248" s="22"/>
      <c r="EI248" s="20"/>
      <c r="EJ248" s="22"/>
      <c r="EK248" s="20"/>
      <c r="EL248" s="22"/>
      <c r="EM248" s="20"/>
      <c r="EN248" s="22"/>
      <c r="EO248" s="20"/>
      <c r="EP248" s="22"/>
      <c r="EQ248" s="20"/>
      <c r="ER248" s="22"/>
      <c r="ES248" s="20"/>
      <c r="ET248" s="22"/>
      <c r="EU248" s="20"/>
      <c r="EV248" s="22"/>
      <c r="EW248" s="20"/>
      <c r="EX248" s="22"/>
      <c r="EY248" s="20"/>
      <c r="EZ248" s="22"/>
      <c r="FA248" s="20"/>
      <c r="FB248" s="22"/>
      <c r="FC248" s="20"/>
      <c r="FD248" s="22"/>
      <c r="FE248" s="20"/>
      <c r="FF248" s="22"/>
      <c r="FG248" s="20"/>
      <c r="FH248" s="22"/>
      <c r="FI248" s="20"/>
      <c r="FJ248" s="22"/>
      <c r="FK248" s="20"/>
      <c r="FL248" s="22"/>
      <c r="FM248" s="20"/>
      <c r="FN248" s="22"/>
      <c r="FO248" s="20"/>
      <c r="FP248" s="22"/>
      <c r="FQ248" s="20"/>
      <c r="FR248" s="22"/>
      <c r="FS248" s="20"/>
      <c r="FT248" s="22"/>
      <c r="FU248" s="20"/>
      <c r="FV248" s="22"/>
      <c r="FW248" s="20"/>
      <c r="FX248" s="22"/>
      <c r="FY248" s="20"/>
      <c r="FZ248" s="22"/>
      <c r="GA248" s="20"/>
      <c r="GB248" s="22"/>
      <c r="GC248" s="20"/>
      <c r="GD248" s="22"/>
      <c r="GE248" s="20"/>
      <c r="GF248" s="22"/>
      <c r="GG248" s="20"/>
      <c r="GH248" s="22"/>
      <c r="GI248" s="20"/>
      <c r="GJ248" s="22"/>
      <c r="GK248" s="20"/>
      <c r="GL248" s="22"/>
      <c r="GM248" s="20"/>
      <c r="GN248" s="22"/>
      <c r="GO248" s="20"/>
      <c r="GP248" s="22"/>
      <c r="GQ248" s="20"/>
      <c r="GR248" s="22"/>
      <c r="GS248" s="20"/>
      <c r="GT248" s="22"/>
      <c r="GU248" s="20"/>
      <c r="GV248" s="22"/>
      <c r="GW248" s="20"/>
      <c r="GX248" s="22"/>
      <c r="GY248" s="20"/>
      <c r="GZ248" s="22"/>
      <c r="HA248" s="20"/>
      <c r="HB248" s="22"/>
      <c r="HC248" s="20"/>
      <c r="HD248" s="22"/>
      <c r="HE248" s="20"/>
      <c r="HF248" s="22"/>
      <c r="HG248" s="20"/>
      <c r="HH248" s="22"/>
      <c r="HI248" s="20"/>
      <c r="HJ248" s="22"/>
      <c r="HK248" s="20"/>
      <c r="HL248" s="22"/>
      <c r="HM248" s="20"/>
      <c r="HN248" s="22"/>
      <c r="HO248" s="20"/>
      <c r="HP248" s="22"/>
      <c r="HQ248" s="20"/>
      <c r="HR248" s="22"/>
      <c r="HS248" s="20"/>
      <c r="HT248" s="20"/>
      <c r="HU248" s="20">
        <v>1.0</v>
      </c>
      <c r="HV248" s="20">
        <v>3.0</v>
      </c>
      <c r="HW248" s="20">
        <v>2.0</v>
      </c>
      <c r="HX248" s="22"/>
      <c r="HY248" s="20"/>
      <c r="HZ248" s="22"/>
      <c r="IA248" s="20">
        <v>1.0</v>
      </c>
      <c r="IB248" s="22"/>
      <c r="IC248" s="20"/>
      <c r="ID248" s="22"/>
      <c r="IE248" s="20"/>
      <c r="IF248" s="22"/>
      <c r="IG248" s="20"/>
      <c r="IH248" s="22"/>
      <c r="II248" s="20"/>
      <c r="IJ248" s="22"/>
      <c r="IK248" s="20"/>
      <c r="IL248" s="22"/>
      <c r="IM248" s="20"/>
      <c r="IN248" s="22"/>
      <c r="IO248" s="20"/>
      <c r="IP248" s="22"/>
      <c r="IQ248" s="20"/>
      <c r="IR248" s="22"/>
      <c r="IS248" s="20"/>
      <c r="IT248" s="22"/>
      <c r="IU248" s="20"/>
      <c r="IV248" s="22"/>
      <c r="IW248" s="20"/>
      <c r="IX248" s="22"/>
      <c r="IY248" s="20"/>
      <c r="IZ248" s="22"/>
      <c r="JA248" s="20"/>
      <c r="JB248" s="22"/>
      <c r="JC248" s="20"/>
      <c r="JD248" s="22"/>
      <c r="JE248" s="20"/>
      <c r="JF248" s="22"/>
      <c r="JG248" s="20"/>
      <c r="JH248" s="22"/>
      <c r="JI248" s="20"/>
      <c r="JJ248" s="22"/>
      <c r="JK248" s="20"/>
      <c r="JL248" s="22"/>
      <c r="JM248" s="20"/>
      <c r="JN248" s="22"/>
      <c r="JO248" s="20"/>
      <c r="JP248" s="22"/>
      <c r="JQ248" s="20"/>
      <c r="JR248" s="22"/>
      <c r="JS248" s="20"/>
      <c r="JT248" s="22"/>
      <c r="JU248" s="20"/>
      <c r="JV248" s="22"/>
      <c r="JW248" s="20"/>
      <c r="JX248" s="22"/>
      <c r="JY248" s="20"/>
      <c r="JZ248" s="22"/>
      <c r="KA248" s="20"/>
      <c r="KB248" s="22"/>
      <c r="KC248" s="20"/>
      <c r="KD248" s="22"/>
      <c r="KE248" s="20"/>
      <c r="KF248" s="22"/>
      <c r="KG248" s="20"/>
      <c r="KH248" s="22"/>
      <c r="KI248" s="20"/>
      <c r="KJ248" s="22"/>
      <c r="KK248" s="20"/>
      <c r="KL248" s="22"/>
      <c r="KM248" s="20"/>
      <c r="KN248" s="22"/>
      <c r="KO248" s="20"/>
      <c r="KP248" s="22"/>
      <c r="KQ248" s="20"/>
      <c r="KR248" s="22"/>
      <c r="KS248" s="20"/>
      <c r="KT248" s="22"/>
      <c r="KU248" s="20"/>
      <c r="KV248" s="22"/>
      <c r="KW248" s="20"/>
      <c r="KX248" s="22"/>
      <c r="KY248" s="20"/>
      <c r="KZ248" s="22"/>
      <c r="LA248" s="20"/>
      <c r="LB248" s="22"/>
      <c r="LC248" s="20"/>
      <c r="LD248" s="22"/>
      <c r="LE248" s="20"/>
      <c r="LF248" s="22"/>
      <c r="LG248" s="20"/>
      <c r="LH248" s="22"/>
      <c r="LI248" s="20"/>
      <c r="LJ248" s="22"/>
      <c r="LK248" s="20"/>
      <c r="LL248" s="22"/>
      <c r="LM248" s="20"/>
      <c r="LN248" s="22"/>
      <c r="LO248" s="20"/>
      <c r="LP248" s="22"/>
      <c r="LQ248" s="20"/>
      <c r="LR248" s="22"/>
      <c r="LS248" s="20"/>
      <c r="LT248" s="22"/>
      <c r="LU248" s="20"/>
      <c r="LV248" s="22"/>
      <c r="LW248" s="20"/>
      <c r="LX248" s="22"/>
      <c r="LY248" s="20"/>
      <c r="LZ248" s="22"/>
      <c r="MA248" s="20"/>
      <c r="MB248" s="22"/>
      <c r="MC248" s="20"/>
      <c r="MD248" s="22"/>
      <c r="ME248" s="20"/>
      <c r="MF248" s="22"/>
      <c r="MG248" s="20"/>
      <c r="MH248" s="22"/>
      <c r="MI248" s="20"/>
      <c r="MJ248" s="22"/>
      <c r="MK248" s="20"/>
      <c r="ML248" s="22"/>
      <c r="MM248" s="20"/>
      <c r="MN248" s="22"/>
      <c r="MO248" s="20"/>
      <c r="MP248" s="22"/>
      <c r="MQ248" s="20"/>
      <c r="MR248" s="22"/>
      <c r="MS248" s="20"/>
      <c r="MT248" s="22"/>
      <c r="MU248" s="20"/>
      <c r="MV248" s="22"/>
      <c r="MW248" s="20"/>
      <c r="MX248" s="22"/>
      <c r="MY248" s="20"/>
      <c r="MZ248" s="22"/>
      <c r="NA248" s="20"/>
      <c r="NB248" s="22"/>
      <c r="NC248" s="20"/>
      <c r="ND248" s="22"/>
      <c r="NE248" s="20"/>
      <c r="NF248" s="73"/>
    </row>
    <row r="249" hidden="1">
      <c r="A249" s="237"/>
      <c r="B249" s="267"/>
      <c r="C249" s="239">
        <v>46247.0</v>
      </c>
      <c r="D249" s="287" t="s">
        <v>430</v>
      </c>
      <c r="E249" s="242" t="s">
        <v>47</v>
      </c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  <c r="CI249" s="73"/>
      <c r="CJ249" s="73"/>
      <c r="CK249" s="73"/>
      <c r="CL249" s="73"/>
      <c r="CM249" s="73"/>
      <c r="CN249" s="73"/>
      <c r="CO249" s="73"/>
      <c r="CP249" s="73"/>
      <c r="CQ249" s="73"/>
      <c r="CR249" s="73"/>
      <c r="CS249" s="73"/>
      <c r="CT249" s="73"/>
      <c r="CU249" s="73"/>
      <c r="CV249" s="73"/>
      <c r="CW249" s="73"/>
      <c r="CX249" s="73"/>
      <c r="CY249" s="73"/>
      <c r="CZ249" s="73"/>
      <c r="DA249" s="73"/>
      <c r="DB249" s="73"/>
      <c r="DC249" s="73"/>
      <c r="DD249" s="73"/>
      <c r="DE249" s="73"/>
      <c r="DF249" s="73"/>
      <c r="DG249" s="73"/>
      <c r="DH249" s="73"/>
      <c r="DI249" s="73"/>
      <c r="DJ249" s="73"/>
      <c r="DK249" s="73"/>
      <c r="DL249" s="73"/>
      <c r="DM249" s="73"/>
      <c r="DN249" s="73"/>
      <c r="DO249" s="73"/>
      <c r="DP249" s="73"/>
      <c r="DQ249" s="73"/>
      <c r="DR249" s="73"/>
      <c r="DS249" s="73"/>
      <c r="DT249" s="73"/>
      <c r="DU249" s="73"/>
      <c r="DV249" s="22"/>
      <c r="DW249" s="20"/>
      <c r="DX249" s="22"/>
      <c r="DY249" s="20"/>
      <c r="DZ249" s="22"/>
      <c r="EA249" s="20"/>
      <c r="EB249" s="22"/>
      <c r="EC249" s="20"/>
      <c r="ED249" s="22"/>
      <c r="EE249" s="20"/>
      <c r="EF249" s="22"/>
      <c r="EG249" s="20"/>
      <c r="EH249" s="22"/>
      <c r="EI249" s="20"/>
      <c r="EJ249" s="22"/>
      <c r="EK249" s="20"/>
      <c r="EL249" s="22"/>
      <c r="EM249" s="20"/>
      <c r="EN249" s="22"/>
      <c r="EO249" s="20"/>
      <c r="EP249" s="22"/>
      <c r="EQ249" s="20"/>
      <c r="ER249" s="22"/>
      <c r="ES249" s="20"/>
      <c r="ET249" s="22"/>
      <c r="EU249" s="20"/>
      <c r="EV249" s="22"/>
      <c r="EW249" s="20"/>
      <c r="EX249" s="22"/>
      <c r="EY249" s="20"/>
      <c r="EZ249" s="22"/>
      <c r="FA249" s="20"/>
      <c r="FB249" s="22"/>
      <c r="FC249" s="20"/>
      <c r="FD249" s="22"/>
      <c r="FE249" s="20"/>
      <c r="FF249" s="22"/>
      <c r="FG249" s="20"/>
      <c r="FH249" s="22"/>
      <c r="FI249" s="20"/>
      <c r="FJ249" s="22"/>
      <c r="FK249" s="20"/>
      <c r="FL249" s="22"/>
      <c r="FM249" s="20"/>
      <c r="FN249" s="22"/>
      <c r="FO249" s="20"/>
      <c r="FP249" s="22"/>
      <c r="FQ249" s="20"/>
      <c r="FR249" s="22"/>
      <c r="FS249" s="20"/>
      <c r="FT249" s="22"/>
      <c r="FU249" s="20"/>
      <c r="FV249" s="22"/>
      <c r="FW249" s="20"/>
      <c r="FX249" s="22"/>
      <c r="FY249" s="20"/>
      <c r="FZ249" s="22"/>
      <c r="GA249" s="20"/>
      <c r="GB249" s="22"/>
      <c r="GC249" s="20"/>
      <c r="GD249" s="22"/>
      <c r="GE249" s="20"/>
      <c r="GF249" s="22"/>
      <c r="GG249" s="20"/>
      <c r="GH249" s="22"/>
      <c r="GI249" s="20"/>
      <c r="GJ249" s="22"/>
      <c r="GK249" s="20"/>
      <c r="GL249" s="22"/>
      <c r="GM249" s="20"/>
      <c r="GN249" s="22"/>
      <c r="GO249" s="20"/>
      <c r="GP249" s="22"/>
      <c r="GQ249" s="20"/>
      <c r="GR249" s="22"/>
      <c r="GS249" s="20"/>
      <c r="GT249" s="22"/>
      <c r="GU249" s="20"/>
      <c r="GV249" s="22"/>
      <c r="GW249" s="20"/>
      <c r="GX249" s="22"/>
      <c r="GY249" s="20"/>
      <c r="GZ249" s="22"/>
      <c r="HA249" s="20"/>
      <c r="HB249" s="22"/>
      <c r="HC249" s="20"/>
      <c r="HD249" s="22"/>
      <c r="HE249" s="20"/>
      <c r="HF249" s="22"/>
      <c r="HG249" s="20"/>
      <c r="HH249" s="22"/>
      <c r="HI249" s="20"/>
      <c r="HJ249" s="22"/>
      <c r="HK249" s="20"/>
      <c r="HL249" s="22"/>
      <c r="HM249" s="20"/>
      <c r="HN249" s="22"/>
      <c r="HO249" s="20"/>
      <c r="HP249" s="22"/>
      <c r="HQ249" s="20"/>
      <c r="HR249" s="22"/>
      <c r="HS249" s="20">
        <v>2.0</v>
      </c>
      <c r="HT249" s="22"/>
      <c r="HU249" s="20">
        <v>2.0</v>
      </c>
      <c r="HV249" s="20">
        <v>1.0</v>
      </c>
      <c r="HW249" s="20"/>
      <c r="HX249" s="22"/>
      <c r="HY249" s="20"/>
      <c r="HZ249" s="22"/>
      <c r="IA249" s="20"/>
      <c r="IB249" s="22"/>
      <c r="IC249" s="20"/>
      <c r="ID249" s="22"/>
      <c r="IE249" s="20"/>
      <c r="IF249" s="22"/>
      <c r="IG249" s="20"/>
      <c r="IH249" s="22"/>
      <c r="II249" s="20"/>
      <c r="IJ249" s="22"/>
      <c r="IK249" s="20"/>
      <c r="IL249" s="22"/>
      <c r="IM249" s="20"/>
      <c r="IN249" s="22"/>
      <c r="IO249" s="20"/>
      <c r="IP249" s="22"/>
      <c r="IQ249" s="20"/>
      <c r="IR249" s="22"/>
      <c r="IS249" s="20"/>
      <c r="IT249" s="22"/>
      <c r="IU249" s="20"/>
      <c r="IV249" s="22"/>
      <c r="IW249" s="20"/>
      <c r="IX249" s="22"/>
      <c r="IY249" s="20"/>
      <c r="IZ249" s="22"/>
      <c r="JA249" s="20"/>
      <c r="JB249" s="22"/>
      <c r="JC249" s="20"/>
      <c r="JD249" s="22"/>
      <c r="JE249" s="20"/>
      <c r="JF249" s="22"/>
      <c r="JG249" s="20"/>
      <c r="JH249" s="22"/>
      <c r="JI249" s="20"/>
      <c r="JJ249" s="22"/>
      <c r="JK249" s="20"/>
      <c r="JL249" s="22"/>
      <c r="JM249" s="20"/>
      <c r="JN249" s="22"/>
      <c r="JO249" s="20"/>
      <c r="JP249" s="22"/>
      <c r="JQ249" s="20"/>
      <c r="JR249" s="22"/>
      <c r="JS249" s="20"/>
      <c r="JT249" s="22"/>
      <c r="JU249" s="20"/>
      <c r="JV249" s="22"/>
      <c r="JW249" s="20"/>
      <c r="JX249" s="22"/>
      <c r="JY249" s="20"/>
      <c r="JZ249" s="22"/>
      <c r="KA249" s="20"/>
      <c r="KB249" s="22"/>
      <c r="KC249" s="20"/>
      <c r="KD249" s="22"/>
      <c r="KE249" s="20"/>
      <c r="KF249" s="22"/>
      <c r="KG249" s="20"/>
      <c r="KH249" s="22"/>
      <c r="KI249" s="20"/>
      <c r="KJ249" s="22"/>
      <c r="KK249" s="20"/>
      <c r="KL249" s="22"/>
      <c r="KM249" s="20"/>
      <c r="KN249" s="22"/>
      <c r="KO249" s="20"/>
      <c r="KP249" s="22"/>
      <c r="KQ249" s="20"/>
      <c r="KR249" s="22"/>
      <c r="KS249" s="20"/>
      <c r="KT249" s="22"/>
      <c r="KU249" s="20"/>
      <c r="KV249" s="22"/>
      <c r="KW249" s="20"/>
      <c r="KX249" s="22"/>
      <c r="KY249" s="20"/>
      <c r="KZ249" s="22"/>
      <c r="LA249" s="20"/>
      <c r="LB249" s="22"/>
      <c r="LC249" s="20"/>
      <c r="LD249" s="22"/>
      <c r="LE249" s="20"/>
      <c r="LF249" s="22"/>
      <c r="LG249" s="20"/>
      <c r="LH249" s="22"/>
      <c r="LI249" s="20"/>
      <c r="LJ249" s="22"/>
      <c r="LK249" s="20"/>
      <c r="LL249" s="22"/>
      <c r="LM249" s="20"/>
      <c r="LN249" s="22"/>
      <c r="LO249" s="20"/>
      <c r="LP249" s="22"/>
      <c r="LQ249" s="20"/>
      <c r="LR249" s="22"/>
      <c r="LS249" s="20"/>
      <c r="LT249" s="22"/>
      <c r="LU249" s="20"/>
      <c r="LV249" s="22"/>
      <c r="LW249" s="20"/>
      <c r="LX249" s="22"/>
      <c r="LY249" s="20"/>
      <c r="LZ249" s="22"/>
      <c r="MA249" s="20"/>
      <c r="MB249" s="22"/>
      <c r="MC249" s="20"/>
      <c r="MD249" s="22"/>
      <c r="ME249" s="20"/>
      <c r="MF249" s="22"/>
      <c r="MG249" s="20"/>
      <c r="MH249" s="22"/>
      <c r="MI249" s="20"/>
      <c r="MJ249" s="22"/>
      <c r="MK249" s="20"/>
      <c r="ML249" s="22"/>
      <c r="MM249" s="20"/>
      <c r="MN249" s="22"/>
      <c r="MO249" s="20"/>
      <c r="MP249" s="22"/>
      <c r="MQ249" s="20"/>
      <c r="MR249" s="22"/>
      <c r="MS249" s="20"/>
      <c r="MT249" s="22"/>
      <c r="MU249" s="20"/>
      <c r="MV249" s="22"/>
      <c r="MW249" s="20"/>
      <c r="MX249" s="22"/>
      <c r="MY249" s="20"/>
      <c r="MZ249" s="22"/>
      <c r="NA249" s="20"/>
      <c r="NB249" s="22"/>
      <c r="NC249" s="20"/>
      <c r="ND249" s="22"/>
      <c r="NE249" s="20"/>
      <c r="NF249" s="73"/>
    </row>
    <row r="250" hidden="1">
      <c r="A250" s="237"/>
      <c r="B250" s="267"/>
      <c r="C250" s="239">
        <v>46247.0</v>
      </c>
      <c r="D250" s="285" t="s">
        <v>431</v>
      </c>
      <c r="E250" s="242" t="s">
        <v>47</v>
      </c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  <c r="CI250" s="73"/>
      <c r="CJ250" s="73"/>
      <c r="CK250" s="73"/>
      <c r="CL250" s="73"/>
      <c r="CM250" s="73"/>
      <c r="CN250" s="73"/>
      <c r="CO250" s="73"/>
      <c r="CP250" s="73"/>
      <c r="CQ250" s="73"/>
      <c r="CR250" s="73"/>
      <c r="CS250" s="73"/>
      <c r="CT250" s="73"/>
      <c r="CU250" s="73"/>
      <c r="CV250" s="73"/>
      <c r="CW250" s="73"/>
      <c r="CX250" s="73"/>
      <c r="CY250" s="73"/>
      <c r="CZ250" s="73"/>
      <c r="DA250" s="73"/>
      <c r="DB250" s="73"/>
      <c r="DC250" s="73"/>
      <c r="DD250" s="73"/>
      <c r="DE250" s="73"/>
      <c r="DF250" s="73"/>
      <c r="DG250" s="73"/>
      <c r="DH250" s="73"/>
      <c r="DI250" s="73"/>
      <c r="DJ250" s="73"/>
      <c r="DK250" s="73"/>
      <c r="DL250" s="73"/>
      <c r="DM250" s="73"/>
      <c r="DN250" s="73"/>
      <c r="DO250" s="73"/>
      <c r="DP250" s="73"/>
      <c r="DQ250" s="73"/>
      <c r="DR250" s="73"/>
      <c r="DS250" s="73"/>
      <c r="DT250" s="73"/>
      <c r="DU250" s="73"/>
      <c r="DV250" s="22"/>
      <c r="DW250" s="20"/>
      <c r="DX250" s="22"/>
      <c r="DY250" s="20"/>
      <c r="DZ250" s="22"/>
      <c r="EA250" s="20"/>
      <c r="EB250" s="22"/>
      <c r="EC250" s="20"/>
      <c r="ED250" s="22"/>
      <c r="EE250" s="20"/>
      <c r="EF250" s="22"/>
      <c r="EG250" s="20"/>
      <c r="EH250" s="22"/>
      <c r="EI250" s="20"/>
      <c r="EJ250" s="22"/>
      <c r="EK250" s="20"/>
      <c r="EL250" s="22"/>
      <c r="EM250" s="20"/>
      <c r="EN250" s="22"/>
      <c r="EO250" s="20"/>
      <c r="EP250" s="22"/>
      <c r="EQ250" s="20"/>
      <c r="ER250" s="22"/>
      <c r="ES250" s="20"/>
      <c r="ET250" s="22"/>
      <c r="EU250" s="20"/>
      <c r="EV250" s="22"/>
      <c r="EW250" s="20"/>
      <c r="EX250" s="22"/>
      <c r="EY250" s="20"/>
      <c r="EZ250" s="22"/>
      <c r="FA250" s="20"/>
      <c r="FB250" s="22"/>
      <c r="FC250" s="20"/>
      <c r="FD250" s="22"/>
      <c r="FE250" s="20"/>
      <c r="FF250" s="22"/>
      <c r="FG250" s="20"/>
      <c r="FH250" s="22"/>
      <c r="FI250" s="20"/>
      <c r="FJ250" s="22"/>
      <c r="FK250" s="20"/>
      <c r="FL250" s="22"/>
      <c r="FM250" s="20"/>
      <c r="FN250" s="22"/>
      <c r="FO250" s="20"/>
      <c r="FP250" s="22"/>
      <c r="FQ250" s="20"/>
      <c r="FR250" s="22"/>
      <c r="FS250" s="20"/>
      <c r="FT250" s="22"/>
      <c r="FU250" s="20"/>
      <c r="FV250" s="22"/>
      <c r="FW250" s="20"/>
      <c r="FX250" s="22"/>
      <c r="FY250" s="20"/>
      <c r="FZ250" s="22"/>
      <c r="GA250" s="20"/>
      <c r="GB250" s="22"/>
      <c r="GC250" s="20"/>
      <c r="GD250" s="22"/>
      <c r="GE250" s="20"/>
      <c r="GF250" s="22"/>
      <c r="GG250" s="20"/>
      <c r="GH250" s="22"/>
      <c r="GI250" s="20"/>
      <c r="GJ250" s="22"/>
      <c r="GK250" s="20"/>
      <c r="GL250" s="22"/>
      <c r="GM250" s="20"/>
      <c r="GN250" s="22"/>
      <c r="GO250" s="20"/>
      <c r="GP250" s="22"/>
      <c r="GQ250" s="20"/>
      <c r="GR250" s="22"/>
      <c r="GS250" s="20"/>
      <c r="GT250" s="22"/>
      <c r="GU250" s="20"/>
      <c r="GV250" s="22"/>
      <c r="GW250" s="20"/>
      <c r="GX250" s="22"/>
      <c r="GY250" s="20"/>
      <c r="GZ250" s="22"/>
      <c r="HA250" s="20"/>
      <c r="HB250" s="22"/>
      <c r="HC250" s="20"/>
      <c r="HD250" s="22"/>
      <c r="HE250" s="20"/>
      <c r="HF250" s="22"/>
      <c r="HG250" s="20"/>
      <c r="HH250" s="22"/>
      <c r="HI250" s="20"/>
      <c r="HJ250" s="22"/>
      <c r="HK250" s="20"/>
      <c r="HL250" s="22"/>
      <c r="HM250" s="20"/>
      <c r="HN250" s="22"/>
      <c r="HO250" s="20"/>
      <c r="HP250" s="22"/>
      <c r="HQ250" s="20"/>
      <c r="HR250" s="22"/>
      <c r="HS250" s="20">
        <v>2.0</v>
      </c>
      <c r="HT250" s="22"/>
      <c r="HU250" s="20">
        <v>3.0</v>
      </c>
      <c r="HV250" s="20" t="s">
        <v>234</v>
      </c>
      <c r="HW250" s="73"/>
      <c r="HX250" s="22"/>
      <c r="HY250" s="20"/>
      <c r="HZ250" s="22"/>
      <c r="IA250" s="20"/>
      <c r="IB250" s="22"/>
      <c r="IC250" s="20"/>
      <c r="ID250" s="22"/>
      <c r="IE250" s="20"/>
      <c r="IF250" s="22"/>
      <c r="IG250" s="20"/>
      <c r="IH250" s="22"/>
      <c r="II250" s="20"/>
      <c r="IJ250" s="22"/>
      <c r="IK250" s="20"/>
      <c r="IL250" s="22"/>
      <c r="IM250" s="20"/>
      <c r="IN250" s="22"/>
      <c r="IO250" s="20"/>
      <c r="IP250" s="22"/>
      <c r="IQ250" s="20"/>
      <c r="IR250" s="22"/>
      <c r="IS250" s="20"/>
      <c r="IT250" s="22"/>
      <c r="IU250" s="20"/>
      <c r="IV250" s="22"/>
      <c r="IW250" s="20"/>
      <c r="IX250" s="22"/>
      <c r="IY250" s="20"/>
      <c r="IZ250" s="22"/>
      <c r="JA250" s="20"/>
      <c r="JB250" s="22"/>
      <c r="JC250" s="20"/>
      <c r="JD250" s="22"/>
      <c r="JE250" s="20"/>
      <c r="JF250" s="22"/>
      <c r="JG250" s="20"/>
      <c r="JH250" s="22"/>
      <c r="JI250" s="20"/>
      <c r="JJ250" s="22"/>
      <c r="JK250" s="20"/>
      <c r="JL250" s="22"/>
      <c r="JM250" s="20"/>
      <c r="JN250" s="22"/>
      <c r="JO250" s="20"/>
      <c r="JP250" s="22"/>
      <c r="JQ250" s="20"/>
      <c r="JR250" s="22"/>
      <c r="JS250" s="20"/>
      <c r="JT250" s="22"/>
      <c r="JU250" s="20"/>
      <c r="JV250" s="22"/>
      <c r="JW250" s="20"/>
      <c r="JX250" s="22"/>
      <c r="JY250" s="20"/>
      <c r="JZ250" s="22"/>
      <c r="KA250" s="20"/>
      <c r="KB250" s="22"/>
      <c r="KC250" s="20"/>
      <c r="KD250" s="22"/>
      <c r="KE250" s="20"/>
      <c r="KF250" s="22"/>
      <c r="KG250" s="20"/>
      <c r="KH250" s="22"/>
      <c r="KI250" s="20"/>
      <c r="KJ250" s="22"/>
      <c r="KK250" s="20"/>
      <c r="KL250" s="22"/>
      <c r="KM250" s="20"/>
      <c r="KN250" s="22"/>
      <c r="KO250" s="20"/>
      <c r="KP250" s="22"/>
      <c r="KQ250" s="20"/>
      <c r="KR250" s="22"/>
      <c r="KS250" s="20"/>
      <c r="KT250" s="22"/>
      <c r="KU250" s="20"/>
      <c r="KV250" s="22"/>
      <c r="KW250" s="20"/>
      <c r="KX250" s="22"/>
      <c r="KY250" s="20"/>
      <c r="KZ250" s="22"/>
      <c r="LA250" s="20"/>
      <c r="LB250" s="22"/>
      <c r="LC250" s="20"/>
      <c r="LD250" s="22"/>
      <c r="LE250" s="20"/>
      <c r="LF250" s="22"/>
      <c r="LG250" s="20"/>
      <c r="LH250" s="22"/>
      <c r="LI250" s="20"/>
      <c r="LJ250" s="22"/>
      <c r="LK250" s="20"/>
      <c r="LL250" s="22"/>
      <c r="LM250" s="20"/>
      <c r="LN250" s="22"/>
      <c r="LO250" s="20"/>
      <c r="LP250" s="22"/>
      <c r="LQ250" s="20"/>
      <c r="LR250" s="22"/>
      <c r="LS250" s="20"/>
      <c r="LT250" s="22"/>
      <c r="LU250" s="20"/>
      <c r="LV250" s="22"/>
      <c r="LW250" s="20"/>
      <c r="LX250" s="22"/>
      <c r="LY250" s="20"/>
      <c r="LZ250" s="22"/>
      <c r="MA250" s="20"/>
      <c r="MB250" s="22"/>
      <c r="MC250" s="20"/>
      <c r="MD250" s="22"/>
      <c r="ME250" s="20"/>
      <c r="MF250" s="22"/>
      <c r="MG250" s="20"/>
      <c r="MH250" s="22"/>
      <c r="MI250" s="20"/>
      <c r="MJ250" s="22"/>
      <c r="MK250" s="20"/>
      <c r="ML250" s="22"/>
      <c r="MM250" s="20"/>
      <c r="MN250" s="22"/>
      <c r="MO250" s="20"/>
      <c r="MP250" s="22"/>
      <c r="MQ250" s="20"/>
      <c r="MR250" s="22"/>
      <c r="MS250" s="20"/>
      <c r="MT250" s="22"/>
      <c r="MU250" s="20"/>
      <c r="MV250" s="22"/>
      <c r="MW250" s="20"/>
      <c r="MX250" s="22"/>
      <c r="MY250" s="20"/>
      <c r="MZ250" s="22"/>
      <c r="NA250" s="20"/>
      <c r="NB250" s="22"/>
      <c r="NC250" s="20"/>
      <c r="ND250" s="22"/>
      <c r="NE250" s="20"/>
      <c r="NF250" s="73"/>
    </row>
    <row r="251" hidden="1">
      <c r="A251" s="237"/>
      <c r="B251" s="267"/>
      <c r="C251" s="239">
        <v>46247.0</v>
      </c>
      <c r="D251" s="285" t="s">
        <v>432</v>
      </c>
      <c r="E251" s="242" t="s">
        <v>47</v>
      </c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  <c r="CI251" s="73"/>
      <c r="CJ251" s="73"/>
      <c r="CK251" s="73"/>
      <c r="CL251" s="73"/>
      <c r="CM251" s="73"/>
      <c r="CN251" s="73"/>
      <c r="CO251" s="73"/>
      <c r="CP251" s="73"/>
      <c r="CQ251" s="73"/>
      <c r="CR251" s="73"/>
      <c r="CS251" s="73"/>
      <c r="CT251" s="73"/>
      <c r="CU251" s="73"/>
      <c r="CV251" s="73"/>
      <c r="CW251" s="73"/>
      <c r="CX251" s="73"/>
      <c r="CY251" s="73"/>
      <c r="CZ251" s="73"/>
      <c r="DA251" s="73"/>
      <c r="DB251" s="73"/>
      <c r="DC251" s="73"/>
      <c r="DD251" s="73"/>
      <c r="DE251" s="73"/>
      <c r="DF251" s="73"/>
      <c r="DG251" s="73"/>
      <c r="DH251" s="73"/>
      <c r="DI251" s="73"/>
      <c r="DJ251" s="73"/>
      <c r="DK251" s="73"/>
      <c r="DL251" s="73"/>
      <c r="DM251" s="73"/>
      <c r="DN251" s="73"/>
      <c r="DO251" s="73"/>
      <c r="DP251" s="73"/>
      <c r="DQ251" s="73"/>
      <c r="DR251" s="73"/>
      <c r="DS251" s="73"/>
      <c r="DT251" s="73"/>
      <c r="DU251" s="73"/>
      <c r="DV251" s="22"/>
      <c r="DW251" s="20"/>
      <c r="DX251" s="22"/>
      <c r="DY251" s="20"/>
      <c r="DZ251" s="22"/>
      <c r="EA251" s="20"/>
      <c r="EB251" s="22"/>
      <c r="EC251" s="20"/>
      <c r="ED251" s="22"/>
      <c r="EE251" s="20"/>
      <c r="EF251" s="22"/>
      <c r="EG251" s="20"/>
      <c r="EH251" s="22"/>
      <c r="EI251" s="20"/>
      <c r="EJ251" s="22"/>
      <c r="EK251" s="20"/>
      <c r="EL251" s="22"/>
      <c r="EM251" s="20"/>
      <c r="EN251" s="22"/>
      <c r="EO251" s="20"/>
      <c r="EP251" s="22"/>
      <c r="EQ251" s="20"/>
      <c r="ER251" s="22"/>
      <c r="ES251" s="20"/>
      <c r="ET251" s="22"/>
      <c r="EU251" s="20"/>
      <c r="EV251" s="22"/>
      <c r="EW251" s="20"/>
      <c r="EX251" s="22"/>
      <c r="EY251" s="20"/>
      <c r="EZ251" s="22"/>
      <c r="FA251" s="20"/>
      <c r="FB251" s="22"/>
      <c r="FC251" s="20"/>
      <c r="FD251" s="22"/>
      <c r="FE251" s="20"/>
      <c r="FF251" s="22"/>
      <c r="FG251" s="20"/>
      <c r="FH251" s="22"/>
      <c r="FI251" s="20"/>
      <c r="FJ251" s="22"/>
      <c r="FK251" s="20"/>
      <c r="FL251" s="22"/>
      <c r="FM251" s="20"/>
      <c r="FN251" s="22"/>
      <c r="FO251" s="20"/>
      <c r="FP251" s="22"/>
      <c r="FQ251" s="20"/>
      <c r="FR251" s="22"/>
      <c r="FS251" s="20"/>
      <c r="FT251" s="22"/>
      <c r="FU251" s="20"/>
      <c r="FV251" s="22"/>
      <c r="FW251" s="20"/>
      <c r="FX251" s="22"/>
      <c r="FY251" s="20"/>
      <c r="FZ251" s="22"/>
      <c r="GA251" s="20"/>
      <c r="GB251" s="22"/>
      <c r="GC251" s="20"/>
      <c r="GD251" s="22"/>
      <c r="GE251" s="20"/>
      <c r="GF251" s="22"/>
      <c r="GG251" s="20"/>
      <c r="GH251" s="22"/>
      <c r="GI251" s="20"/>
      <c r="GJ251" s="22"/>
      <c r="GK251" s="20"/>
      <c r="GL251" s="22"/>
      <c r="GM251" s="20"/>
      <c r="GN251" s="22"/>
      <c r="GO251" s="20"/>
      <c r="GP251" s="22"/>
      <c r="GQ251" s="20"/>
      <c r="GR251" s="22"/>
      <c r="GS251" s="20"/>
      <c r="GT251" s="22"/>
      <c r="GU251" s="20"/>
      <c r="GV251" s="22"/>
      <c r="GW251" s="20"/>
      <c r="GX251" s="22"/>
      <c r="GY251" s="20"/>
      <c r="GZ251" s="22"/>
      <c r="HA251" s="20"/>
      <c r="HB251" s="22"/>
      <c r="HC251" s="20"/>
      <c r="HD251" s="22"/>
      <c r="HE251" s="20"/>
      <c r="HF251" s="22"/>
      <c r="HG251" s="20"/>
      <c r="HH251" s="22"/>
      <c r="HI251" s="20"/>
      <c r="HJ251" s="22"/>
      <c r="HK251" s="20"/>
      <c r="HL251" s="22"/>
      <c r="HM251" s="20"/>
      <c r="HN251" s="22"/>
      <c r="HO251" s="20"/>
      <c r="HP251" s="22"/>
      <c r="HQ251" s="20"/>
      <c r="HR251" s="22"/>
      <c r="HS251" s="20">
        <v>1.0</v>
      </c>
      <c r="HT251" s="22"/>
      <c r="HU251" s="20"/>
      <c r="HV251" s="20">
        <v>3.0</v>
      </c>
      <c r="HW251" s="73"/>
      <c r="HX251" s="22"/>
      <c r="HY251" s="20"/>
      <c r="HZ251" s="22"/>
      <c r="IA251" s="20"/>
      <c r="IB251" s="22"/>
      <c r="IC251" s="20"/>
      <c r="ID251" s="22"/>
      <c r="IE251" s="20"/>
      <c r="IF251" s="22"/>
      <c r="IG251" s="20"/>
      <c r="IH251" s="22"/>
      <c r="II251" s="20"/>
      <c r="IJ251" s="22"/>
      <c r="IK251" s="20"/>
      <c r="IL251" s="22"/>
      <c r="IM251" s="20"/>
      <c r="IN251" s="22"/>
      <c r="IO251" s="20"/>
      <c r="IP251" s="22"/>
      <c r="IQ251" s="20"/>
      <c r="IR251" s="22"/>
      <c r="IS251" s="20"/>
      <c r="IT251" s="22"/>
      <c r="IU251" s="20"/>
      <c r="IV251" s="22"/>
      <c r="IW251" s="20"/>
      <c r="IX251" s="22"/>
      <c r="IY251" s="20"/>
      <c r="IZ251" s="22"/>
      <c r="JA251" s="20"/>
      <c r="JB251" s="22"/>
      <c r="JC251" s="20"/>
      <c r="JD251" s="22"/>
      <c r="JE251" s="20"/>
      <c r="JF251" s="22"/>
      <c r="JG251" s="20"/>
      <c r="JH251" s="22"/>
      <c r="JI251" s="20"/>
      <c r="JJ251" s="22"/>
      <c r="JK251" s="20"/>
      <c r="JL251" s="22"/>
      <c r="JM251" s="20"/>
      <c r="JN251" s="22"/>
      <c r="JO251" s="20"/>
      <c r="JP251" s="22"/>
      <c r="JQ251" s="20"/>
      <c r="JR251" s="22"/>
      <c r="JS251" s="20"/>
      <c r="JT251" s="22"/>
      <c r="JU251" s="20"/>
      <c r="JV251" s="22"/>
      <c r="JW251" s="20"/>
      <c r="JX251" s="22"/>
      <c r="JY251" s="20"/>
      <c r="JZ251" s="22"/>
      <c r="KA251" s="20"/>
      <c r="KB251" s="22"/>
      <c r="KC251" s="20"/>
      <c r="KD251" s="22"/>
      <c r="KE251" s="20"/>
      <c r="KF251" s="22"/>
      <c r="KG251" s="20"/>
      <c r="KH251" s="22"/>
      <c r="KI251" s="20"/>
      <c r="KJ251" s="22"/>
      <c r="KK251" s="20"/>
      <c r="KL251" s="22"/>
      <c r="KM251" s="20"/>
      <c r="KN251" s="22"/>
      <c r="KO251" s="20"/>
      <c r="KP251" s="22"/>
      <c r="KQ251" s="20"/>
      <c r="KR251" s="22"/>
      <c r="KS251" s="20"/>
      <c r="KT251" s="22"/>
      <c r="KU251" s="20"/>
      <c r="KV251" s="22"/>
      <c r="KW251" s="20"/>
      <c r="KX251" s="22"/>
      <c r="KY251" s="20"/>
      <c r="KZ251" s="22"/>
      <c r="LA251" s="20"/>
      <c r="LB251" s="22"/>
      <c r="LC251" s="20"/>
      <c r="LD251" s="22"/>
      <c r="LE251" s="20"/>
      <c r="LF251" s="22"/>
      <c r="LG251" s="20"/>
      <c r="LH251" s="22"/>
      <c r="LI251" s="20"/>
      <c r="LJ251" s="22"/>
      <c r="LK251" s="20"/>
      <c r="LL251" s="22"/>
      <c r="LM251" s="20"/>
      <c r="LN251" s="22"/>
      <c r="LO251" s="20"/>
      <c r="LP251" s="22"/>
      <c r="LQ251" s="20"/>
      <c r="LR251" s="22"/>
      <c r="LS251" s="20"/>
      <c r="LT251" s="22"/>
      <c r="LU251" s="20"/>
      <c r="LV251" s="22"/>
      <c r="LW251" s="20"/>
      <c r="LX251" s="22"/>
      <c r="LY251" s="20"/>
      <c r="LZ251" s="22"/>
      <c r="MA251" s="20"/>
      <c r="MB251" s="22"/>
      <c r="MC251" s="20"/>
      <c r="MD251" s="22"/>
      <c r="ME251" s="20"/>
      <c r="MF251" s="22"/>
      <c r="MG251" s="20"/>
      <c r="MH251" s="22"/>
      <c r="MI251" s="20"/>
      <c r="MJ251" s="22"/>
      <c r="MK251" s="20"/>
      <c r="ML251" s="22"/>
      <c r="MM251" s="20"/>
      <c r="MN251" s="22"/>
      <c r="MO251" s="20"/>
      <c r="MP251" s="22"/>
      <c r="MQ251" s="20"/>
      <c r="MR251" s="22"/>
      <c r="MS251" s="20"/>
      <c r="MT251" s="22"/>
      <c r="MU251" s="20"/>
      <c r="MV251" s="22"/>
      <c r="MW251" s="20"/>
      <c r="MX251" s="22"/>
      <c r="MY251" s="20"/>
      <c r="MZ251" s="22"/>
      <c r="NA251" s="20"/>
      <c r="NB251" s="22"/>
      <c r="NC251" s="20"/>
      <c r="ND251" s="22"/>
      <c r="NE251" s="20"/>
      <c r="NF251" s="73"/>
    </row>
    <row r="252" hidden="1">
      <c r="A252" s="237"/>
      <c r="B252" s="267"/>
      <c r="C252" s="239">
        <v>46248.0</v>
      </c>
      <c r="D252" s="285" t="s">
        <v>433</v>
      </c>
      <c r="E252" s="242" t="s">
        <v>47</v>
      </c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  <c r="CI252" s="73"/>
      <c r="CJ252" s="73"/>
      <c r="CK252" s="73"/>
      <c r="CL252" s="73"/>
      <c r="CM252" s="73"/>
      <c r="CN252" s="73"/>
      <c r="CO252" s="73"/>
      <c r="CP252" s="73"/>
      <c r="CQ252" s="73"/>
      <c r="CR252" s="73"/>
      <c r="CS252" s="73"/>
      <c r="CT252" s="73"/>
      <c r="CU252" s="73"/>
      <c r="CV252" s="73"/>
      <c r="CW252" s="73"/>
      <c r="CX252" s="73"/>
      <c r="CY252" s="73"/>
      <c r="CZ252" s="73"/>
      <c r="DA252" s="73"/>
      <c r="DB252" s="73"/>
      <c r="DC252" s="73"/>
      <c r="DD252" s="73"/>
      <c r="DE252" s="73"/>
      <c r="DF252" s="73"/>
      <c r="DG252" s="73"/>
      <c r="DH252" s="73"/>
      <c r="DI252" s="73"/>
      <c r="DJ252" s="73"/>
      <c r="DK252" s="73"/>
      <c r="DL252" s="73"/>
      <c r="DM252" s="73"/>
      <c r="DN252" s="73"/>
      <c r="DO252" s="73"/>
      <c r="DP252" s="73"/>
      <c r="DQ252" s="73"/>
      <c r="DR252" s="73"/>
      <c r="DS252" s="73"/>
      <c r="DT252" s="73"/>
      <c r="DU252" s="73"/>
      <c r="DV252" s="22"/>
      <c r="DW252" s="20"/>
      <c r="DX252" s="22"/>
      <c r="DY252" s="20"/>
      <c r="DZ252" s="22"/>
      <c r="EA252" s="20"/>
      <c r="EB252" s="22"/>
      <c r="EC252" s="20"/>
      <c r="ED252" s="22"/>
      <c r="EE252" s="20"/>
      <c r="EF252" s="22"/>
      <c r="EG252" s="20"/>
      <c r="EH252" s="22"/>
      <c r="EI252" s="20"/>
      <c r="EJ252" s="22"/>
      <c r="EK252" s="20"/>
      <c r="EL252" s="22"/>
      <c r="EM252" s="20"/>
      <c r="EN252" s="22"/>
      <c r="EO252" s="20"/>
      <c r="EP252" s="22"/>
      <c r="EQ252" s="20"/>
      <c r="ER252" s="22"/>
      <c r="ES252" s="20"/>
      <c r="ET252" s="22"/>
      <c r="EU252" s="20"/>
      <c r="EV252" s="22"/>
      <c r="EW252" s="20"/>
      <c r="EX252" s="22"/>
      <c r="EY252" s="20"/>
      <c r="EZ252" s="22"/>
      <c r="FA252" s="20"/>
      <c r="FB252" s="22"/>
      <c r="FC252" s="20"/>
      <c r="FD252" s="22"/>
      <c r="FE252" s="20"/>
      <c r="FF252" s="22"/>
      <c r="FG252" s="20"/>
      <c r="FH252" s="22"/>
      <c r="FI252" s="20"/>
      <c r="FJ252" s="22"/>
      <c r="FK252" s="20"/>
      <c r="FL252" s="22"/>
      <c r="FM252" s="20"/>
      <c r="FN252" s="22"/>
      <c r="FO252" s="20"/>
      <c r="FP252" s="22"/>
      <c r="FQ252" s="20"/>
      <c r="FR252" s="22"/>
      <c r="FS252" s="20"/>
      <c r="FT252" s="22"/>
      <c r="FU252" s="20"/>
      <c r="FV252" s="22"/>
      <c r="FW252" s="20"/>
      <c r="FX252" s="22"/>
      <c r="FY252" s="20"/>
      <c r="FZ252" s="22"/>
      <c r="GA252" s="20"/>
      <c r="GB252" s="22"/>
      <c r="GC252" s="20"/>
      <c r="GD252" s="22"/>
      <c r="GE252" s="20"/>
      <c r="GF252" s="22"/>
      <c r="GG252" s="20"/>
      <c r="GH252" s="22"/>
      <c r="GI252" s="20"/>
      <c r="GJ252" s="22"/>
      <c r="GK252" s="20"/>
      <c r="GL252" s="22"/>
      <c r="GM252" s="20"/>
      <c r="GN252" s="22"/>
      <c r="GO252" s="20"/>
      <c r="GP252" s="22"/>
      <c r="GQ252" s="20"/>
      <c r="GR252" s="22"/>
      <c r="GS252" s="20"/>
      <c r="GT252" s="22"/>
      <c r="GU252" s="20"/>
      <c r="GV252" s="22"/>
      <c r="GW252" s="20"/>
      <c r="GX252" s="22"/>
      <c r="GY252" s="20"/>
      <c r="GZ252" s="22"/>
      <c r="HA252" s="20"/>
      <c r="HB252" s="22"/>
      <c r="HC252" s="20"/>
      <c r="HD252" s="22"/>
      <c r="HE252" s="20"/>
      <c r="HF252" s="22"/>
      <c r="HG252" s="20"/>
      <c r="HH252" s="22"/>
      <c r="HI252" s="20"/>
      <c r="HJ252" s="22"/>
      <c r="HK252" s="20"/>
      <c r="HL252" s="22"/>
      <c r="HM252" s="20"/>
      <c r="HN252" s="22"/>
      <c r="HO252" s="20"/>
      <c r="HP252" s="22"/>
      <c r="HQ252" s="20"/>
      <c r="HR252" s="22"/>
      <c r="HS252" s="20">
        <v>1.0</v>
      </c>
      <c r="HT252" s="22"/>
      <c r="HU252" s="20">
        <v>1.0</v>
      </c>
      <c r="HV252" s="20">
        <v>2.0</v>
      </c>
      <c r="HW252" s="20">
        <v>4.0</v>
      </c>
      <c r="HX252" s="22"/>
      <c r="HY252" s="20"/>
      <c r="HZ252" s="22"/>
      <c r="IA252" s="20"/>
      <c r="IB252" s="22"/>
      <c r="IC252" s="20"/>
      <c r="ID252" s="22"/>
      <c r="IE252" s="20"/>
      <c r="IF252" s="22"/>
      <c r="IG252" s="20"/>
      <c r="IH252" s="22"/>
      <c r="II252" s="20"/>
      <c r="IJ252" s="22"/>
      <c r="IK252" s="20"/>
      <c r="IL252" s="22"/>
      <c r="IM252" s="20"/>
      <c r="IN252" s="22"/>
      <c r="IO252" s="20"/>
      <c r="IP252" s="22"/>
      <c r="IQ252" s="20"/>
      <c r="IR252" s="22"/>
      <c r="IS252" s="20"/>
      <c r="IT252" s="22"/>
      <c r="IU252" s="20"/>
      <c r="IV252" s="22"/>
      <c r="IW252" s="20"/>
      <c r="IX252" s="22"/>
      <c r="IY252" s="20"/>
      <c r="IZ252" s="22"/>
      <c r="JA252" s="20"/>
      <c r="JB252" s="22"/>
      <c r="JC252" s="20"/>
      <c r="JD252" s="22"/>
      <c r="JE252" s="20"/>
      <c r="JF252" s="22"/>
      <c r="JG252" s="20"/>
      <c r="JH252" s="22"/>
      <c r="JI252" s="20"/>
      <c r="JJ252" s="22"/>
      <c r="JK252" s="20"/>
      <c r="JL252" s="22"/>
      <c r="JM252" s="20"/>
      <c r="JN252" s="22"/>
      <c r="JO252" s="20"/>
      <c r="JP252" s="22"/>
      <c r="JQ252" s="20"/>
      <c r="JR252" s="22"/>
      <c r="JS252" s="20"/>
      <c r="JT252" s="22"/>
      <c r="JU252" s="20"/>
      <c r="JV252" s="22"/>
      <c r="JW252" s="20"/>
      <c r="JX252" s="22"/>
      <c r="JY252" s="20"/>
      <c r="JZ252" s="22"/>
      <c r="KA252" s="20"/>
      <c r="KB252" s="22"/>
      <c r="KC252" s="20"/>
      <c r="KD252" s="22"/>
      <c r="KE252" s="20"/>
      <c r="KF252" s="22"/>
      <c r="KG252" s="20"/>
      <c r="KH252" s="22"/>
      <c r="KI252" s="20"/>
      <c r="KJ252" s="22"/>
      <c r="KK252" s="20"/>
      <c r="KL252" s="22"/>
      <c r="KM252" s="20"/>
      <c r="KN252" s="22"/>
      <c r="KO252" s="20"/>
      <c r="KP252" s="22"/>
      <c r="KQ252" s="20"/>
      <c r="KR252" s="22"/>
      <c r="KS252" s="20"/>
      <c r="KT252" s="22"/>
      <c r="KU252" s="20"/>
      <c r="KV252" s="22"/>
      <c r="KW252" s="20"/>
      <c r="KX252" s="22"/>
      <c r="KY252" s="20"/>
      <c r="KZ252" s="22"/>
      <c r="LA252" s="20"/>
      <c r="LB252" s="22"/>
      <c r="LC252" s="20"/>
      <c r="LD252" s="22"/>
      <c r="LE252" s="20"/>
      <c r="LF252" s="22"/>
      <c r="LG252" s="20"/>
      <c r="LH252" s="22"/>
      <c r="LI252" s="20"/>
      <c r="LJ252" s="22"/>
      <c r="LK252" s="20"/>
      <c r="LL252" s="22"/>
      <c r="LM252" s="20"/>
      <c r="LN252" s="22"/>
      <c r="LO252" s="20"/>
      <c r="LP252" s="22"/>
      <c r="LQ252" s="20"/>
      <c r="LR252" s="22"/>
      <c r="LS252" s="20"/>
      <c r="LT252" s="22"/>
      <c r="LU252" s="20"/>
      <c r="LV252" s="22"/>
      <c r="LW252" s="20"/>
      <c r="LX252" s="22"/>
      <c r="LY252" s="20"/>
      <c r="LZ252" s="22"/>
      <c r="MA252" s="20"/>
      <c r="MB252" s="22"/>
      <c r="MC252" s="20"/>
      <c r="MD252" s="22"/>
      <c r="ME252" s="20"/>
      <c r="MF252" s="22"/>
      <c r="MG252" s="20"/>
      <c r="MH252" s="22"/>
      <c r="MI252" s="20"/>
      <c r="MJ252" s="22"/>
      <c r="MK252" s="20"/>
      <c r="ML252" s="22"/>
      <c r="MM252" s="20"/>
      <c r="MN252" s="22"/>
      <c r="MO252" s="20"/>
      <c r="MP252" s="22"/>
      <c r="MQ252" s="20"/>
      <c r="MR252" s="22"/>
      <c r="MS252" s="20"/>
      <c r="MT252" s="22"/>
      <c r="MU252" s="20"/>
      <c r="MV252" s="22"/>
      <c r="MW252" s="20"/>
      <c r="MX252" s="22"/>
      <c r="MY252" s="20"/>
      <c r="MZ252" s="22"/>
      <c r="NA252" s="20"/>
      <c r="NB252" s="22"/>
      <c r="NC252" s="20"/>
      <c r="ND252" s="22"/>
      <c r="NE252" s="20"/>
      <c r="NF252" s="73"/>
    </row>
    <row r="253" hidden="1">
      <c r="A253" s="237"/>
      <c r="B253" s="267"/>
      <c r="C253" s="239">
        <v>46252.0</v>
      </c>
      <c r="D253" s="287" t="s">
        <v>434</v>
      </c>
      <c r="E253" s="242" t="s">
        <v>47</v>
      </c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  <c r="CI253" s="73"/>
      <c r="CJ253" s="73"/>
      <c r="CK253" s="73"/>
      <c r="CL253" s="73"/>
      <c r="CM253" s="73"/>
      <c r="CN253" s="73"/>
      <c r="CO253" s="73"/>
      <c r="CP253" s="73"/>
      <c r="CQ253" s="73"/>
      <c r="CR253" s="73"/>
      <c r="CS253" s="73"/>
      <c r="CT253" s="73"/>
      <c r="CU253" s="73"/>
      <c r="CV253" s="73"/>
      <c r="CW253" s="73"/>
      <c r="CX253" s="73"/>
      <c r="CY253" s="73"/>
      <c r="CZ253" s="73"/>
      <c r="DA253" s="73"/>
      <c r="DB253" s="73"/>
      <c r="DC253" s="73"/>
      <c r="DD253" s="73"/>
      <c r="DE253" s="73"/>
      <c r="DF253" s="73"/>
      <c r="DG253" s="73"/>
      <c r="DH253" s="73"/>
      <c r="DI253" s="73"/>
      <c r="DJ253" s="73"/>
      <c r="DK253" s="73"/>
      <c r="DL253" s="73"/>
      <c r="DM253" s="73"/>
      <c r="DN253" s="73"/>
      <c r="DO253" s="73"/>
      <c r="DP253" s="73"/>
      <c r="DQ253" s="73"/>
      <c r="DR253" s="73"/>
      <c r="DS253" s="73"/>
      <c r="DT253" s="73"/>
      <c r="DU253" s="73"/>
      <c r="DV253" s="22"/>
      <c r="DW253" s="20"/>
      <c r="DX253" s="22"/>
      <c r="DY253" s="20"/>
      <c r="DZ253" s="22"/>
      <c r="EA253" s="20"/>
      <c r="EB253" s="22"/>
      <c r="EC253" s="20"/>
      <c r="ED253" s="22"/>
      <c r="EE253" s="20"/>
      <c r="EF253" s="22"/>
      <c r="EG253" s="20"/>
      <c r="EH253" s="22"/>
      <c r="EI253" s="20"/>
      <c r="EJ253" s="22"/>
      <c r="EK253" s="20"/>
      <c r="EL253" s="22"/>
      <c r="EM253" s="20"/>
      <c r="EN253" s="22"/>
      <c r="EO253" s="20"/>
      <c r="EP253" s="22"/>
      <c r="EQ253" s="20"/>
      <c r="ER253" s="22"/>
      <c r="ES253" s="20"/>
      <c r="ET253" s="22"/>
      <c r="EU253" s="20"/>
      <c r="EV253" s="22"/>
      <c r="EW253" s="20"/>
      <c r="EX253" s="22"/>
      <c r="EY253" s="20"/>
      <c r="EZ253" s="22"/>
      <c r="FA253" s="20"/>
      <c r="FB253" s="22"/>
      <c r="FC253" s="20"/>
      <c r="FD253" s="22"/>
      <c r="FE253" s="20"/>
      <c r="FF253" s="22"/>
      <c r="FG253" s="20"/>
      <c r="FH253" s="22"/>
      <c r="FI253" s="20"/>
      <c r="FJ253" s="22"/>
      <c r="FK253" s="20"/>
      <c r="FL253" s="22"/>
      <c r="FM253" s="20"/>
      <c r="FN253" s="22"/>
      <c r="FO253" s="20"/>
      <c r="FP253" s="22"/>
      <c r="FQ253" s="20"/>
      <c r="FR253" s="22"/>
      <c r="FS253" s="20"/>
      <c r="FT253" s="22"/>
      <c r="FU253" s="20"/>
      <c r="FV253" s="22"/>
      <c r="FW253" s="20"/>
      <c r="FX253" s="22"/>
      <c r="FY253" s="20"/>
      <c r="FZ253" s="22"/>
      <c r="GA253" s="20"/>
      <c r="GB253" s="22"/>
      <c r="GC253" s="20"/>
      <c r="GD253" s="22"/>
      <c r="GE253" s="20"/>
      <c r="GF253" s="22"/>
      <c r="GG253" s="20"/>
      <c r="GH253" s="22"/>
      <c r="GI253" s="20"/>
      <c r="GJ253" s="22"/>
      <c r="GK253" s="20"/>
      <c r="GL253" s="22"/>
      <c r="GM253" s="20"/>
      <c r="GN253" s="22"/>
      <c r="GO253" s="20"/>
      <c r="GP253" s="22"/>
      <c r="GQ253" s="20"/>
      <c r="GR253" s="22"/>
      <c r="GS253" s="20"/>
      <c r="GT253" s="22"/>
      <c r="GU253" s="20"/>
      <c r="GV253" s="22"/>
      <c r="GW253" s="20"/>
      <c r="GX253" s="22"/>
      <c r="GY253" s="20"/>
      <c r="GZ253" s="22"/>
      <c r="HA253" s="20"/>
      <c r="HB253" s="22"/>
      <c r="HC253" s="20"/>
      <c r="HD253" s="22"/>
      <c r="HE253" s="20"/>
      <c r="HF253" s="22"/>
      <c r="HG253" s="20"/>
      <c r="HH253" s="22"/>
      <c r="HI253" s="20"/>
      <c r="HJ253" s="22"/>
      <c r="HK253" s="20"/>
      <c r="HL253" s="22"/>
      <c r="HM253" s="20"/>
      <c r="HN253" s="22"/>
      <c r="HO253" s="20"/>
      <c r="HP253" s="22"/>
      <c r="HQ253" s="20"/>
      <c r="HR253" s="22"/>
      <c r="HS253" s="20"/>
      <c r="HT253" s="22"/>
      <c r="HU253" s="20"/>
      <c r="HV253" s="22"/>
      <c r="HW253" s="20"/>
      <c r="HX253" s="22"/>
      <c r="HY253" s="20"/>
      <c r="HZ253" s="22"/>
      <c r="IA253" s="20">
        <v>4.0</v>
      </c>
      <c r="IB253" s="22"/>
      <c r="IC253" s="20"/>
      <c r="ID253" s="22"/>
      <c r="IE253" s="20"/>
      <c r="IF253" s="22"/>
      <c r="IG253" s="20"/>
      <c r="IH253" s="22"/>
      <c r="II253" s="20"/>
      <c r="IJ253" s="22"/>
      <c r="IK253" s="20"/>
      <c r="IL253" s="22"/>
      <c r="IM253" s="20"/>
      <c r="IN253" s="22"/>
      <c r="IO253" s="20"/>
      <c r="IP253" s="22"/>
      <c r="IQ253" s="20"/>
      <c r="IR253" s="22"/>
      <c r="IS253" s="20"/>
      <c r="IT253" s="22"/>
      <c r="IU253" s="20"/>
      <c r="IV253" s="22"/>
      <c r="IW253" s="20"/>
      <c r="IX253" s="22"/>
      <c r="IY253" s="20"/>
      <c r="IZ253" s="22"/>
      <c r="JA253" s="20"/>
      <c r="JB253" s="22"/>
      <c r="JC253" s="20"/>
      <c r="JD253" s="22"/>
      <c r="JE253" s="20"/>
      <c r="JF253" s="22"/>
      <c r="JG253" s="20"/>
      <c r="JH253" s="22"/>
      <c r="JI253" s="20"/>
      <c r="JJ253" s="22"/>
      <c r="JK253" s="20"/>
      <c r="JL253" s="22"/>
      <c r="JM253" s="20"/>
      <c r="JN253" s="22"/>
      <c r="JO253" s="20"/>
      <c r="JP253" s="22"/>
      <c r="JQ253" s="20"/>
      <c r="JR253" s="22"/>
      <c r="JS253" s="20"/>
      <c r="JT253" s="22"/>
      <c r="JU253" s="20"/>
      <c r="JV253" s="22"/>
      <c r="JW253" s="20"/>
      <c r="JX253" s="22"/>
      <c r="JY253" s="20"/>
      <c r="JZ253" s="22"/>
      <c r="KA253" s="20"/>
      <c r="KB253" s="22"/>
      <c r="KC253" s="20"/>
      <c r="KD253" s="22"/>
      <c r="KE253" s="20"/>
      <c r="KF253" s="22"/>
      <c r="KG253" s="20"/>
      <c r="KH253" s="22"/>
      <c r="KI253" s="20"/>
      <c r="KJ253" s="22"/>
      <c r="KK253" s="20"/>
      <c r="KL253" s="22"/>
      <c r="KM253" s="20"/>
      <c r="KN253" s="22"/>
      <c r="KO253" s="20"/>
      <c r="KP253" s="22"/>
      <c r="KQ253" s="20"/>
      <c r="KR253" s="22"/>
      <c r="KS253" s="20"/>
      <c r="KT253" s="22"/>
      <c r="KU253" s="20"/>
      <c r="KV253" s="22"/>
      <c r="KW253" s="20"/>
      <c r="KX253" s="22"/>
      <c r="KY253" s="20"/>
      <c r="KZ253" s="22"/>
      <c r="LA253" s="20"/>
      <c r="LB253" s="22"/>
      <c r="LC253" s="20"/>
      <c r="LD253" s="22"/>
      <c r="LE253" s="20"/>
      <c r="LF253" s="22"/>
      <c r="LG253" s="20"/>
      <c r="LH253" s="22"/>
      <c r="LI253" s="20"/>
      <c r="LJ253" s="22"/>
      <c r="LK253" s="20"/>
      <c r="LL253" s="22"/>
      <c r="LM253" s="20"/>
      <c r="LN253" s="22"/>
      <c r="LO253" s="20"/>
      <c r="LP253" s="22"/>
      <c r="LQ253" s="20"/>
      <c r="LR253" s="22"/>
      <c r="LS253" s="20"/>
      <c r="LT253" s="22"/>
      <c r="LU253" s="20"/>
      <c r="LV253" s="22"/>
      <c r="LW253" s="20"/>
      <c r="LX253" s="22"/>
      <c r="LY253" s="20"/>
      <c r="LZ253" s="22"/>
      <c r="MA253" s="20"/>
      <c r="MB253" s="22"/>
      <c r="MC253" s="20"/>
      <c r="MD253" s="22"/>
      <c r="ME253" s="20"/>
      <c r="MF253" s="22"/>
      <c r="MG253" s="20"/>
      <c r="MH253" s="22"/>
      <c r="MI253" s="20"/>
      <c r="MJ253" s="22"/>
      <c r="MK253" s="20"/>
      <c r="ML253" s="22"/>
      <c r="MM253" s="20"/>
      <c r="MN253" s="22"/>
      <c r="MO253" s="20"/>
      <c r="MP253" s="22"/>
      <c r="MQ253" s="20"/>
      <c r="MR253" s="22"/>
      <c r="MS253" s="20"/>
      <c r="MT253" s="22"/>
      <c r="MU253" s="20"/>
      <c r="MV253" s="22"/>
      <c r="MW253" s="20"/>
      <c r="MX253" s="22"/>
      <c r="MY253" s="20"/>
      <c r="MZ253" s="22"/>
      <c r="NA253" s="20"/>
      <c r="NB253" s="22"/>
      <c r="NC253" s="20"/>
      <c r="ND253" s="22"/>
      <c r="NE253" s="20"/>
      <c r="NF253" s="73"/>
    </row>
    <row r="254" hidden="1">
      <c r="A254" s="237"/>
      <c r="B254" s="267"/>
      <c r="C254" s="239">
        <v>46258.0</v>
      </c>
      <c r="D254" s="287" t="s">
        <v>435</v>
      </c>
      <c r="E254" s="242" t="s">
        <v>47</v>
      </c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  <c r="CI254" s="73"/>
      <c r="CJ254" s="73"/>
      <c r="CK254" s="73"/>
      <c r="CL254" s="73"/>
      <c r="CM254" s="73"/>
      <c r="CN254" s="73"/>
      <c r="CO254" s="73"/>
      <c r="CP254" s="73"/>
      <c r="CQ254" s="73"/>
      <c r="CR254" s="73"/>
      <c r="CS254" s="73"/>
      <c r="CT254" s="73"/>
      <c r="CU254" s="73"/>
      <c r="CV254" s="73"/>
      <c r="CW254" s="73"/>
      <c r="CX254" s="73"/>
      <c r="CY254" s="73"/>
      <c r="CZ254" s="73"/>
      <c r="DA254" s="73"/>
      <c r="DB254" s="73"/>
      <c r="DC254" s="73"/>
      <c r="DD254" s="73"/>
      <c r="DE254" s="73"/>
      <c r="DF254" s="73"/>
      <c r="DG254" s="73"/>
      <c r="DH254" s="73"/>
      <c r="DI254" s="73"/>
      <c r="DJ254" s="73"/>
      <c r="DK254" s="73"/>
      <c r="DL254" s="73"/>
      <c r="DM254" s="73"/>
      <c r="DN254" s="73"/>
      <c r="DO254" s="73"/>
      <c r="DP254" s="73"/>
      <c r="DQ254" s="73"/>
      <c r="DR254" s="73"/>
      <c r="DS254" s="73"/>
      <c r="DT254" s="73"/>
      <c r="DU254" s="73"/>
      <c r="DV254" s="22"/>
      <c r="DW254" s="20"/>
      <c r="DX254" s="22"/>
      <c r="DY254" s="20"/>
      <c r="DZ254" s="22"/>
      <c r="EA254" s="20"/>
      <c r="EB254" s="22"/>
      <c r="EC254" s="20"/>
      <c r="ED254" s="22"/>
      <c r="EE254" s="20"/>
      <c r="EF254" s="22"/>
      <c r="EG254" s="20"/>
      <c r="EH254" s="22"/>
      <c r="EI254" s="20"/>
      <c r="EJ254" s="22"/>
      <c r="EK254" s="20"/>
      <c r="EL254" s="22"/>
      <c r="EM254" s="20"/>
      <c r="EN254" s="22"/>
      <c r="EO254" s="20"/>
      <c r="EP254" s="22"/>
      <c r="EQ254" s="20"/>
      <c r="ER254" s="22"/>
      <c r="ES254" s="20"/>
      <c r="ET254" s="22"/>
      <c r="EU254" s="20"/>
      <c r="EV254" s="22"/>
      <c r="EW254" s="20"/>
      <c r="EX254" s="22"/>
      <c r="EY254" s="20"/>
      <c r="EZ254" s="22"/>
      <c r="FA254" s="20"/>
      <c r="FB254" s="22"/>
      <c r="FC254" s="20"/>
      <c r="FD254" s="22"/>
      <c r="FE254" s="20"/>
      <c r="FF254" s="22"/>
      <c r="FG254" s="20"/>
      <c r="FH254" s="22"/>
      <c r="FI254" s="20"/>
      <c r="FJ254" s="22"/>
      <c r="FK254" s="20"/>
      <c r="FL254" s="22"/>
      <c r="FM254" s="20"/>
      <c r="FN254" s="22"/>
      <c r="FO254" s="20"/>
      <c r="FP254" s="22"/>
      <c r="FQ254" s="20"/>
      <c r="FR254" s="22"/>
      <c r="FS254" s="20"/>
      <c r="FT254" s="22"/>
      <c r="FU254" s="20"/>
      <c r="FV254" s="22"/>
      <c r="FW254" s="20"/>
      <c r="FX254" s="22"/>
      <c r="FY254" s="20"/>
      <c r="FZ254" s="22"/>
      <c r="GA254" s="20"/>
      <c r="GB254" s="22"/>
      <c r="GC254" s="20"/>
      <c r="GD254" s="22"/>
      <c r="GE254" s="20"/>
      <c r="GF254" s="22"/>
      <c r="GG254" s="20"/>
      <c r="GH254" s="22"/>
      <c r="GI254" s="20"/>
      <c r="GJ254" s="22"/>
      <c r="GK254" s="20"/>
      <c r="GL254" s="22"/>
      <c r="GM254" s="20"/>
      <c r="GN254" s="22"/>
      <c r="GO254" s="20"/>
      <c r="GP254" s="22"/>
      <c r="GQ254" s="20"/>
      <c r="GR254" s="22"/>
      <c r="GS254" s="20"/>
      <c r="GT254" s="22"/>
      <c r="GU254" s="20"/>
      <c r="GV254" s="22"/>
      <c r="GW254" s="20"/>
      <c r="GX254" s="22"/>
      <c r="GY254" s="20"/>
      <c r="GZ254" s="22"/>
      <c r="HA254" s="20"/>
      <c r="HB254" s="22"/>
      <c r="HC254" s="20"/>
      <c r="HD254" s="22"/>
      <c r="HE254" s="20"/>
      <c r="HF254" s="22"/>
      <c r="HG254" s="20"/>
      <c r="HH254" s="22"/>
      <c r="HI254" s="20"/>
      <c r="HJ254" s="22"/>
      <c r="HK254" s="20"/>
      <c r="HL254" s="22"/>
      <c r="HM254" s="20"/>
      <c r="HN254" s="22"/>
      <c r="HO254" s="20"/>
      <c r="HP254" s="22"/>
      <c r="HQ254" s="20"/>
      <c r="HR254" s="22"/>
      <c r="HS254" s="20"/>
      <c r="HT254" s="22"/>
      <c r="HU254" s="20"/>
      <c r="HV254" s="22"/>
      <c r="HW254" s="20"/>
      <c r="HX254" s="22"/>
      <c r="HY254" s="20"/>
      <c r="HZ254" s="22"/>
      <c r="IA254" s="20"/>
      <c r="IB254" s="22"/>
      <c r="IC254" s="20">
        <v>2.0</v>
      </c>
      <c r="ID254" s="20"/>
      <c r="IE254" s="20"/>
      <c r="IF254" s="22"/>
      <c r="IG254" s="20">
        <v>1.0</v>
      </c>
      <c r="IH254" s="20">
        <v>4.0</v>
      </c>
      <c r="II254" s="20"/>
      <c r="IJ254" s="22"/>
      <c r="IK254" s="20"/>
      <c r="IL254" s="22"/>
      <c r="IM254" s="20"/>
      <c r="IN254" s="22"/>
      <c r="IO254" s="20"/>
      <c r="IP254" s="22"/>
      <c r="IQ254" s="20"/>
      <c r="IR254" s="22"/>
      <c r="IS254" s="20"/>
      <c r="IT254" s="22"/>
      <c r="IU254" s="20"/>
      <c r="IV254" s="22"/>
      <c r="IW254" s="20"/>
      <c r="IX254" s="22"/>
      <c r="IY254" s="20"/>
      <c r="IZ254" s="22"/>
      <c r="JA254" s="20"/>
      <c r="JB254" s="22"/>
      <c r="JC254" s="20"/>
      <c r="JD254" s="22"/>
      <c r="JE254" s="20"/>
      <c r="JF254" s="22"/>
      <c r="JG254" s="20"/>
      <c r="JH254" s="22"/>
      <c r="JI254" s="20"/>
      <c r="JJ254" s="22"/>
      <c r="JK254" s="20"/>
      <c r="JL254" s="22"/>
      <c r="JM254" s="20"/>
      <c r="JN254" s="22"/>
      <c r="JO254" s="20"/>
      <c r="JP254" s="22"/>
      <c r="JQ254" s="20"/>
      <c r="JR254" s="22"/>
      <c r="JS254" s="20"/>
      <c r="JT254" s="22"/>
      <c r="JU254" s="20"/>
      <c r="JV254" s="22"/>
      <c r="JW254" s="20"/>
      <c r="JX254" s="22"/>
      <c r="JY254" s="20"/>
      <c r="JZ254" s="22"/>
      <c r="KA254" s="20"/>
      <c r="KB254" s="22"/>
      <c r="KC254" s="20"/>
      <c r="KD254" s="22"/>
      <c r="KE254" s="20"/>
      <c r="KF254" s="22"/>
      <c r="KG254" s="20"/>
      <c r="KH254" s="22"/>
      <c r="KI254" s="20"/>
      <c r="KJ254" s="22"/>
      <c r="KK254" s="20"/>
      <c r="KL254" s="22"/>
      <c r="KM254" s="20"/>
      <c r="KN254" s="22"/>
      <c r="KO254" s="20"/>
      <c r="KP254" s="22"/>
      <c r="KQ254" s="20"/>
      <c r="KR254" s="22"/>
      <c r="KS254" s="20"/>
      <c r="KT254" s="22"/>
      <c r="KU254" s="20"/>
      <c r="KV254" s="22"/>
      <c r="KW254" s="20"/>
      <c r="KX254" s="22"/>
      <c r="KY254" s="20"/>
      <c r="KZ254" s="22"/>
      <c r="LA254" s="20"/>
      <c r="LB254" s="22"/>
      <c r="LC254" s="20"/>
      <c r="LD254" s="22"/>
      <c r="LE254" s="20"/>
      <c r="LF254" s="22"/>
      <c r="LG254" s="20"/>
      <c r="LH254" s="22"/>
      <c r="LI254" s="20"/>
      <c r="LJ254" s="22"/>
      <c r="LK254" s="20"/>
      <c r="LL254" s="22"/>
      <c r="LM254" s="20"/>
      <c r="LN254" s="22"/>
      <c r="LO254" s="20"/>
      <c r="LP254" s="22"/>
      <c r="LQ254" s="20"/>
      <c r="LR254" s="22"/>
      <c r="LS254" s="20"/>
      <c r="LT254" s="22"/>
      <c r="LU254" s="20"/>
      <c r="LV254" s="22"/>
      <c r="LW254" s="20"/>
      <c r="LX254" s="22"/>
      <c r="LY254" s="20"/>
      <c r="LZ254" s="22"/>
      <c r="MA254" s="20"/>
      <c r="MB254" s="22"/>
      <c r="MC254" s="20"/>
      <c r="MD254" s="22"/>
      <c r="ME254" s="20"/>
      <c r="MF254" s="22"/>
      <c r="MG254" s="20"/>
      <c r="MH254" s="22"/>
      <c r="MI254" s="20"/>
      <c r="MJ254" s="22"/>
      <c r="MK254" s="20"/>
      <c r="ML254" s="22"/>
      <c r="MM254" s="20"/>
      <c r="MN254" s="22"/>
      <c r="MO254" s="20"/>
      <c r="MP254" s="22"/>
      <c r="MQ254" s="20"/>
      <c r="MR254" s="22"/>
      <c r="MS254" s="20"/>
      <c r="MT254" s="22"/>
      <c r="MU254" s="20"/>
      <c r="MV254" s="22"/>
      <c r="MW254" s="20"/>
      <c r="MX254" s="22"/>
      <c r="MY254" s="20"/>
      <c r="MZ254" s="22"/>
      <c r="NA254" s="20"/>
      <c r="NB254" s="22"/>
      <c r="NC254" s="20"/>
      <c r="ND254" s="22"/>
      <c r="NE254" s="20"/>
      <c r="NF254" s="73"/>
    </row>
    <row r="255" hidden="1">
      <c r="A255" s="237"/>
      <c r="B255" s="267"/>
      <c r="C255" s="239">
        <v>46254.0</v>
      </c>
      <c r="D255" s="287" t="s">
        <v>436</v>
      </c>
      <c r="E255" s="242" t="s">
        <v>47</v>
      </c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  <c r="CI255" s="73"/>
      <c r="CJ255" s="73"/>
      <c r="CK255" s="73"/>
      <c r="CL255" s="73"/>
      <c r="CM255" s="73"/>
      <c r="CN255" s="73"/>
      <c r="CO255" s="73"/>
      <c r="CP255" s="73"/>
      <c r="CQ255" s="73"/>
      <c r="CR255" s="73"/>
      <c r="CS255" s="73"/>
      <c r="CT255" s="73"/>
      <c r="CU255" s="73"/>
      <c r="CV255" s="73"/>
      <c r="CW255" s="73"/>
      <c r="CX255" s="73"/>
      <c r="CY255" s="73"/>
      <c r="CZ255" s="73"/>
      <c r="DA255" s="73"/>
      <c r="DB255" s="73"/>
      <c r="DC255" s="73"/>
      <c r="DD255" s="73"/>
      <c r="DE255" s="73"/>
      <c r="DF255" s="73"/>
      <c r="DG255" s="73"/>
      <c r="DH255" s="73"/>
      <c r="DI255" s="73"/>
      <c r="DJ255" s="73"/>
      <c r="DK255" s="73"/>
      <c r="DL255" s="73"/>
      <c r="DM255" s="73"/>
      <c r="DN255" s="73"/>
      <c r="DO255" s="73"/>
      <c r="DP255" s="73"/>
      <c r="DQ255" s="73"/>
      <c r="DR255" s="73"/>
      <c r="DS255" s="73"/>
      <c r="DT255" s="73"/>
      <c r="DU255" s="73"/>
      <c r="DV255" s="22"/>
      <c r="DW255" s="20"/>
      <c r="DX255" s="22"/>
      <c r="DY255" s="20"/>
      <c r="DZ255" s="22"/>
      <c r="EA255" s="20"/>
      <c r="EB255" s="22"/>
      <c r="EC255" s="20"/>
      <c r="ED255" s="22"/>
      <c r="EE255" s="20"/>
      <c r="EF255" s="22"/>
      <c r="EG255" s="20"/>
      <c r="EH255" s="22"/>
      <c r="EI255" s="20"/>
      <c r="EJ255" s="22"/>
      <c r="EK255" s="20"/>
      <c r="EL255" s="22"/>
      <c r="EM255" s="20"/>
      <c r="EN255" s="22"/>
      <c r="EO255" s="20"/>
      <c r="EP255" s="22"/>
      <c r="EQ255" s="20"/>
      <c r="ER255" s="22"/>
      <c r="ES255" s="20"/>
      <c r="ET255" s="22"/>
      <c r="EU255" s="20"/>
      <c r="EV255" s="22"/>
      <c r="EW255" s="20"/>
      <c r="EX255" s="22"/>
      <c r="EY255" s="20"/>
      <c r="EZ255" s="22"/>
      <c r="FA255" s="20"/>
      <c r="FB255" s="22"/>
      <c r="FC255" s="20"/>
      <c r="FD255" s="22"/>
      <c r="FE255" s="20"/>
      <c r="FF255" s="22"/>
      <c r="FG255" s="20"/>
      <c r="FH255" s="22"/>
      <c r="FI255" s="20"/>
      <c r="FJ255" s="22"/>
      <c r="FK255" s="20"/>
      <c r="FL255" s="22"/>
      <c r="FM255" s="20"/>
      <c r="FN255" s="22"/>
      <c r="FO255" s="20"/>
      <c r="FP255" s="22"/>
      <c r="FQ255" s="20"/>
      <c r="FR255" s="22"/>
      <c r="FS255" s="20"/>
      <c r="FT255" s="22"/>
      <c r="FU255" s="20"/>
      <c r="FV255" s="22"/>
      <c r="FW255" s="20"/>
      <c r="FX255" s="22"/>
      <c r="FY255" s="20"/>
      <c r="FZ255" s="22"/>
      <c r="GA255" s="20"/>
      <c r="GB255" s="22"/>
      <c r="GC255" s="20"/>
      <c r="GD255" s="22"/>
      <c r="GE255" s="20"/>
      <c r="GF255" s="22"/>
      <c r="GG255" s="20"/>
      <c r="GH255" s="22"/>
      <c r="GI255" s="20"/>
      <c r="GJ255" s="22"/>
      <c r="GK255" s="20"/>
      <c r="GL255" s="22"/>
      <c r="GM255" s="20"/>
      <c r="GN255" s="22"/>
      <c r="GO255" s="20"/>
      <c r="GP255" s="22"/>
      <c r="GQ255" s="20"/>
      <c r="GR255" s="22"/>
      <c r="GS255" s="20"/>
      <c r="GT255" s="22"/>
      <c r="GU255" s="20"/>
      <c r="GV255" s="22"/>
      <c r="GW255" s="20"/>
      <c r="GX255" s="22"/>
      <c r="GY255" s="20"/>
      <c r="GZ255" s="22"/>
      <c r="HA255" s="20"/>
      <c r="HB255" s="22"/>
      <c r="HC255" s="20"/>
      <c r="HD255" s="22"/>
      <c r="HE255" s="20"/>
      <c r="HF255" s="22"/>
      <c r="HG255" s="20"/>
      <c r="HH255" s="22"/>
      <c r="HI255" s="20"/>
      <c r="HJ255" s="22"/>
      <c r="HK255" s="20"/>
      <c r="HL255" s="22"/>
      <c r="HM255" s="20"/>
      <c r="HN255" s="22"/>
      <c r="HO255" s="20"/>
      <c r="HP255" s="22"/>
      <c r="HQ255" s="20"/>
      <c r="HR255" s="22"/>
      <c r="HS255" s="20"/>
      <c r="HT255" s="22"/>
      <c r="HU255" s="20"/>
      <c r="HV255" s="22"/>
      <c r="HW255" s="20"/>
      <c r="HX255" s="22"/>
      <c r="HY255" s="20"/>
      <c r="HZ255" s="22"/>
      <c r="IA255" s="20"/>
      <c r="IB255" s="20">
        <v>4.0</v>
      </c>
      <c r="IC255" s="20"/>
      <c r="ID255" s="22"/>
      <c r="IE255" s="20"/>
      <c r="IF255" s="22"/>
      <c r="IG255" s="20"/>
      <c r="IH255" s="22"/>
      <c r="II255" s="20"/>
      <c r="IJ255" s="22"/>
      <c r="IK255" s="20"/>
      <c r="IL255" s="22"/>
      <c r="IM255" s="20"/>
      <c r="IN255" s="22"/>
      <c r="IO255" s="20"/>
      <c r="IP255" s="22"/>
      <c r="IQ255" s="20"/>
      <c r="IR255" s="22"/>
      <c r="IS255" s="20"/>
      <c r="IT255" s="22"/>
      <c r="IU255" s="20"/>
      <c r="IV255" s="22"/>
      <c r="IW255" s="20"/>
      <c r="IX255" s="22"/>
      <c r="IY255" s="20"/>
      <c r="IZ255" s="22"/>
      <c r="JA255" s="20"/>
      <c r="JB255" s="22"/>
      <c r="JC255" s="20"/>
      <c r="JD255" s="22"/>
      <c r="JE255" s="20"/>
      <c r="JF255" s="22"/>
      <c r="JG255" s="20"/>
      <c r="JH255" s="22"/>
      <c r="JI255" s="20"/>
      <c r="JJ255" s="22"/>
      <c r="JK255" s="20"/>
      <c r="JL255" s="22"/>
      <c r="JM255" s="20"/>
      <c r="JN255" s="22"/>
      <c r="JO255" s="20"/>
      <c r="JP255" s="22"/>
      <c r="JQ255" s="20"/>
      <c r="JR255" s="22"/>
      <c r="JS255" s="20"/>
      <c r="JT255" s="22"/>
      <c r="JU255" s="20"/>
      <c r="JV255" s="22"/>
      <c r="JW255" s="20"/>
      <c r="JX255" s="22"/>
      <c r="JY255" s="20"/>
      <c r="JZ255" s="22"/>
      <c r="KA255" s="20"/>
      <c r="KB255" s="22"/>
      <c r="KC255" s="20"/>
      <c r="KD255" s="22"/>
      <c r="KE255" s="20"/>
      <c r="KF255" s="22"/>
      <c r="KG255" s="20"/>
      <c r="KH255" s="22"/>
      <c r="KI255" s="20"/>
      <c r="KJ255" s="22"/>
      <c r="KK255" s="20"/>
      <c r="KL255" s="22"/>
      <c r="KM255" s="20"/>
      <c r="KN255" s="22"/>
      <c r="KO255" s="20"/>
      <c r="KP255" s="22"/>
      <c r="KQ255" s="20"/>
      <c r="KR255" s="22"/>
      <c r="KS255" s="20"/>
      <c r="KT255" s="22"/>
      <c r="KU255" s="20"/>
      <c r="KV255" s="22"/>
      <c r="KW255" s="20"/>
      <c r="KX255" s="22"/>
      <c r="KY255" s="20"/>
      <c r="KZ255" s="22"/>
      <c r="LA255" s="20"/>
      <c r="LB255" s="22"/>
      <c r="LC255" s="20"/>
      <c r="LD255" s="22"/>
      <c r="LE255" s="20"/>
      <c r="LF255" s="22"/>
      <c r="LG255" s="20"/>
      <c r="LH255" s="22"/>
      <c r="LI255" s="20"/>
      <c r="LJ255" s="22"/>
      <c r="LK255" s="20"/>
      <c r="LL255" s="22"/>
      <c r="LM255" s="20"/>
      <c r="LN255" s="22"/>
      <c r="LO255" s="20"/>
      <c r="LP255" s="22"/>
      <c r="LQ255" s="20"/>
      <c r="LR255" s="22"/>
      <c r="LS255" s="20"/>
      <c r="LT255" s="22"/>
      <c r="LU255" s="20"/>
      <c r="LV255" s="22"/>
      <c r="LW255" s="20"/>
      <c r="LX255" s="22"/>
      <c r="LY255" s="20"/>
      <c r="LZ255" s="22"/>
      <c r="MA255" s="20"/>
      <c r="MB255" s="22"/>
      <c r="MC255" s="20"/>
      <c r="MD255" s="22"/>
      <c r="ME255" s="20"/>
      <c r="MF255" s="22"/>
      <c r="MG255" s="20"/>
      <c r="MH255" s="22"/>
      <c r="MI255" s="20"/>
      <c r="MJ255" s="22"/>
      <c r="MK255" s="20"/>
      <c r="ML255" s="22"/>
      <c r="MM255" s="20"/>
      <c r="MN255" s="22"/>
      <c r="MO255" s="20"/>
      <c r="MP255" s="22"/>
      <c r="MQ255" s="20"/>
      <c r="MR255" s="22"/>
      <c r="MS255" s="20"/>
      <c r="MT255" s="22"/>
      <c r="MU255" s="20"/>
      <c r="MV255" s="22"/>
      <c r="MW255" s="20"/>
      <c r="MX255" s="22"/>
      <c r="MY255" s="20"/>
      <c r="MZ255" s="22"/>
      <c r="NA255" s="20"/>
      <c r="NB255" s="22"/>
      <c r="NC255" s="20"/>
      <c r="ND255" s="22"/>
      <c r="NE255" s="20"/>
      <c r="NF255" s="73"/>
    </row>
    <row r="256" hidden="1">
      <c r="A256" s="237"/>
      <c r="B256" s="267"/>
      <c r="C256" s="239">
        <v>46255.0</v>
      </c>
      <c r="D256" s="287" t="s">
        <v>437</v>
      </c>
      <c r="E256" s="242" t="s">
        <v>47</v>
      </c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  <c r="CI256" s="73"/>
      <c r="CJ256" s="73"/>
      <c r="CK256" s="73"/>
      <c r="CL256" s="73"/>
      <c r="CM256" s="73"/>
      <c r="CN256" s="73"/>
      <c r="CO256" s="73"/>
      <c r="CP256" s="73"/>
      <c r="CQ256" s="73"/>
      <c r="CR256" s="73"/>
      <c r="CS256" s="73"/>
      <c r="CT256" s="73"/>
      <c r="CU256" s="73"/>
      <c r="CV256" s="73"/>
      <c r="CW256" s="73"/>
      <c r="CX256" s="73"/>
      <c r="CY256" s="73"/>
      <c r="CZ256" s="73"/>
      <c r="DA256" s="73"/>
      <c r="DB256" s="73"/>
      <c r="DC256" s="73"/>
      <c r="DD256" s="73"/>
      <c r="DE256" s="73"/>
      <c r="DF256" s="73"/>
      <c r="DG256" s="73"/>
      <c r="DH256" s="73"/>
      <c r="DI256" s="73"/>
      <c r="DJ256" s="73"/>
      <c r="DK256" s="73"/>
      <c r="DL256" s="73"/>
      <c r="DM256" s="73"/>
      <c r="DN256" s="73"/>
      <c r="DO256" s="73"/>
      <c r="DP256" s="73"/>
      <c r="DQ256" s="73"/>
      <c r="DR256" s="73"/>
      <c r="DS256" s="73"/>
      <c r="DT256" s="73"/>
      <c r="DU256" s="73"/>
      <c r="DV256" s="22"/>
      <c r="DW256" s="20"/>
      <c r="DX256" s="22"/>
      <c r="DY256" s="20"/>
      <c r="DZ256" s="22"/>
      <c r="EA256" s="20"/>
      <c r="EB256" s="22"/>
      <c r="EC256" s="20"/>
      <c r="ED256" s="22"/>
      <c r="EE256" s="20"/>
      <c r="EF256" s="22"/>
      <c r="EG256" s="20"/>
      <c r="EH256" s="22"/>
      <c r="EI256" s="20"/>
      <c r="EJ256" s="22"/>
      <c r="EK256" s="20"/>
      <c r="EL256" s="22"/>
      <c r="EM256" s="20"/>
      <c r="EN256" s="22"/>
      <c r="EO256" s="20"/>
      <c r="EP256" s="22"/>
      <c r="EQ256" s="20"/>
      <c r="ER256" s="22"/>
      <c r="ES256" s="20"/>
      <c r="ET256" s="22"/>
      <c r="EU256" s="20"/>
      <c r="EV256" s="22"/>
      <c r="EW256" s="20"/>
      <c r="EX256" s="22"/>
      <c r="EY256" s="20"/>
      <c r="EZ256" s="22"/>
      <c r="FA256" s="20"/>
      <c r="FB256" s="22"/>
      <c r="FC256" s="20"/>
      <c r="FD256" s="22"/>
      <c r="FE256" s="20"/>
      <c r="FF256" s="22"/>
      <c r="FG256" s="20"/>
      <c r="FH256" s="22"/>
      <c r="FI256" s="20"/>
      <c r="FJ256" s="22"/>
      <c r="FK256" s="20"/>
      <c r="FL256" s="22"/>
      <c r="FM256" s="20"/>
      <c r="FN256" s="22"/>
      <c r="FO256" s="20"/>
      <c r="FP256" s="22"/>
      <c r="FQ256" s="20"/>
      <c r="FR256" s="22"/>
      <c r="FS256" s="20"/>
      <c r="FT256" s="22"/>
      <c r="FU256" s="20"/>
      <c r="FV256" s="22"/>
      <c r="FW256" s="20"/>
      <c r="FX256" s="22"/>
      <c r="FY256" s="20"/>
      <c r="FZ256" s="22"/>
      <c r="GA256" s="20"/>
      <c r="GB256" s="22"/>
      <c r="GC256" s="20"/>
      <c r="GD256" s="22"/>
      <c r="GE256" s="20"/>
      <c r="GF256" s="22"/>
      <c r="GG256" s="20"/>
      <c r="GH256" s="22"/>
      <c r="GI256" s="20"/>
      <c r="GJ256" s="22"/>
      <c r="GK256" s="20"/>
      <c r="GL256" s="22"/>
      <c r="GM256" s="20"/>
      <c r="GN256" s="22"/>
      <c r="GO256" s="20"/>
      <c r="GP256" s="22"/>
      <c r="GQ256" s="20"/>
      <c r="GR256" s="22"/>
      <c r="GS256" s="20"/>
      <c r="GT256" s="22"/>
      <c r="GU256" s="20"/>
      <c r="GV256" s="22"/>
      <c r="GW256" s="20"/>
      <c r="GX256" s="22"/>
      <c r="GY256" s="20"/>
      <c r="GZ256" s="22"/>
      <c r="HA256" s="20"/>
      <c r="HB256" s="22"/>
      <c r="HC256" s="20"/>
      <c r="HD256" s="22"/>
      <c r="HE256" s="20"/>
      <c r="HF256" s="22"/>
      <c r="HG256" s="20"/>
      <c r="HH256" s="22"/>
      <c r="HI256" s="20"/>
      <c r="HJ256" s="22"/>
      <c r="HK256" s="20"/>
      <c r="HL256" s="22"/>
      <c r="HM256" s="20"/>
      <c r="HN256" s="22"/>
      <c r="HO256" s="20"/>
      <c r="HP256" s="22"/>
      <c r="HQ256" s="20"/>
      <c r="HR256" s="22"/>
      <c r="HS256" s="20"/>
      <c r="HT256" s="22"/>
      <c r="HU256" s="20"/>
      <c r="HV256" s="22"/>
      <c r="HW256" s="20"/>
      <c r="HX256" s="22"/>
      <c r="HY256" s="20"/>
      <c r="HZ256" s="22"/>
      <c r="IA256" s="20"/>
      <c r="IB256" s="20">
        <v>3.0</v>
      </c>
      <c r="IC256" s="20">
        <v>5.0</v>
      </c>
      <c r="ID256" s="22"/>
      <c r="IE256" s="20"/>
      <c r="IF256" s="22"/>
      <c r="IG256" s="20"/>
      <c r="IH256" s="22"/>
      <c r="II256" s="20"/>
      <c r="IJ256" s="22"/>
      <c r="IK256" s="20"/>
      <c r="IL256" s="22"/>
      <c r="IM256" s="20"/>
      <c r="IN256" s="22"/>
      <c r="IO256" s="20"/>
      <c r="IP256" s="22"/>
      <c r="IQ256" s="20"/>
      <c r="IR256" s="22"/>
      <c r="IS256" s="20"/>
      <c r="IT256" s="22"/>
      <c r="IU256" s="20"/>
      <c r="IV256" s="22"/>
      <c r="IW256" s="20"/>
      <c r="IX256" s="22"/>
      <c r="IY256" s="20"/>
      <c r="IZ256" s="22"/>
      <c r="JA256" s="20"/>
      <c r="JB256" s="22"/>
      <c r="JC256" s="20"/>
      <c r="JD256" s="22"/>
      <c r="JE256" s="20"/>
      <c r="JF256" s="22"/>
      <c r="JG256" s="20"/>
      <c r="JH256" s="22"/>
      <c r="JI256" s="20"/>
      <c r="JJ256" s="22"/>
      <c r="JK256" s="20"/>
      <c r="JL256" s="22"/>
      <c r="JM256" s="20"/>
      <c r="JN256" s="22"/>
      <c r="JO256" s="20"/>
      <c r="JP256" s="22"/>
      <c r="JQ256" s="20"/>
      <c r="JR256" s="22"/>
      <c r="JS256" s="20"/>
      <c r="JT256" s="22"/>
      <c r="JU256" s="20"/>
      <c r="JV256" s="22"/>
      <c r="JW256" s="20"/>
      <c r="JX256" s="22"/>
      <c r="JY256" s="20"/>
      <c r="JZ256" s="22"/>
      <c r="KA256" s="20"/>
      <c r="KB256" s="22"/>
      <c r="KC256" s="20"/>
      <c r="KD256" s="22"/>
      <c r="KE256" s="20"/>
      <c r="KF256" s="22"/>
      <c r="KG256" s="20"/>
      <c r="KH256" s="22"/>
      <c r="KI256" s="20"/>
      <c r="KJ256" s="22"/>
      <c r="KK256" s="20"/>
      <c r="KL256" s="22"/>
      <c r="KM256" s="20"/>
      <c r="KN256" s="22"/>
      <c r="KO256" s="20"/>
      <c r="KP256" s="22"/>
      <c r="KQ256" s="20"/>
      <c r="KR256" s="22"/>
      <c r="KS256" s="20"/>
      <c r="KT256" s="22"/>
      <c r="KU256" s="20"/>
      <c r="KV256" s="22"/>
      <c r="KW256" s="20"/>
      <c r="KX256" s="22"/>
      <c r="KY256" s="20"/>
      <c r="KZ256" s="22"/>
      <c r="LA256" s="20"/>
      <c r="LB256" s="22"/>
      <c r="LC256" s="20"/>
      <c r="LD256" s="22"/>
      <c r="LE256" s="20"/>
      <c r="LF256" s="22"/>
      <c r="LG256" s="20"/>
      <c r="LH256" s="22"/>
      <c r="LI256" s="20"/>
      <c r="LJ256" s="22"/>
      <c r="LK256" s="20"/>
      <c r="LL256" s="22"/>
      <c r="LM256" s="20"/>
      <c r="LN256" s="22"/>
      <c r="LO256" s="20"/>
      <c r="LP256" s="22"/>
      <c r="LQ256" s="20"/>
      <c r="LR256" s="22"/>
      <c r="LS256" s="20"/>
      <c r="LT256" s="22"/>
      <c r="LU256" s="20"/>
      <c r="LV256" s="22"/>
      <c r="LW256" s="20"/>
      <c r="LX256" s="22"/>
      <c r="LY256" s="20"/>
      <c r="LZ256" s="22"/>
      <c r="MA256" s="20"/>
      <c r="MB256" s="22"/>
      <c r="MC256" s="20"/>
      <c r="MD256" s="22"/>
      <c r="ME256" s="20"/>
      <c r="MF256" s="22"/>
      <c r="MG256" s="20"/>
      <c r="MH256" s="22"/>
      <c r="MI256" s="20"/>
      <c r="MJ256" s="22"/>
      <c r="MK256" s="20"/>
      <c r="ML256" s="22"/>
      <c r="MM256" s="20"/>
      <c r="MN256" s="22"/>
      <c r="MO256" s="20"/>
      <c r="MP256" s="22"/>
      <c r="MQ256" s="20"/>
      <c r="MR256" s="22"/>
      <c r="MS256" s="20"/>
      <c r="MT256" s="22"/>
      <c r="MU256" s="20"/>
      <c r="MV256" s="22"/>
      <c r="MW256" s="20"/>
      <c r="MX256" s="22"/>
      <c r="MY256" s="20"/>
      <c r="MZ256" s="22"/>
      <c r="NA256" s="20"/>
      <c r="NB256" s="22"/>
      <c r="NC256" s="20"/>
      <c r="ND256" s="22"/>
      <c r="NE256" s="20"/>
      <c r="NF256" s="73"/>
    </row>
    <row r="257" hidden="1">
      <c r="A257" s="237"/>
      <c r="B257" s="267"/>
      <c r="C257" s="239">
        <v>46258.0</v>
      </c>
      <c r="D257" s="287" t="s">
        <v>438</v>
      </c>
      <c r="E257" s="242" t="s">
        <v>34</v>
      </c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  <c r="CI257" s="73"/>
      <c r="CJ257" s="73"/>
      <c r="CK257" s="73"/>
      <c r="CL257" s="73"/>
      <c r="CM257" s="73"/>
      <c r="CN257" s="73"/>
      <c r="CO257" s="73"/>
      <c r="CP257" s="73"/>
      <c r="CQ257" s="73"/>
      <c r="CR257" s="73"/>
      <c r="CS257" s="73"/>
      <c r="CT257" s="73"/>
      <c r="CU257" s="73"/>
      <c r="CV257" s="73"/>
      <c r="CW257" s="73"/>
      <c r="CX257" s="73"/>
      <c r="CY257" s="73"/>
      <c r="CZ257" s="73"/>
      <c r="DA257" s="73"/>
      <c r="DB257" s="73"/>
      <c r="DC257" s="73"/>
      <c r="DD257" s="73"/>
      <c r="DE257" s="73"/>
      <c r="DF257" s="73"/>
      <c r="DG257" s="73"/>
      <c r="DH257" s="73"/>
      <c r="DI257" s="73"/>
      <c r="DJ257" s="73"/>
      <c r="DK257" s="73"/>
      <c r="DL257" s="73"/>
      <c r="DM257" s="73"/>
      <c r="DN257" s="73"/>
      <c r="DO257" s="73"/>
      <c r="DP257" s="73"/>
      <c r="DQ257" s="73"/>
      <c r="DR257" s="73"/>
      <c r="DS257" s="73"/>
      <c r="DT257" s="73"/>
      <c r="DU257" s="73"/>
      <c r="DV257" s="22"/>
      <c r="DW257" s="20"/>
      <c r="DX257" s="22"/>
      <c r="DY257" s="20"/>
      <c r="DZ257" s="22"/>
      <c r="EA257" s="20"/>
      <c r="EB257" s="22"/>
      <c r="EC257" s="20"/>
      <c r="ED257" s="22"/>
      <c r="EE257" s="20"/>
      <c r="EF257" s="22"/>
      <c r="EG257" s="20"/>
      <c r="EH257" s="22"/>
      <c r="EI257" s="20"/>
      <c r="EJ257" s="22"/>
      <c r="EK257" s="20"/>
      <c r="EL257" s="22"/>
      <c r="EM257" s="20"/>
      <c r="EN257" s="22"/>
      <c r="EO257" s="20"/>
      <c r="EP257" s="22"/>
      <c r="EQ257" s="20"/>
      <c r="ER257" s="22"/>
      <c r="ES257" s="20"/>
      <c r="ET257" s="22"/>
      <c r="EU257" s="20"/>
      <c r="EV257" s="22"/>
      <c r="EW257" s="20"/>
      <c r="EX257" s="22"/>
      <c r="EY257" s="20"/>
      <c r="EZ257" s="22"/>
      <c r="FA257" s="20"/>
      <c r="FB257" s="22"/>
      <c r="FC257" s="20"/>
      <c r="FD257" s="22"/>
      <c r="FE257" s="20"/>
      <c r="FF257" s="22"/>
      <c r="FG257" s="20"/>
      <c r="FH257" s="22"/>
      <c r="FI257" s="20"/>
      <c r="FJ257" s="22"/>
      <c r="FK257" s="20"/>
      <c r="FL257" s="22"/>
      <c r="FM257" s="20"/>
      <c r="FN257" s="22"/>
      <c r="FO257" s="20"/>
      <c r="FP257" s="22"/>
      <c r="FQ257" s="20"/>
      <c r="FR257" s="22"/>
      <c r="FS257" s="20"/>
      <c r="FT257" s="22"/>
      <c r="FU257" s="20"/>
      <c r="FV257" s="22"/>
      <c r="FW257" s="20"/>
      <c r="FX257" s="22"/>
      <c r="FY257" s="20"/>
      <c r="FZ257" s="22"/>
      <c r="GA257" s="20"/>
      <c r="GB257" s="22"/>
      <c r="GC257" s="20"/>
      <c r="GD257" s="22"/>
      <c r="GE257" s="20"/>
      <c r="GF257" s="22"/>
      <c r="GG257" s="20"/>
      <c r="GH257" s="22"/>
      <c r="GI257" s="20"/>
      <c r="GJ257" s="22"/>
      <c r="GK257" s="20"/>
      <c r="GL257" s="22"/>
      <c r="GM257" s="20"/>
      <c r="GN257" s="22"/>
      <c r="GO257" s="20"/>
      <c r="GP257" s="22"/>
      <c r="GQ257" s="20"/>
      <c r="GR257" s="22"/>
      <c r="GS257" s="20"/>
      <c r="GT257" s="22"/>
      <c r="GU257" s="20"/>
      <c r="GV257" s="22"/>
      <c r="GW257" s="20"/>
      <c r="GX257" s="22"/>
      <c r="GY257" s="20"/>
      <c r="GZ257" s="22"/>
      <c r="HA257" s="20"/>
      <c r="HB257" s="22"/>
      <c r="HC257" s="20"/>
      <c r="HD257" s="22"/>
      <c r="HE257" s="20"/>
      <c r="HF257" s="22"/>
      <c r="HG257" s="20"/>
      <c r="HH257" s="22"/>
      <c r="HI257" s="20"/>
      <c r="HJ257" s="22"/>
      <c r="HK257" s="20"/>
      <c r="HL257" s="22"/>
      <c r="HM257" s="20"/>
      <c r="HN257" s="22"/>
      <c r="HO257" s="20"/>
      <c r="HP257" s="22"/>
      <c r="HQ257" s="20"/>
      <c r="HR257" s="22"/>
      <c r="HS257" s="20"/>
      <c r="HT257" s="22"/>
      <c r="HU257" s="20"/>
      <c r="HV257" s="22"/>
      <c r="HW257" s="20"/>
      <c r="HX257" s="22"/>
      <c r="HY257" s="20"/>
      <c r="HZ257" s="22"/>
      <c r="IA257" s="20"/>
      <c r="IB257" s="22"/>
      <c r="IC257" s="20"/>
      <c r="ID257" s="22"/>
      <c r="IE257" s="20"/>
      <c r="IF257" s="22"/>
      <c r="IG257" s="20"/>
      <c r="IH257" s="22"/>
      <c r="II257" s="20"/>
      <c r="IJ257" s="22"/>
      <c r="IK257" s="20"/>
      <c r="IL257" s="22"/>
      <c r="IM257" s="20"/>
      <c r="IN257" s="22"/>
      <c r="IO257" s="20"/>
      <c r="IP257" s="22"/>
      <c r="IQ257" s="20"/>
      <c r="IR257" s="22"/>
      <c r="IS257" s="20"/>
      <c r="IT257" s="22"/>
      <c r="IU257" s="20"/>
      <c r="IV257" s="22"/>
      <c r="IW257" s="20"/>
      <c r="IX257" s="22"/>
      <c r="IY257" s="20"/>
      <c r="IZ257" s="22"/>
      <c r="JA257" s="20"/>
      <c r="JB257" s="22"/>
      <c r="JC257" s="20"/>
      <c r="JD257" s="22"/>
      <c r="JE257" s="20"/>
      <c r="JF257" s="22"/>
      <c r="JG257" s="20"/>
      <c r="JH257" s="22"/>
      <c r="JI257" s="20"/>
      <c r="JJ257" s="22"/>
      <c r="JK257" s="20"/>
      <c r="JL257" s="22"/>
      <c r="JM257" s="20"/>
      <c r="JN257" s="22"/>
      <c r="JO257" s="20"/>
      <c r="JP257" s="22"/>
      <c r="JQ257" s="20"/>
      <c r="JR257" s="22"/>
      <c r="JS257" s="20"/>
      <c r="JT257" s="22"/>
      <c r="JU257" s="20"/>
      <c r="JV257" s="22"/>
      <c r="JW257" s="20"/>
      <c r="JX257" s="22"/>
      <c r="JY257" s="20"/>
      <c r="JZ257" s="22"/>
      <c r="KA257" s="20"/>
      <c r="KB257" s="22"/>
      <c r="KC257" s="20"/>
      <c r="KD257" s="22"/>
      <c r="KE257" s="20"/>
      <c r="KF257" s="22"/>
      <c r="KG257" s="20"/>
      <c r="KH257" s="22"/>
      <c r="KI257" s="20"/>
      <c r="KJ257" s="22"/>
      <c r="KK257" s="20"/>
      <c r="KL257" s="22"/>
      <c r="KM257" s="20"/>
      <c r="KN257" s="22"/>
      <c r="KO257" s="20"/>
      <c r="KP257" s="22"/>
      <c r="KQ257" s="20"/>
      <c r="KR257" s="22"/>
      <c r="KS257" s="20"/>
      <c r="KT257" s="22"/>
      <c r="KU257" s="20"/>
      <c r="KV257" s="22"/>
      <c r="KW257" s="20"/>
      <c r="KX257" s="22"/>
      <c r="KY257" s="20"/>
      <c r="KZ257" s="22"/>
      <c r="LA257" s="20"/>
      <c r="LB257" s="22"/>
      <c r="LC257" s="20"/>
      <c r="LD257" s="22"/>
      <c r="LE257" s="20"/>
      <c r="LF257" s="22"/>
      <c r="LG257" s="20"/>
      <c r="LH257" s="22"/>
      <c r="LI257" s="20"/>
      <c r="LJ257" s="22"/>
      <c r="LK257" s="20"/>
      <c r="LL257" s="22"/>
      <c r="LM257" s="20"/>
      <c r="LN257" s="22"/>
      <c r="LO257" s="20"/>
      <c r="LP257" s="22"/>
      <c r="LQ257" s="20"/>
      <c r="LR257" s="22"/>
      <c r="LS257" s="20"/>
      <c r="LT257" s="22"/>
      <c r="LU257" s="20"/>
      <c r="LV257" s="22"/>
      <c r="LW257" s="20"/>
      <c r="LX257" s="22"/>
      <c r="LY257" s="20"/>
      <c r="LZ257" s="22"/>
      <c r="MA257" s="20"/>
      <c r="MB257" s="22"/>
      <c r="MC257" s="20"/>
      <c r="MD257" s="22"/>
      <c r="ME257" s="20"/>
      <c r="MF257" s="22"/>
      <c r="MG257" s="20"/>
      <c r="MH257" s="22"/>
      <c r="MI257" s="20"/>
      <c r="MJ257" s="22"/>
      <c r="MK257" s="20"/>
      <c r="ML257" s="22"/>
      <c r="MM257" s="20"/>
      <c r="MN257" s="22"/>
      <c r="MO257" s="20"/>
      <c r="MP257" s="22"/>
      <c r="MQ257" s="20"/>
      <c r="MR257" s="22"/>
      <c r="MS257" s="20"/>
      <c r="MT257" s="22"/>
      <c r="MU257" s="20"/>
      <c r="MV257" s="22"/>
      <c r="MW257" s="20"/>
      <c r="MX257" s="22"/>
      <c r="MY257" s="20"/>
      <c r="MZ257" s="22"/>
      <c r="NA257" s="20"/>
      <c r="NB257" s="22"/>
      <c r="NC257" s="20"/>
      <c r="ND257" s="22"/>
      <c r="NE257" s="20"/>
      <c r="NF257" s="73"/>
    </row>
    <row r="258" hidden="1">
      <c r="A258" s="237"/>
      <c r="B258" s="267"/>
      <c r="C258" s="239">
        <v>46258.0</v>
      </c>
      <c r="D258" s="287" t="s">
        <v>439</v>
      </c>
      <c r="E258" s="242" t="s">
        <v>47</v>
      </c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  <c r="CI258" s="73"/>
      <c r="CJ258" s="73"/>
      <c r="CK258" s="73"/>
      <c r="CL258" s="73"/>
      <c r="CM258" s="73"/>
      <c r="CN258" s="73"/>
      <c r="CO258" s="73"/>
      <c r="CP258" s="73"/>
      <c r="CQ258" s="73"/>
      <c r="CR258" s="73"/>
      <c r="CS258" s="73"/>
      <c r="CT258" s="73"/>
      <c r="CU258" s="73"/>
      <c r="CV258" s="73"/>
      <c r="CW258" s="73"/>
      <c r="CX258" s="73"/>
      <c r="CY258" s="73"/>
      <c r="CZ258" s="73"/>
      <c r="DA258" s="73"/>
      <c r="DB258" s="73"/>
      <c r="DC258" s="73"/>
      <c r="DD258" s="73"/>
      <c r="DE258" s="73"/>
      <c r="DF258" s="73"/>
      <c r="DG258" s="73"/>
      <c r="DH258" s="73"/>
      <c r="DI258" s="73"/>
      <c r="DJ258" s="73"/>
      <c r="DK258" s="73"/>
      <c r="DL258" s="73"/>
      <c r="DM258" s="73"/>
      <c r="DN258" s="73"/>
      <c r="DO258" s="73"/>
      <c r="DP258" s="73"/>
      <c r="DQ258" s="73"/>
      <c r="DR258" s="73"/>
      <c r="DS258" s="73"/>
      <c r="DT258" s="73"/>
      <c r="DU258" s="73"/>
      <c r="DV258" s="22"/>
      <c r="DW258" s="20"/>
      <c r="DX258" s="22"/>
      <c r="DY258" s="20"/>
      <c r="DZ258" s="22"/>
      <c r="EA258" s="20"/>
      <c r="EB258" s="22"/>
      <c r="EC258" s="20"/>
      <c r="ED258" s="22"/>
      <c r="EE258" s="20"/>
      <c r="EF258" s="22"/>
      <c r="EG258" s="20"/>
      <c r="EH258" s="22"/>
      <c r="EI258" s="20"/>
      <c r="EJ258" s="22"/>
      <c r="EK258" s="20"/>
      <c r="EL258" s="22"/>
      <c r="EM258" s="20"/>
      <c r="EN258" s="22"/>
      <c r="EO258" s="20"/>
      <c r="EP258" s="22"/>
      <c r="EQ258" s="20"/>
      <c r="ER258" s="22"/>
      <c r="ES258" s="20"/>
      <c r="ET258" s="22"/>
      <c r="EU258" s="20"/>
      <c r="EV258" s="22"/>
      <c r="EW258" s="20"/>
      <c r="EX258" s="22"/>
      <c r="EY258" s="20"/>
      <c r="EZ258" s="22"/>
      <c r="FA258" s="20"/>
      <c r="FB258" s="22"/>
      <c r="FC258" s="20"/>
      <c r="FD258" s="22"/>
      <c r="FE258" s="20"/>
      <c r="FF258" s="22"/>
      <c r="FG258" s="20"/>
      <c r="FH258" s="22"/>
      <c r="FI258" s="20"/>
      <c r="FJ258" s="22"/>
      <c r="FK258" s="20"/>
      <c r="FL258" s="22"/>
      <c r="FM258" s="20"/>
      <c r="FN258" s="22"/>
      <c r="FO258" s="20"/>
      <c r="FP258" s="22"/>
      <c r="FQ258" s="20"/>
      <c r="FR258" s="22"/>
      <c r="FS258" s="20"/>
      <c r="FT258" s="22"/>
      <c r="FU258" s="20"/>
      <c r="FV258" s="22"/>
      <c r="FW258" s="20"/>
      <c r="FX258" s="22"/>
      <c r="FY258" s="20"/>
      <c r="FZ258" s="22"/>
      <c r="GA258" s="20"/>
      <c r="GB258" s="22"/>
      <c r="GC258" s="20"/>
      <c r="GD258" s="22"/>
      <c r="GE258" s="20"/>
      <c r="GF258" s="22"/>
      <c r="GG258" s="20"/>
      <c r="GH258" s="22"/>
      <c r="GI258" s="20"/>
      <c r="GJ258" s="22"/>
      <c r="GK258" s="20"/>
      <c r="GL258" s="22"/>
      <c r="GM258" s="20"/>
      <c r="GN258" s="22"/>
      <c r="GO258" s="20"/>
      <c r="GP258" s="22"/>
      <c r="GQ258" s="20"/>
      <c r="GR258" s="22"/>
      <c r="GS258" s="20"/>
      <c r="GT258" s="22"/>
      <c r="GU258" s="20"/>
      <c r="GV258" s="22"/>
      <c r="GW258" s="20"/>
      <c r="GX258" s="22"/>
      <c r="GY258" s="20"/>
      <c r="GZ258" s="22"/>
      <c r="HA258" s="20"/>
      <c r="HB258" s="22"/>
      <c r="HC258" s="20"/>
      <c r="HD258" s="22"/>
      <c r="HE258" s="20"/>
      <c r="HF258" s="22"/>
      <c r="HG258" s="20"/>
      <c r="HH258" s="22"/>
      <c r="HI258" s="20"/>
      <c r="HJ258" s="22"/>
      <c r="HK258" s="20"/>
      <c r="HL258" s="22"/>
      <c r="HM258" s="20"/>
      <c r="HN258" s="22"/>
      <c r="HO258" s="20"/>
      <c r="HP258" s="22"/>
      <c r="HQ258" s="20"/>
      <c r="HR258" s="22"/>
      <c r="HS258" s="20"/>
      <c r="HT258" s="22"/>
      <c r="HU258" s="20"/>
      <c r="HV258" s="22"/>
      <c r="HW258" s="20"/>
      <c r="HX258" s="22"/>
      <c r="HY258" s="20"/>
      <c r="HZ258" s="22"/>
      <c r="IA258" s="20"/>
      <c r="IB258" s="20"/>
      <c r="IC258" s="20"/>
      <c r="ID258" s="20">
        <v>4.0</v>
      </c>
      <c r="IE258" s="20"/>
      <c r="IF258" s="22"/>
      <c r="IG258" s="20">
        <v>7.0</v>
      </c>
      <c r="IH258" s="20" t="s">
        <v>234</v>
      </c>
      <c r="II258" s="20"/>
      <c r="IJ258" s="22"/>
      <c r="IK258" s="20"/>
      <c r="IL258" s="22"/>
      <c r="IM258" s="20"/>
      <c r="IN258" s="22"/>
      <c r="IO258" s="20"/>
      <c r="IP258" s="22"/>
      <c r="IQ258" s="20"/>
      <c r="IR258" s="22"/>
      <c r="IS258" s="20"/>
      <c r="IT258" s="22"/>
      <c r="IU258" s="20"/>
      <c r="IV258" s="22"/>
      <c r="IW258" s="20"/>
      <c r="IX258" s="22"/>
      <c r="IY258" s="20"/>
      <c r="IZ258" s="22"/>
      <c r="JA258" s="20"/>
      <c r="JB258" s="22"/>
      <c r="JC258" s="20"/>
      <c r="JD258" s="22"/>
      <c r="JE258" s="20"/>
      <c r="JF258" s="22"/>
      <c r="JG258" s="20"/>
      <c r="JH258" s="22"/>
      <c r="JI258" s="20"/>
      <c r="JJ258" s="22"/>
      <c r="JK258" s="20"/>
      <c r="JL258" s="22"/>
      <c r="JM258" s="20"/>
      <c r="JN258" s="22"/>
      <c r="JO258" s="20"/>
      <c r="JP258" s="22"/>
      <c r="JQ258" s="20"/>
      <c r="JR258" s="22"/>
      <c r="JS258" s="20"/>
      <c r="JT258" s="22"/>
      <c r="JU258" s="20"/>
      <c r="JV258" s="22"/>
      <c r="JW258" s="20"/>
      <c r="JX258" s="22"/>
      <c r="JY258" s="20"/>
      <c r="JZ258" s="22"/>
      <c r="KA258" s="20"/>
      <c r="KB258" s="22"/>
      <c r="KC258" s="20"/>
      <c r="KD258" s="22"/>
      <c r="KE258" s="20"/>
      <c r="KF258" s="22"/>
      <c r="KG258" s="20"/>
      <c r="KH258" s="22"/>
      <c r="KI258" s="20"/>
      <c r="KJ258" s="22"/>
      <c r="KK258" s="20"/>
      <c r="KL258" s="22"/>
      <c r="KM258" s="20"/>
      <c r="KN258" s="22"/>
      <c r="KO258" s="20"/>
      <c r="KP258" s="22"/>
      <c r="KQ258" s="20"/>
      <c r="KR258" s="22"/>
      <c r="KS258" s="20"/>
      <c r="KT258" s="22"/>
      <c r="KU258" s="20"/>
      <c r="KV258" s="22"/>
      <c r="KW258" s="20"/>
      <c r="KX258" s="22"/>
      <c r="KY258" s="20"/>
      <c r="KZ258" s="22"/>
      <c r="LA258" s="20"/>
      <c r="LB258" s="22"/>
      <c r="LC258" s="20"/>
      <c r="LD258" s="22"/>
      <c r="LE258" s="20"/>
      <c r="LF258" s="22"/>
      <c r="LG258" s="20"/>
      <c r="LH258" s="22"/>
      <c r="LI258" s="20"/>
      <c r="LJ258" s="22"/>
      <c r="LK258" s="20"/>
      <c r="LL258" s="22"/>
      <c r="LM258" s="20"/>
      <c r="LN258" s="22"/>
      <c r="LO258" s="20"/>
      <c r="LP258" s="22"/>
      <c r="LQ258" s="20"/>
      <c r="LR258" s="22"/>
      <c r="LS258" s="20"/>
      <c r="LT258" s="22"/>
      <c r="LU258" s="20"/>
      <c r="LV258" s="22"/>
      <c r="LW258" s="20"/>
      <c r="LX258" s="22"/>
      <c r="LY258" s="20"/>
      <c r="LZ258" s="22"/>
      <c r="MA258" s="20"/>
      <c r="MB258" s="22"/>
      <c r="MC258" s="20"/>
      <c r="MD258" s="22"/>
      <c r="ME258" s="20"/>
      <c r="MF258" s="22"/>
      <c r="MG258" s="20"/>
      <c r="MH258" s="22"/>
      <c r="MI258" s="20"/>
      <c r="MJ258" s="22"/>
      <c r="MK258" s="20"/>
      <c r="ML258" s="22"/>
      <c r="MM258" s="20"/>
      <c r="MN258" s="22"/>
      <c r="MO258" s="20"/>
      <c r="MP258" s="22"/>
      <c r="MQ258" s="20"/>
      <c r="MR258" s="22"/>
      <c r="MS258" s="20"/>
      <c r="MT258" s="22"/>
      <c r="MU258" s="20"/>
      <c r="MV258" s="22"/>
      <c r="MW258" s="20"/>
      <c r="MX258" s="22"/>
      <c r="MY258" s="20"/>
      <c r="MZ258" s="22"/>
      <c r="NA258" s="20"/>
      <c r="NB258" s="22"/>
      <c r="NC258" s="20"/>
      <c r="ND258" s="22"/>
      <c r="NE258" s="20"/>
      <c r="NF258" s="73"/>
    </row>
    <row r="259" hidden="1">
      <c r="A259" s="237"/>
      <c r="B259" s="267"/>
      <c r="C259" s="239">
        <v>46259.0</v>
      </c>
      <c r="D259" s="287" t="s">
        <v>440</v>
      </c>
      <c r="E259" s="242" t="s">
        <v>47</v>
      </c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  <c r="CI259" s="73"/>
      <c r="CJ259" s="73"/>
      <c r="CK259" s="73"/>
      <c r="CL259" s="73"/>
      <c r="CM259" s="73"/>
      <c r="CN259" s="73"/>
      <c r="CO259" s="73"/>
      <c r="CP259" s="73"/>
      <c r="CQ259" s="73"/>
      <c r="CR259" s="73"/>
      <c r="CS259" s="73"/>
      <c r="CT259" s="73"/>
      <c r="CU259" s="73"/>
      <c r="CV259" s="73"/>
      <c r="CW259" s="73"/>
      <c r="CX259" s="73"/>
      <c r="CY259" s="73"/>
      <c r="CZ259" s="73"/>
      <c r="DA259" s="73"/>
      <c r="DB259" s="73"/>
      <c r="DC259" s="73"/>
      <c r="DD259" s="73"/>
      <c r="DE259" s="73"/>
      <c r="DF259" s="73"/>
      <c r="DG259" s="73"/>
      <c r="DH259" s="73"/>
      <c r="DI259" s="73"/>
      <c r="DJ259" s="73"/>
      <c r="DK259" s="73"/>
      <c r="DL259" s="73"/>
      <c r="DM259" s="73"/>
      <c r="DN259" s="73"/>
      <c r="DO259" s="73"/>
      <c r="DP259" s="73"/>
      <c r="DQ259" s="73"/>
      <c r="DR259" s="73"/>
      <c r="DS259" s="73"/>
      <c r="DT259" s="73"/>
      <c r="DU259" s="73"/>
      <c r="DV259" s="22"/>
      <c r="DW259" s="20"/>
      <c r="DX259" s="22"/>
      <c r="DY259" s="20"/>
      <c r="DZ259" s="22"/>
      <c r="EA259" s="20"/>
      <c r="EB259" s="22"/>
      <c r="EC259" s="20"/>
      <c r="ED259" s="22"/>
      <c r="EE259" s="20"/>
      <c r="EF259" s="22"/>
      <c r="EG259" s="20"/>
      <c r="EH259" s="22"/>
      <c r="EI259" s="20"/>
      <c r="EJ259" s="22"/>
      <c r="EK259" s="20"/>
      <c r="EL259" s="22"/>
      <c r="EM259" s="20"/>
      <c r="EN259" s="22"/>
      <c r="EO259" s="20"/>
      <c r="EP259" s="22"/>
      <c r="EQ259" s="20"/>
      <c r="ER259" s="22"/>
      <c r="ES259" s="20"/>
      <c r="ET259" s="22"/>
      <c r="EU259" s="20"/>
      <c r="EV259" s="22"/>
      <c r="EW259" s="20"/>
      <c r="EX259" s="22"/>
      <c r="EY259" s="20"/>
      <c r="EZ259" s="22"/>
      <c r="FA259" s="20"/>
      <c r="FB259" s="22"/>
      <c r="FC259" s="20"/>
      <c r="FD259" s="22"/>
      <c r="FE259" s="20"/>
      <c r="FF259" s="22"/>
      <c r="FG259" s="20"/>
      <c r="FH259" s="22"/>
      <c r="FI259" s="20"/>
      <c r="FJ259" s="22"/>
      <c r="FK259" s="20"/>
      <c r="FL259" s="22"/>
      <c r="FM259" s="20"/>
      <c r="FN259" s="22"/>
      <c r="FO259" s="20"/>
      <c r="FP259" s="22"/>
      <c r="FQ259" s="20"/>
      <c r="FR259" s="22"/>
      <c r="FS259" s="20"/>
      <c r="FT259" s="22"/>
      <c r="FU259" s="20"/>
      <c r="FV259" s="22"/>
      <c r="FW259" s="20"/>
      <c r="FX259" s="22"/>
      <c r="FY259" s="20"/>
      <c r="FZ259" s="22"/>
      <c r="GA259" s="20"/>
      <c r="GB259" s="22"/>
      <c r="GC259" s="20"/>
      <c r="GD259" s="22"/>
      <c r="GE259" s="20"/>
      <c r="GF259" s="22"/>
      <c r="GG259" s="20"/>
      <c r="GH259" s="22"/>
      <c r="GI259" s="20"/>
      <c r="GJ259" s="22"/>
      <c r="GK259" s="20"/>
      <c r="GL259" s="22"/>
      <c r="GM259" s="20"/>
      <c r="GN259" s="22"/>
      <c r="GO259" s="20"/>
      <c r="GP259" s="22"/>
      <c r="GQ259" s="20"/>
      <c r="GR259" s="22"/>
      <c r="GS259" s="20"/>
      <c r="GT259" s="22"/>
      <c r="GU259" s="20"/>
      <c r="GV259" s="22"/>
      <c r="GW259" s="20"/>
      <c r="GX259" s="22"/>
      <c r="GY259" s="20"/>
      <c r="GZ259" s="22"/>
      <c r="HA259" s="20"/>
      <c r="HB259" s="22"/>
      <c r="HC259" s="20"/>
      <c r="HD259" s="22"/>
      <c r="HE259" s="20"/>
      <c r="HF259" s="22"/>
      <c r="HG259" s="20"/>
      <c r="HH259" s="22"/>
      <c r="HI259" s="20"/>
      <c r="HJ259" s="22"/>
      <c r="HK259" s="20"/>
      <c r="HL259" s="22"/>
      <c r="HM259" s="20"/>
      <c r="HN259" s="22"/>
      <c r="HO259" s="20"/>
      <c r="HP259" s="22"/>
      <c r="HQ259" s="20"/>
      <c r="HR259" s="22"/>
      <c r="HS259" s="20"/>
      <c r="HT259" s="22"/>
      <c r="HU259" s="20"/>
      <c r="HV259" s="22"/>
      <c r="HW259" s="20"/>
      <c r="HX259" s="22"/>
      <c r="HY259" s="20"/>
      <c r="HZ259" s="22"/>
      <c r="IA259" s="20"/>
      <c r="IB259" s="22"/>
      <c r="IC259" s="20"/>
      <c r="ID259" s="22"/>
      <c r="IE259" s="20"/>
      <c r="IF259" s="22"/>
      <c r="IG259" s="20"/>
      <c r="IH259" s="20">
        <v>4.0</v>
      </c>
      <c r="II259" s="20"/>
      <c r="IJ259" s="22"/>
      <c r="IK259" s="20"/>
      <c r="IL259" s="22"/>
      <c r="IM259" s="20"/>
      <c r="IN259" s="22"/>
      <c r="IO259" s="20"/>
      <c r="IP259" s="22"/>
      <c r="IQ259" s="20"/>
      <c r="IR259" s="22"/>
      <c r="IS259" s="20"/>
      <c r="IT259" s="22"/>
      <c r="IU259" s="20"/>
      <c r="IV259" s="22"/>
      <c r="IW259" s="20"/>
      <c r="IX259" s="22"/>
      <c r="IY259" s="20"/>
      <c r="IZ259" s="22"/>
      <c r="JA259" s="20"/>
      <c r="JB259" s="22"/>
      <c r="JC259" s="20"/>
      <c r="JD259" s="22"/>
      <c r="JE259" s="20"/>
      <c r="JF259" s="22"/>
      <c r="JG259" s="20"/>
      <c r="JH259" s="22"/>
      <c r="JI259" s="20"/>
      <c r="JJ259" s="22"/>
      <c r="JK259" s="20"/>
      <c r="JL259" s="22"/>
      <c r="JM259" s="20"/>
      <c r="JN259" s="22"/>
      <c r="JO259" s="20"/>
      <c r="JP259" s="22"/>
      <c r="JQ259" s="20"/>
      <c r="JR259" s="22"/>
      <c r="JS259" s="20"/>
      <c r="JT259" s="22"/>
      <c r="JU259" s="20"/>
      <c r="JV259" s="22"/>
      <c r="JW259" s="20"/>
      <c r="JX259" s="22"/>
      <c r="JY259" s="20"/>
      <c r="JZ259" s="22"/>
      <c r="KA259" s="20"/>
      <c r="KB259" s="22"/>
      <c r="KC259" s="20"/>
      <c r="KD259" s="22"/>
      <c r="KE259" s="20"/>
      <c r="KF259" s="22"/>
      <c r="KG259" s="20"/>
      <c r="KH259" s="22"/>
      <c r="KI259" s="20"/>
      <c r="KJ259" s="22"/>
      <c r="KK259" s="20"/>
      <c r="KL259" s="22"/>
      <c r="KM259" s="20"/>
      <c r="KN259" s="22"/>
      <c r="KO259" s="20"/>
      <c r="KP259" s="22"/>
      <c r="KQ259" s="20"/>
      <c r="KR259" s="22"/>
      <c r="KS259" s="20"/>
      <c r="KT259" s="22"/>
      <c r="KU259" s="20"/>
      <c r="KV259" s="22"/>
      <c r="KW259" s="20"/>
      <c r="KX259" s="22"/>
      <c r="KY259" s="20"/>
      <c r="KZ259" s="22"/>
      <c r="LA259" s="20"/>
      <c r="LB259" s="22"/>
      <c r="LC259" s="20"/>
      <c r="LD259" s="22"/>
      <c r="LE259" s="20"/>
      <c r="LF259" s="22"/>
      <c r="LG259" s="20"/>
      <c r="LH259" s="22"/>
      <c r="LI259" s="20"/>
      <c r="LJ259" s="22"/>
      <c r="LK259" s="20"/>
      <c r="LL259" s="22"/>
      <c r="LM259" s="20"/>
      <c r="LN259" s="22"/>
      <c r="LO259" s="20"/>
      <c r="LP259" s="22"/>
      <c r="LQ259" s="20"/>
      <c r="LR259" s="22"/>
      <c r="LS259" s="20"/>
      <c r="LT259" s="22"/>
      <c r="LU259" s="20"/>
      <c r="LV259" s="22"/>
      <c r="LW259" s="20"/>
      <c r="LX259" s="22"/>
      <c r="LY259" s="20"/>
      <c r="LZ259" s="22"/>
      <c r="MA259" s="20"/>
      <c r="MB259" s="22"/>
      <c r="MC259" s="20"/>
      <c r="MD259" s="22"/>
      <c r="ME259" s="20"/>
      <c r="MF259" s="22"/>
      <c r="MG259" s="20"/>
      <c r="MH259" s="22"/>
      <c r="MI259" s="20"/>
      <c r="MJ259" s="22"/>
      <c r="MK259" s="20"/>
      <c r="ML259" s="22"/>
      <c r="MM259" s="20"/>
      <c r="MN259" s="22"/>
      <c r="MO259" s="20"/>
      <c r="MP259" s="22"/>
      <c r="MQ259" s="20"/>
      <c r="MR259" s="22"/>
      <c r="MS259" s="20"/>
      <c r="MT259" s="22"/>
      <c r="MU259" s="20"/>
      <c r="MV259" s="22"/>
      <c r="MW259" s="20"/>
      <c r="MX259" s="22"/>
      <c r="MY259" s="20"/>
      <c r="MZ259" s="22"/>
      <c r="NA259" s="20"/>
      <c r="NB259" s="22"/>
      <c r="NC259" s="20"/>
      <c r="ND259" s="22"/>
      <c r="NE259" s="20"/>
      <c r="NF259" s="73"/>
    </row>
    <row r="260" hidden="1">
      <c r="A260" s="237"/>
      <c r="B260" s="267"/>
      <c r="C260" s="239">
        <v>46261.0</v>
      </c>
      <c r="D260" s="287" t="s">
        <v>441</v>
      </c>
      <c r="E260" s="242" t="s">
        <v>47</v>
      </c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/>
      <c r="CO260" s="73"/>
      <c r="CP260" s="73"/>
      <c r="CQ260" s="73"/>
      <c r="CR260" s="73"/>
      <c r="CS260" s="73"/>
      <c r="CT260" s="73"/>
      <c r="CU260" s="73"/>
      <c r="CV260" s="73"/>
      <c r="CW260" s="73"/>
      <c r="CX260" s="73"/>
      <c r="CY260" s="73"/>
      <c r="CZ260" s="73"/>
      <c r="DA260" s="73"/>
      <c r="DB260" s="73"/>
      <c r="DC260" s="73"/>
      <c r="DD260" s="73"/>
      <c r="DE260" s="73"/>
      <c r="DF260" s="73"/>
      <c r="DG260" s="73"/>
      <c r="DH260" s="73"/>
      <c r="DI260" s="73"/>
      <c r="DJ260" s="73"/>
      <c r="DK260" s="73"/>
      <c r="DL260" s="73"/>
      <c r="DM260" s="73"/>
      <c r="DN260" s="73"/>
      <c r="DO260" s="73"/>
      <c r="DP260" s="73"/>
      <c r="DQ260" s="73"/>
      <c r="DR260" s="73"/>
      <c r="DS260" s="73"/>
      <c r="DT260" s="73"/>
      <c r="DU260" s="73"/>
      <c r="DV260" s="22"/>
      <c r="DW260" s="20"/>
      <c r="DX260" s="22"/>
      <c r="DY260" s="20"/>
      <c r="DZ260" s="22"/>
      <c r="EA260" s="20"/>
      <c r="EB260" s="22"/>
      <c r="EC260" s="20"/>
      <c r="ED260" s="22"/>
      <c r="EE260" s="20"/>
      <c r="EF260" s="22"/>
      <c r="EG260" s="20"/>
      <c r="EH260" s="22"/>
      <c r="EI260" s="20"/>
      <c r="EJ260" s="22"/>
      <c r="EK260" s="20"/>
      <c r="EL260" s="22"/>
      <c r="EM260" s="20"/>
      <c r="EN260" s="22"/>
      <c r="EO260" s="20"/>
      <c r="EP260" s="22"/>
      <c r="EQ260" s="20"/>
      <c r="ER260" s="22"/>
      <c r="ES260" s="20"/>
      <c r="ET260" s="22"/>
      <c r="EU260" s="20"/>
      <c r="EV260" s="22"/>
      <c r="EW260" s="20"/>
      <c r="EX260" s="22"/>
      <c r="EY260" s="20"/>
      <c r="EZ260" s="22"/>
      <c r="FA260" s="20"/>
      <c r="FB260" s="22"/>
      <c r="FC260" s="20"/>
      <c r="FD260" s="22"/>
      <c r="FE260" s="20"/>
      <c r="FF260" s="22"/>
      <c r="FG260" s="20"/>
      <c r="FH260" s="22"/>
      <c r="FI260" s="20"/>
      <c r="FJ260" s="22"/>
      <c r="FK260" s="20"/>
      <c r="FL260" s="22"/>
      <c r="FM260" s="20"/>
      <c r="FN260" s="22"/>
      <c r="FO260" s="20"/>
      <c r="FP260" s="22"/>
      <c r="FQ260" s="20"/>
      <c r="FR260" s="22"/>
      <c r="FS260" s="20"/>
      <c r="FT260" s="22"/>
      <c r="FU260" s="20"/>
      <c r="FV260" s="22"/>
      <c r="FW260" s="20"/>
      <c r="FX260" s="22"/>
      <c r="FY260" s="20"/>
      <c r="FZ260" s="22"/>
      <c r="GA260" s="20"/>
      <c r="GB260" s="22"/>
      <c r="GC260" s="20"/>
      <c r="GD260" s="22"/>
      <c r="GE260" s="20"/>
      <c r="GF260" s="22"/>
      <c r="GG260" s="20"/>
      <c r="GH260" s="22"/>
      <c r="GI260" s="20"/>
      <c r="GJ260" s="22"/>
      <c r="GK260" s="20"/>
      <c r="GL260" s="22"/>
      <c r="GM260" s="20"/>
      <c r="GN260" s="22"/>
      <c r="GO260" s="20"/>
      <c r="GP260" s="22"/>
      <c r="GQ260" s="20"/>
      <c r="GR260" s="22"/>
      <c r="GS260" s="20"/>
      <c r="GT260" s="22"/>
      <c r="GU260" s="20"/>
      <c r="GV260" s="22"/>
      <c r="GW260" s="20"/>
      <c r="GX260" s="22"/>
      <c r="GY260" s="20"/>
      <c r="GZ260" s="22"/>
      <c r="HA260" s="20"/>
      <c r="HB260" s="22"/>
      <c r="HC260" s="20"/>
      <c r="HD260" s="22"/>
      <c r="HE260" s="20"/>
      <c r="HF260" s="22"/>
      <c r="HG260" s="20"/>
      <c r="HH260" s="22"/>
      <c r="HI260" s="20"/>
      <c r="HJ260" s="22"/>
      <c r="HK260" s="20"/>
      <c r="HL260" s="22"/>
      <c r="HM260" s="20"/>
      <c r="HN260" s="22"/>
      <c r="HO260" s="20"/>
      <c r="HP260" s="22"/>
      <c r="HQ260" s="20"/>
      <c r="HR260" s="22"/>
      <c r="HS260" s="20"/>
      <c r="HT260" s="22"/>
      <c r="HU260" s="20"/>
      <c r="HV260" s="22"/>
      <c r="HW260" s="20"/>
      <c r="HX260" s="22"/>
      <c r="HY260" s="20"/>
      <c r="HZ260" s="22"/>
      <c r="IA260" s="20"/>
      <c r="IB260" s="22"/>
      <c r="IC260" s="20"/>
      <c r="ID260" s="22"/>
      <c r="IE260" s="20"/>
      <c r="IF260" s="22"/>
      <c r="IG260" s="20"/>
      <c r="IH260" s="22"/>
      <c r="II260" s="20">
        <v>4.0</v>
      </c>
      <c r="IJ260" s="22"/>
      <c r="IK260" s="20"/>
      <c r="IL260" s="22"/>
      <c r="IM260" s="20"/>
      <c r="IN260" s="22"/>
      <c r="IO260" s="20"/>
      <c r="IP260" s="22"/>
      <c r="IQ260" s="20"/>
      <c r="IR260" s="22"/>
      <c r="IS260" s="20"/>
      <c r="IT260" s="22"/>
      <c r="IU260" s="20"/>
      <c r="IV260" s="22"/>
      <c r="IW260" s="20"/>
      <c r="IX260" s="22"/>
      <c r="IY260" s="20"/>
      <c r="IZ260" s="22"/>
      <c r="JA260" s="20"/>
      <c r="JB260" s="22"/>
      <c r="JC260" s="20"/>
      <c r="JD260" s="22"/>
      <c r="JE260" s="20"/>
      <c r="JF260" s="22"/>
      <c r="JG260" s="20"/>
      <c r="JH260" s="22"/>
      <c r="JI260" s="20"/>
      <c r="JJ260" s="22"/>
      <c r="JK260" s="20"/>
      <c r="JL260" s="22"/>
      <c r="JM260" s="20"/>
      <c r="JN260" s="22"/>
      <c r="JO260" s="20"/>
      <c r="JP260" s="22"/>
      <c r="JQ260" s="20"/>
      <c r="JR260" s="22"/>
      <c r="JS260" s="20"/>
      <c r="JT260" s="22"/>
      <c r="JU260" s="20"/>
      <c r="JV260" s="22"/>
      <c r="JW260" s="20"/>
      <c r="JX260" s="22"/>
      <c r="JY260" s="20"/>
      <c r="JZ260" s="22"/>
      <c r="KA260" s="20"/>
      <c r="KB260" s="22"/>
      <c r="KC260" s="20"/>
      <c r="KD260" s="22"/>
      <c r="KE260" s="20"/>
      <c r="KF260" s="22"/>
      <c r="KG260" s="20"/>
      <c r="KH260" s="22"/>
      <c r="KI260" s="20"/>
      <c r="KJ260" s="22"/>
      <c r="KK260" s="20"/>
      <c r="KL260" s="22"/>
      <c r="KM260" s="20"/>
      <c r="KN260" s="22"/>
      <c r="KO260" s="20"/>
      <c r="KP260" s="22"/>
      <c r="KQ260" s="20"/>
      <c r="KR260" s="22"/>
      <c r="KS260" s="20"/>
      <c r="KT260" s="22"/>
      <c r="KU260" s="20"/>
      <c r="KV260" s="22"/>
      <c r="KW260" s="20"/>
      <c r="KX260" s="22"/>
      <c r="KY260" s="20"/>
      <c r="KZ260" s="22"/>
      <c r="LA260" s="20"/>
      <c r="LB260" s="22"/>
      <c r="LC260" s="20"/>
      <c r="LD260" s="22"/>
      <c r="LE260" s="20"/>
      <c r="LF260" s="22"/>
      <c r="LG260" s="20"/>
      <c r="LH260" s="22"/>
      <c r="LI260" s="20"/>
      <c r="LJ260" s="22"/>
      <c r="LK260" s="20"/>
      <c r="LL260" s="22"/>
      <c r="LM260" s="20"/>
      <c r="LN260" s="22"/>
      <c r="LO260" s="20"/>
      <c r="LP260" s="22"/>
      <c r="LQ260" s="20"/>
      <c r="LR260" s="22"/>
      <c r="LS260" s="20"/>
      <c r="LT260" s="22"/>
      <c r="LU260" s="20"/>
      <c r="LV260" s="22"/>
      <c r="LW260" s="20"/>
      <c r="LX260" s="22"/>
      <c r="LY260" s="20"/>
      <c r="LZ260" s="22"/>
      <c r="MA260" s="20"/>
      <c r="MB260" s="22"/>
      <c r="MC260" s="20"/>
      <c r="MD260" s="22"/>
      <c r="ME260" s="20"/>
      <c r="MF260" s="22"/>
      <c r="MG260" s="20"/>
      <c r="MH260" s="22"/>
      <c r="MI260" s="20"/>
      <c r="MJ260" s="22"/>
      <c r="MK260" s="20"/>
      <c r="ML260" s="22"/>
      <c r="MM260" s="20"/>
      <c r="MN260" s="22"/>
      <c r="MO260" s="20"/>
      <c r="MP260" s="22"/>
      <c r="MQ260" s="20"/>
      <c r="MR260" s="22"/>
      <c r="MS260" s="20"/>
      <c r="MT260" s="22"/>
      <c r="MU260" s="20"/>
      <c r="MV260" s="22"/>
      <c r="MW260" s="20"/>
      <c r="MX260" s="22"/>
      <c r="MY260" s="20"/>
      <c r="MZ260" s="22"/>
      <c r="NA260" s="20"/>
      <c r="NB260" s="22"/>
      <c r="NC260" s="20"/>
      <c r="ND260" s="22"/>
      <c r="NE260" s="20"/>
      <c r="NF260" s="73"/>
    </row>
    <row r="261" hidden="1">
      <c r="A261" s="237"/>
      <c r="B261" s="267"/>
      <c r="C261" s="239">
        <v>46262.0</v>
      </c>
      <c r="D261" s="287" t="s">
        <v>442</v>
      </c>
      <c r="E261" s="242" t="s">
        <v>47</v>
      </c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  <c r="CI261" s="73"/>
      <c r="CJ261" s="73"/>
      <c r="CK261" s="73"/>
      <c r="CL261" s="73"/>
      <c r="CM261" s="73"/>
      <c r="CN261" s="73"/>
      <c r="CO261" s="73"/>
      <c r="CP261" s="73"/>
      <c r="CQ261" s="73"/>
      <c r="CR261" s="73"/>
      <c r="CS261" s="73"/>
      <c r="CT261" s="73"/>
      <c r="CU261" s="73"/>
      <c r="CV261" s="73"/>
      <c r="CW261" s="73"/>
      <c r="CX261" s="73"/>
      <c r="CY261" s="73"/>
      <c r="CZ261" s="73"/>
      <c r="DA261" s="73"/>
      <c r="DB261" s="73"/>
      <c r="DC261" s="73"/>
      <c r="DD261" s="73"/>
      <c r="DE261" s="73"/>
      <c r="DF261" s="73"/>
      <c r="DG261" s="73"/>
      <c r="DH261" s="73"/>
      <c r="DI261" s="73"/>
      <c r="DJ261" s="73"/>
      <c r="DK261" s="73"/>
      <c r="DL261" s="73"/>
      <c r="DM261" s="73"/>
      <c r="DN261" s="73"/>
      <c r="DO261" s="73"/>
      <c r="DP261" s="73"/>
      <c r="DQ261" s="73"/>
      <c r="DR261" s="73"/>
      <c r="DS261" s="73"/>
      <c r="DT261" s="73"/>
      <c r="DU261" s="73"/>
      <c r="DV261" s="22"/>
      <c r="DW261" s="20"/>
      <c r="DX261" s="22"/>
      <c r="DY261" s="20"/>
      <c r="DZ261" s="22"/>
      <c r="EA261" s="20"/>
      <c r="EB261" s="22"/>
      <c r="EC261" s="20"/>
      <c r="ED261" s="22"/>
      <c r="EE261" s="20"/>
      <c r="EF261" s="22"/>
      <c r="EG261" s="20"/>
      <c r="EH261" s="22"/>
      <c r="EI261" s="20"/>
      <c r="EJ261" s="22"/>
      <c r="EK261" s="20"/>
      <c r="EL261" s="22"/>
      <c r="EM261" s="20"/>
      <c r="EN261" s="22"/>
      <c r="EO261" s="20"/>
      <c r="EP261" s="22"/>
      <c r="EQ261" s="20"/>
      <c r="ER261" s="22"/>
      <c r="ES261" s="20"/>
      <c r="ET261" s="22"/>
      <c r="EU261" s="20"/>
      <c r="EV261" s="22"/>
      <c r="EW261" s="20"/>
      <c r="EX261" s="22"/>
      <c r="EY261" s="20"/>
      <c r="EZ261" s="22"/>
      <c r="FA261" s="20"/>
      <c r="FB261" s="22"/>
      <c r="FC261" s="20"/>
      <c r="FD261" s="22"/>
      <c r="FE261" s="20"/>
      <c r="FF261" s="22"/>
      <c r="FG261" s="20"/>
      <c r="FH261" s="22"/>
      <c r="FI261" s="20"/>
      <c r="FJ261" s="22"/>
      <c r="FK261" s="20"/>
      <c r="FL261" s="22"/>
      <c r="FM261" s="20"/>
      <c r="FN261" s="22"/>
      <c r="FO261" s="20"/>
      <c r="FP261" s="22"/>
      <c r="FQ261" s="20"/>
      <c r="FR261" s="22"/>
      <c r="FS261" s="20"/>
      <c r="FT261" s="22"/>
      <c r="FU261" s="20"/>
      <c r="FV261" s="22"/>
      <c r="FW261" s="20"/>
      <c r="FX261" s="22"/>
      <c r="FY261" s="20"/>
      <c r="FZ261" s="22"/>
      <c r="GA261" s="20"/>
      <c r="GB261" s="22"/>
      <c r="GC261" s="20"/>
      <c r="GD261" s="22"/>
      <c r="GE261" s="20"/>
      <c r="GF261" s="22"/>
      <c r="GG261" s="20"/>
      <c r="GH261" s="22"/>
      <c r="GI261" s="20"/>
      <c r="GJ261" s="22"/>
      <c r="GK261" s="20"/>
      <c r="GL261" s="22"/>
      <c r="GM261" s="20"/>
      <c r="GN261" s="22"/>
      <c r="GO261" s="20"/>
      <c r="GP261" s="22"/>
      <c r="GQ261" s="20"/>
      <c r="GR261" s="22"/>
      <c r="GS261" s="20"/>
      <c r="GT261" s="22"/>
      <c r="GU261" s="20"/>
      <c r="GV261" s="22"/>
      <c r="GW261" s="20"/>
      <c r="GX261" s="22"/>
      <c r="GY261" s="20"/>
      <c r="GZ261" s="22"/>
      <c r="HA261" s="20"/>
      <c r="HB261" s="22"/>
      <c r="HC261" s="20"/>
      <c r="HD261" s="22"/>
      <c r="HE261" s="20"/>
      <c r="HF261" s="22"/>
      <c r="HG261" s="20"/>
      <c r="HH261" s="22"/>
      <c r="HI261" s="20"/>
      <c r="HJ261" s="22"/>
      <c r="HK261" s="20"/>
      <c r="HL261" s="22"/>
      <c r="HM261" s="20"/>
      <c r="HN261" s="22"/>
      <c r="HO261" s="20"/>
      <c r="HP261" s="22"/>
      <c r="HQ261" s="20"/>
      <c r="HR261" s="22"/>
      <c r="HS261" s="20"/>
      <c r="HT261" s="22"/>
      <c r="HU261" s="20"/>
      <c r="HV261" s="22"/>
      <c r="HW261" s="20"/>
      <c r="HX261" s="22"/>
      <c r="HY261" s="20"/>
      <c r="HZ261" s="22"/>
      <c r="IA261" s="20"/>
      <c r="IB261" s="22"/>
      <c r="IC261" s="20"/>
      <c r="ID261" s="22"/>
      <c r="IE261" s="20"/>
      <c r="IF261" s="22"/>
      <c r="IG261" s="20"/>
      <c r="IH261" s="22"/>
      <c r="II261" s="20"/>
      <c r="IJ261" s="20">
        <v>4.0</v>
      </c>
      <c r="IK261" s="20" t="s">
        <v>234</v>
      </c>
      <c r="IL261" s="22"/>
      <c r="IM261" s="20"/>
      <c r="IN261" s="22"/>
      <c r="IO261" s="20"/>
      <c r="IP261" s="22"/>
      <c r="IQ261" s="20"/>
      <c r="IR261" s="22"/>
      <c r="IS261" s="20"/>
      <c r="IT261" s="22"/>
      <c r="IU261" s="20"/>
      <c r="IV261" s="22"/>
      <c r="IW261" s="20"/>
      <c r="IX261" s="22"/>
      <c r="IY261" s="20"/>
      <c r="IZ261" s="22"/>
      <c r="JA261" s="20"/>
      <c r="JB261" s="22"/>
      <c r="JC261" s="20"/>
      <c r="JD261" s="22"/>
      <c r="JE261" s="20"/>
      <c r="JF261" s="22"/>
      <c r="JG261" s="20"/>
      <c r="JH261" s="22"/>
      <c r="JI261" s="20"/>
      <c r="JJ261" s="22"/>
      <c r="JK261" s="20"/>
      <c r="JL261" s="22"/>
      <c r="JM261" s="20"/>
      <c r="JN261" s="22"/>
      <c r="JO261" s="20"/>
      <c r="JP261" s="22"/>
      <c r="JQ261" s="20"/>
      <c r="JR261" s="22"/>
      <c r="JS261" s="20"/>
      <c r="JT261" s="22"/>
      <c r="JU261" s="20"/>
      <c r="JV261" s="22"/>
      <c r="JW261" s="20"/>
      <c r="JX261" s="22"/>
      <c r="JY261" s="20"/>
      <c r="JZ261" s="22"/>
      <c r="KA261" s="20"/>
      <c r="KB261" s="22"/>
      <c r="KC261" s="20"/>
      <c r="KD261" s="22"/>
      <c r="KE261" s="20"/>
      <c r="KF261" s="22"/>
      <c r="KG261" s="20"/>
      <c r="KH261" s="22"/>
      <c r="KI261" s="20"/>
      <c r="KJ261" s="22"/>
      <c r="KK261" s="20"/>
      <c r="KL261" s="22"/>
      <c r="KM261" s="20"/>
      <c r="KN261" s="22"/>
      <c r="KO261" s="20"/>
      <c r="KP261" s="22"/>
      <c r="KQ261" s="20"/>
      <c r="KR261" s="22"/>
      <c r="KS261" s="20"/>
      <c r="KT261" s="22"/>
      <c r="KU261" s="20"/>
      <c r="KV261" s="22"/>
      <c r="KW261" s="20"/>
      <c r="KX261" s="22"/>
      <c r="KY261" s="20"/>
      <c r="KZ261" s="22"/>
      <c r="LA261" s="20"/>
      <c r="LB261" s="22"/>
      <c r="LC261" s="20"/>
      <c r="LD261" s="22"/>
      <c r="LE261" s="20"/>
      <c r="LF261" s="22"/>
      <c r="LG261" s="20"/>
      <c r="LH261" s="22"/>
      <c r="LI261" s="20"/>
      <c r="LJ261" s="22"/>
      <c r="LK261" s="20"/>
      <c r="LL261" s="22"/>
      <c r="LM261" s="20"/>
      <c r="LN261" s="22"/>
      <c r="LO261" s="20"/>
      <c r="LP261" s="22"/>
      <c r="LQ261" s="20"/>
      <c r="LR261" s="22"/>
      <c r="LS261" s="20"/>
      <c r="LT261" s="22"/>
      <c r="LU261" s="20"/>
      <c r="LV261" s="22"/>
      <c r="LW261" s="20"/>
      <c r="LX261" s="22"/>
      <c r="LY261" s="20"/>
      <c r="LZ261" s="22"/>
      <c r="MA261" s="20"/>
      <c r="MB261" s="22"/>
      <c r="MC261" s="20"/>
      <c r="MD261" s="22"/>
      <c r="ME261" s="20"/>
      <c r="MF261" s="22"/>
      <c r="MG261" s="20"/>
      <c r="MH261" s="22"/>
      <c r="MI261" s="20"/>
      <c r="MJ261" s="22"/>
      <c r="MK261" s="20"/>
      <c r="ML261" s="22"/>
      <c r="MM261" s="20"/>
      <c r="MN261" s="22"/>
      <c r="MO261" s="20"/>
      <c r="MP261" s="22"/>
      <c r="MQ261" s="20"/>
      <c r="MR261" s="22"/>
      <c r="MS261" s="20"/>
      <c r="MT261" s="22"/>
      <c r="MU261" s="20"/>
      <c r="MV261" s="22"/>
      <c r="MW261" s="20"/>
      <c r="MX261" s="22"/>
      <c r="MY261" s="20"/>
      <c r="MZ261" s="22"/>
      <c r="NA261" s="20"/>
      <c r="NB261" s="22"/>
      <c r="NC261" s="20"/>
      <c r="ND261" s="22"/>
      <c r="NE261" s="20"/>
      <c r="NF261" s="73"/>
    </row>
    <row r="262">
      <c r="A262" s="237" t="str">
        <f t="shared" ref="A262:A291" si="2">IF(SUM(IO262:JR262)=0,"-",SUM(IO262:JR262))</f>
        <v>-</v>
      </c>
      <c r="B262" s="267"/>
      <c r="C262" s="239">
        <v>46266.0</v>
      </c>
      <c r="D262" s="287" t="s">
        <v>443</v>
      </c>
      <c r="E262" s="242" t="s">
        <v>47</v>
      </c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  <c r="CI262" s="73"/>
      <c r="CJ262" s="73"/>
      <c r="CK262" s="73"/>
      <c r="CL262" s="73"/>
      <c r="CM262" s="73"/>
      <c r="CN262" s="73"/>
      <c r="CO262" s="73"/>
      <c r="CP262" s="73"/>
      <c r="CQ262" s="73"/>
      <c r="CR262" s="73"/>
      <c r="CS262" s="73"/>
      <c r="CT262" s="73"/>
      <c r="CU262" s="73"/>
      <c r="CV262" s="73"/>
      <c r="CW262" s="73"/>
      <c r="CX262" s="73"/>
      <c r="CY262" s="73"/>
      <c r="CZ262" s="73"/>
      <c r="DA262" s="73"/>
      <c r="DB262" s="73"/>
      <c r="DC262" s="73"/>
      <c r="DD262" s="73"/>
      <c r="DE262" s="73"/>
      <c r="DF262" s="73"/>
      <c r="DG262" s="73"/>
      <c r="DH262" s="73"/>
      <c r="DI262" s="73"/>
      <c r="DJ262" s="73"/>
      <c r="DK262" s="73"/>
      <c r="DL262" s="73"/>
      <c r="DM262" s="73"/>
      <c r="DN262" s="73"/>
      <c r="DO262" s="73"/>
      <c r="DP262" s="73"/>
      <c r="DQ262" s="73"/>
      <c r="DR262" s="73"/>
      <c r="DS262" s="73"/>
      <c r="DT262" s="73"/>
      <c r="DU262" s="73"/>
      <c r="DV262" s="22"/>
      <c r="DW262" s="20"/>
      <c r="DX262" s="22"/>
      <c r="DY262" s="20"/>
      <c r="DZ262" s="22"/>
      <c r="EA262" s="20"/>
      <c r="EB262" s="22"/>
      <c r="EC262" s="20"/>
      <c r="ED262" s="22"/>
      <c r="EE262" s="20"/>
      <c r="EF262" s="22"/>
      <c r="EG262" s="20"/>
      <c r="EH262" s="22"/>
      <c r="EI262" s="20"/>
      <c r="EJ262" s="22"/>
      <c r="EK262" s="20"/>
      <c r="EL262" s="22"/>
      <c r="EM262" s="20"/>
      <c r="EN262" s="22"/>
      <c r="EO262" s="20"/>
      <c r="EP262" s="22"/>
      <c r="EQ262" s="20"/>
      <c r="ER262" s="22"/>
      <c r="ES262" s="20"/>
      <c r="ET262" s="22"/>
      <c r="EU262" s="20"/>
      <c r="EV262" s="22"/>
      <c r="EW262" s="20"/>
      <c r="EX262" s="22"/>
      <c r="EY262" s="20"/>
      <c r="EZ262" s="22"/>
      <c r="FA262" s="20"/>
      <c r="FB262" s="22"/>
      <c r="FC262" s="20"/>
      <c r="FD262" s="22"/>
      <c r="FE262" s="20"/>
      <c r="FF262" s="22"/>
      <c r="FG262" s="20"/>
      <c r="FH262" s="22"/>
      <c r="FI262" s="20"/>
      <c r="FJ262" s="22"/>
      <c r="FK262" s="20"/>
      <c r="FL262" s="22"/>
      <c r="FM262" s="20"/>
      <c r="FN262" s="22"/>
      <c r="FO262" s="20"/>
      <c r="FP262" s="22"/>
      <c r="FQ262" s="20"/>
      <c r="FR262" s="22"/>
      <c r="FS262" s="20"/>
      <c r="FT262" s="22"/>
      <c r="FU262" s="20"/>
      <c r="FV262" s="22"/>
      <c r="FW262" s="20"/>
      <c r="FX262" s="22"/>
      <c r="FY262" s="20"/>
      <c r="FZ262" s="22"/>
      <c r="GA262" s="20"/>
      <c r="GB262" s="22"/>
      <c r="GC262" s="20"/>
      <c r="GD262" s="22"/>
      <c r="GE262" s="20"/>
      <c r="GF262" s="22"/>
      <c r="GG262" s="20"/>
      <c r="GH262" s="22"/>
      <c r="GI262" s="20"/>
      <c r="GJ262" s="22"/>
      <c r="GK262" s="20"/>
      <c r="GL262" s="22"/>
      <c r="GM262" s="20"/>
      <c r="GN262" s="22"/>
      <c r="GO262" s="20"/>
      <c r="GP262" s="22"/>
      <c r="GQ262" s="20"/>
      <c r="GR262" s="22"/>
      <c r="GS262" s="20"/>
      <c r="GT262" s="22"/>
      <c r="GU262" s="20"/>
      <c r="GV262" s="22"/>
      <c r="GW262" s="20"/>
      <c r="GX262" s="22"/>
      <c r="GY262" s="20"/>
      <c r="GZ262" s="22"/>
      <c r="HA262" s="20"/>
      <c r="HB262" s="22"/>
      <c r="HC262" s="20"/>
      <c r="HD262" s="22"/>
      <c r="HE262" s="20"/>
      <c r="HF262" s="22"/>
      <c r="HG262" s="20"/>
      <c r="HH262" s="22"/>
      <c r="HI262" s="20"/>
      <c r="HJ262" s="22"/>
      <c r="HK262" s="20"/>
      <c r="HL262" s="22"/>
      <c r="HM262" s="20"/>
      <c r="HN262" s="22"/>
      <c r="HO262" s="20"/>
      <c r="HP262" s="22"/>
      <c r="HQ262" s="20"/>
      <c r="HR262" s="22"/>
      <c r="HS262" s="20"/>
      <c r="HT262" s="22"/>
      <c r="HU262" s="20"/>
      <c r="HV262" s="22"/>
      <c r="HW262" s="20"/>
      <c r="HX262" s="22"/>
      <c r="HY262" s="20"/>
      <c r="HZ262" s="22"/>
      <c r="IA262" s="20"/>
      <c r="IB262" s="22"/>
      <c r="IC262" s="20"/>
      <c r="ID262" s="22"/>
      <c r="IE262" s="20"/>
      <c r="IF262" s="22"/>
      <c r="IG262" s="20"/>
      <c r="IH262" s="22"/>
      <c r="II262" s="20"/>
      <c r="IJ262" s="22"/>
      <c r="IK262" s="20">
        <v>2.0</v>
      </c>
      <c r="IL262" s="22"/>
      <c r="IM262" s="20"/>
      <c r="IN262" s="22"/>
      <c r="IO262" s="20"/>
      <c r="IP262" s="22"/>
      <c r="IQ262" s="20"/>
      <c r="IR262" s="22"/>
      <c r="IS262" s="20"/>
      <c r="IT262" s="22"/>
      <c r="IU262" s="20"/>
      <c r="IV262" s="22"/>
      <c r="IW262" s="20"/>
      <c r="IX262" s="22"/>
      <c r="IY262" s="20"/>
      <c r="IZ262" s="22"/>
      <c r="JA262" s="20"/>
      <c r="JB262" s="22"/>
      <c r="JC262" s="20"/>
      <c r="JD262" s="22"/>
      <c r="JE262" s="20"/>
      <c r="JF262" s="22"/>
      <c r="JG262" s="20"/>
      <c r="JH262" s="22"/>
      <c r="JI262" s="20"/>
      <c r="JJ262" s="22"/>
      <c r="JK262" s="20"/>
      <c r="JL262" s="22"/>
      <c r="JM262" s="20"/>
      <c r="JN262" s="22"/>
      <c r="JO262" s="20"/>
      <c r="JP262" s="22"/>
      <c r="JQ262" s="20"/>
      <c r="JR262" s="22"/>
      <c r="JS262" s="20"/>
      <c r="JT262" s="22"/>
      <c r="JU262" s="20"/>
      <c r="JV262" s="22"/>
      <c r="JW262" s="20"/>
      <c r="JX262" s="22"/>
      <c r="JY262" s="20"/>
      <c r="JZ262" s="22"/>
      <c r="KA262" s="20"/>
      <c r="KB262" s="22"/>
      <c r="KC262" s="20"/>
      <c r="KD262" s="22"/>
      <c r="KE262" s="20"/>
      <c r="KF262" s="22"/>
      <c r="KG262" s="20"/>
      <c r="KH262" s="22"/>
      <c r="KI262" s="20"/>
      <c r="KJ262" s="22"/>
      <c r="KK262" s="20"/>
      <c r="KL262" s="22"/>
      <c r="KM262" s="20"/>
      <c r="KN262" s="22"/>
      <c r="KO262" s="20"/>
      <c r="KP262" s="22"/>
      <c r="KQ262" s="20"/>
      <c r="KR262" s="22"/>
      <c r="KS262" s="20"/>
      <c r="KT262" s="22"/>
      <c r="KU262" s="20"/>
      <c r="KV262" s="22"/>
      <c r="KW262" s="20"/>
      <c r="KX262" s="22"/>
      <c r="KY262" s="20"/>
      <c r="KZ262" s="22"/>
      <c r="LA262" s="20"/>
      <c r="LB262" s="22"/>
      <c r="LC262" s="20"/>
      <c r="LD262" s="22"/>
      <c r="LE262" s="20"/>
      <c r="LF262" s="22"/>
      <c r="LG262" s="20"/>
      <c r="LH262" s="22"/>
      <c r="LI262" s="20"/>
      <c r="LJ262" s="22"/>
      <c r="LK262" s="20"/>
      <c r="LL262" s="22"/>
      <c r="LM262" s="20"/>
      <c r="LN262" s="22"/>
      <c r="LO262" s="20"/>
      <c r="LP262" s="22"/>
      <c r="LQ262" s="20"/>
      <c r="LR262" s="22"/>
      <c r="LS262" s="20"/>
      <c r="LT262" s="22"/>
      <c r="LU262" s="20"/>
      <c r="LV262" s="22"/>
      <c r="LW262" s="20"/>
      <c r="LX262" s="22"/>
      <c r="LY262" s="20"/>
      <c r="LZ262" s="22"/>
      <c r="MA262" s="20"/>
      <c r="MB262" s="22"/>
      <c r="MC262" s="20"/>
      <c r="MD262" s="22"/>
      <c r="ME262" s="20"/>
      <c r="MF262" s="22"/>
      <c r="MG262" s="20"/>
      <c r="MH262" s="22"/>
      <c r="MI262" s="20"/>
      <c r="MJ262" s="22"/>
      <c r="MK262" s="20"/>
      <c r="ML262" s="22"/>
      <c r="MM262" s="20"/>
      <c r="MN262" s="22"/>
      <c r="MO262" s="20"/>
      <c r="MP262" s="22"/>
      <c r="MQ262" s="20"/>
      <c r="MR262" s="22"/>
      <c r="MS262" s="20"/>
      <c r="MT262" s="22"/>
      <c r="MU262" s="20"/>
      <c r="MV262" s="22"/>
      <c r="MW262" s="20"/>
      <c r="MX262" s="22"/>
      <c r="MY262" s="20"/>
      <c r="MZ262" s="22"/>
      <c r="NA262" s="20"/>
      <c r="NB262" s="22"/>
      <c r="NC262" s="20"/>
      <c r="ND262" s="22"/>
      <c r="NE262" s="20"/>
      <c r="NF262" s="73"/>
    </row>
    <row r="263">
      <c r="A263" s="237">
        <f t="shared" si="2"/>
        <v>31</v>
      </c>
      <c r="B263" s="267"/>
      <c r="C263" s="239">
        <v>46269.0</v>
      </c>
      <c r="D263" s="287" t="s">
        <v>444</v>
      </c>
      <c r="E263" s="242" t="s">
        <v>25</v>
      </c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  <c r="CI263" s="73"/>
      <c r="CJ263" s="73"/>
      <c r="CK263" s="73"/>
      <c r="CL263" s="73"/>
      <c r="CM263" s="73"/>
      <c r="CN263" s="73"/>
      <c r="CO263" s="73"/>
      <c r="CP263" s="73"/>
      <c r="CQ263" s="73"/>
      <c r="CR263" s="73"/>
      <c r="CS263" s="73"/>
      <c r="CT263" s="73"/>
      <c r="CU263" s="73"/>
      <c r="CV263" s="73"/>
      <c r="CW263" s="73"/>
      <c r="CX263" s="73"/>
      <c r="CY263" s="73"/>
      <c r="CZ263" s="73"/>
      <c r="DA263" s="73"/>
      <c r="DB263" s="73"/>
      <c r="DC263" s="73"/>
      <c r="DD263" s="73"/>
      <c r="DE263" s="73"/>
      <c r="DF263" s="73"/>
      <c r="DG263" s="73"/>
      <c r="DH263" s="73"/>
      <c r="DI263" s="73"/>
      <c r="DJ263" s="73"/>
      <c r="DK263" s="73"/>
      <c r="DL263" s="73"/>
      <c r="DM263" s="73"/>
      <c r="DN263" s="73"/>
      <c r="DO263" s="73"/>
      <c r="DP263" s="73"/>
      <c r="DQ263" s="73"/>
      <c r="DR263" s="73"/>
      <c r="DS263" s="73"/>
      <c r="DT263" s="73"/>
      <c r="DU263" s="73"/>
      <c r="DV263" s="22"/>
      <c r="DW263" s="20"/>
      <c r="DX263" s="22"/>
      <c r="DY263" s="20"/>
      <c r="DZ263" s="22"/>
      <c r="EA263" s="20"/>
      <c r="EB263" s="22"/>
      <c r="EC263" s="20"/>
      <c r="ED263" s="22"/>
      <c r="EE263" s="20"/>
      <c r="EF263" s="22"/>
      <c r="EG263" s="20"/>
      <c r="EH263" s="22"/>
      <c r="EI263" s="20"/>
      <c r="EJ263" s="22"/>
      <c r="EK263" s="20"/>
      <c r="EL263" s="22"/>
      <c r="EM263" s="20"/>
      <c r="EN263" s="22"/>
      <c r="EO263" s="20"/>
      <c r="EP263" s="22"/>
      <c r="EQ263" s="20"/>
      <c r="ER263" s="22"/>
      <c r="ES263" s="20"/>
      <c r="ET263" s="22"/>
      <c r="EU263" s="20"/>
      <c r="EV263" s="22"/>
      <c r="EW263" s="20"/>
      <c r="EX263" s="22"/>
      <c r="EY263" s="20"/>
      <c r="EZ263" s="22"/>
      <c r="FA263" s="20"/>
      <c r="FB263" s="22"/>
      <c r="FC263" s="20"/>
      <c r="FD263" s="22"/>
      <c r="FE263" s="20"/>
      <c r="FF263" s="22"/>
      <c r="FG263" s="20"/>
      <c r="FH263" s="22"/>
      <c r="FI263" s="20"/>
      <c r="FJ263" s="22"/>
      <c r="FK263" s="20"/>
      <c r="FL263" s="22"/>
      <c r="FM263" s="20"/>
      <c r="FN263" s="22"/>
      <c r="FO263" s="20"/>
      <c r="FP263" s="22"/>
      <c r="FQ263" s="20"/>
      <c r="FR263" s="22"/>
      <c r="FS263" s="20"/>
      <c r="FT263" s="22"/>
      <c r="FU263" s="20"/>
      <c r="FV263" s="22"/>
      <c r="FW263" s="20"/>
      <c r="FX263" s="22"/>
      <c r="FY263" s="20"/>
      <c r="FZ263" s="22"/>
      <c r="GA263" s="20"/>
      <c r="GB263" s="22"/>
      <c r="GC263" s="20"/>
      <c r="GD263" s="22"/>
      <c r="GE263" s="20"/>
      <c r="GF263" s="22"/>
      <c r="GG263" s="20"/>
      <c r="GH263" s="22"/>
      <c r="GI263" s="20"/>
      <c r="GJ263" s="22"/>
      <c r="GK263" s="20"/>
      <c r="GL263" s="22"/>
      <c r="GM263" s="20"/>
      <c r="GN263" s="22"/>
      <c r="GO263" s="20"/>
      <c r="GP263" s="22"/>
      <c r="GQ263" s="20"/>
      <c r="GR263" s="22"/>
      <c r="GS263" s="20"/>
      <c r="GT263" s="22"/>
      <c r="GU263" s="20"/>
      <c r="GV263" s="22"/>
      <c r="GW263" s="20"/>
      <c r="GX263" s="22"/>
      <c r="GY263" s="20"/>
      <c r="GZ263" s="22"/>
      <c r="HA263" s="20"/>
      <c r="HB263" s="22"/>
      <c r="HC263" s="20"/>
      <c r="HD263" s="22"/>
      <c r="HE263" s="20"/>
      <c r="HF263" s="22"/>
      <c r="HG263" s="20"/>
      <c r="HH263" s="22"/>
      <c r="HI263" s="20"/>
      <c r="HJ263" s="22"/>
      <c r="HK263" s="20"/>
      <c r="HL263" s="22"/>
      <c r="HM263" s="20"/>
      <c r="HN263" s="22"/>
      <c r="HO263" s="20"/>
      <c r="HP263" s="22"/>
      <c r="HQ263" s="20"/>
      <c r="HR263" s="22"/>
      <c r="HS263" s="20"/>
      <c r="HT263" s="22"/>
      <c r="HU263" s="20"/>
      <c r="HV263" s="22"/>
      <c r="HW263" s="20"/>
      <c r="HX263" s="22"/>
      <c r="HY263" s="20"/>
      <c r="HZ263" s="22"/>
      <c r="IA263" s="20"/>
      <c r="IB263" s="22"/>
      <c r="IC263" s="20"/>
      <c r="ID263" s="22"/>
      <c r="IE263" s="20"/>
      <c r="IF263" s="22"/>
      <c r="IG263" s="20"/>
      <c r="IH263" s="22"/>
      <c r="II263" s="20">
        <v>3.0</v>
      </c>
      <c r="IJ263" s="20">
        <v>3.0</v>
      </c>
      <c r="IK263" s="20">
        <v>6.0</v>
      </c>
      <c r="IL263" s="22"/>
      <c r="IM263" s="20"/>
      <c r="IN263" s="20">
        <v>2.0</v>
      </c>
      <c r="IO263" s="20">
        <v>5.0</v>
      </c>
      <c r="IP263" s="20">
        <v>3.0</v>
      </c>
      <c r="IQ263" s="20">
        <v>10.0</v>
      </c>
      <c r="IR263" s="20">
        <v>8.0</v>
      </c>
      <c r="IS263" s="20"/>
      <c r="IT263" s="22"/>
      <c r="IU263" s="20">
        <v>5.0</v>
      </c>
      <c r="IV263" s="22"/>
      <c r="IW263" s="20"/>
      <c r="IX263" s="22"/>
      <c r="IY263" s="20"/>
      <c r="IZ263" s="22"/>
      <c r="JA263" s="20"/>
      <c r="JB263" s="22"/>
      <c r="JC263" s="20"/>
      <c r="JD263" s="22"/>
      <c r="JE263" s="20"/>
      <c r="JF263" s="22"/>
      <c r="JG263" s="20"/>
      <c r="JH263" s="22"/>
      <c r="JI263" s="20"/>
      <c r="JJ263" s="22"/>
      <c r="JK263" s="20"/>
      <c r="JL263" s="22"/>
      <c r="JM263" s="20"/>
      <c r="JN263" s="22"/>
      <c r="JO263" s="20"/>
      <c r="JP263" s="22"/>
      <c r="JQ263" s="20"/>
      <c r="JR263" s="22"/>
      <c r="JS263" s="20"/>
      <c r="JT263" s="22"/>
      <c r="JU263" s="20"/>
      <c r="JV263" s="22"/>
      <c r="JW263" s="20"/>
      <c r="JX263" s="22"/>
      <c r="JY263" s="20"/>
      <c r="JZ263" s="22"/>
      <c r="KA263" s="20"/>
      <c r="KB263" s="22"/>
      <c r="KC263" s="20"/>
      <c r="KD263" s="22"/>
      <c r="KE263" s="20"/>
      <c r="KF263" s="22"/>
      <c r="KG263" s="20"/>
      <c r="KH263" s="22"/>
      <c r="KI263" s="20"/>
      <c r="KJ263" s="22"/>
      <c r="KK263" s="20"/>
      <c r="KL263" s="22"/>
      <c r="KM263" s="20"/>
      <c r="KN263" s="22"/>
      <c r="KO263" s="20"/>
      <c r="KP263" s="22"/>
      <c r="KQ263" s="20"/>
      <c r="KR263" s="22"/>
      <c r="KS263" s="20"/>
      <c r="KT263" s="22"/>
      <c r="KU263" s="20"/>
      <c r="KV263" s="22"/>
      <c r="KW263" s="20"/>
      <c r="KX263" s="22"/>
      <c r="KY263" s="20"/>
      <c r="KZ263" s="22"/>
      <c r="LA263" s="20"/>
      <c r="LB263" s="22"/>
      <c r="LC263" s="20"/>
      <c r="LD263" s="22"/>
      <c r="LE263" s="20"/>
      <c r="LF263" s="22"/>
      <c r="LG263" s="20"/>
      <c r="LH263" s="22"/>
      <c r="LI263" s="20"/>
      <c r="LJ263" s="22"/>
      <c r="LK263" s="20"/>
      <c r="LL263" s="22"/>
      <c r="LM263" s="20"/>
      <c r="LN263" s="22"/>
      <c r="LO263" s="20"/>
      <c r="LP263" s="22"/>
      <c r="LQ263" s="20"/>
      <c r="LR263" s="22"/>
      <c r="LS263" s="20"/>
      <c r="LT263" s="22"/>
      <c r="LU263" s="20"/>
      <c r="LV263" s="22"/>
      <c r="LW263" s="20"/>
      <c r="LX263" s="22"/>
      <c r="LY263" s="20"/>
      <c r="LZ263" s="22"/>
      <c r="MA263" s="20"/>
      <c r="MB263" s="22"/>
      <c r="MC263" s="20"/>
      <c r="MD263" s="22"/>
      <c r="ME263" s="20"/>
      <c r="MF263" s="22"/>
      <c r="MG263" s="20"/>
      <c r="MH263" s="22"/>
      <c r="MI263" s="20"/>
      <c r="MJ263" s="22"/>
      <c r="MK263" s="20"/>
      <c r="ML263" s="22"/>
      <c r="MM263" s="20"/>
      <c r="MN263" s="22"/>
      <c r="MO263" s="20"/>
      <c r="MP263" s="22"/>
      <c r="MQ263" s="20"/>
      <c r="MR263" s="22"/>
      <c r="MS263" s="20"/>
      <c r="MT263" s="22"/>
      <c r="MU263" s="20"/>
      <c r="MV263" s="22"/>
      <c r="MW263" s="20"/>
      <c r="MX263" s="22"/>
      <c r="MY263" s="20"/>
      <c r="MZ263" s="22"/>
      <c r="NA263" s="20"/>
      <c r="NB263" s="22"/>
      <c r="NC263" s="20"/>
      <c r="ND263" s="22"/>
      <c r="NE263" s="20"/>
      <c r="NF263" s="73"/>
    </row>
    <row r="264">
      <c r="A264" s="237">
        <f t="shared" si="2"/>
        <v>1</v>
      </c>
      <c r="B264" s="267"/>
      <c r="C264" s="239">
        <v>46269.0</v>
      </c>
      <c r="D264" s="288" t="s">
        <v>445</v>
      </c>
      <c r="E264" s="242" t="s">
        <v>47</v>
      </c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  <c r="CI264" s="73"/>
      <c r="CJ264" s="73"/>
      <c r="CK264" s="73"/>
      <c r="CL264" s="73"/>
      <c r="CM264" s="73"/>
      <c r="CN264" s="73"/>
      <c r="CO264" s="73"/>
      <c r="CP264" s="73"/>
      <c r="CQ264" s="73"/>
      <c r="CR264" s="73"/>
      <c r="CS264" s="73"/>
      <c r="CT264" s="73"/>
      <c r="CU264" s="73"/>
      <c r="CV264" s="73"/>
      <c r="CW264" s="73"/>
      <c r="CX264" s="73"/>
      <c r="CY264" s="73"/>
      <c r="CZ264" s="73"/>
      <c r="DA264" s="73"/>
      <c r="DB264" s="73"/>
      <c r="DC264" s="73"/>
      <c r="DD264" s="73"/>
      <c r="DE264" s="73"/>
      <c r="DF264" s="73"/>
      <c r="DG264" s="73"/>
      <c r="DH264" s="73"/>
      <c r="DI264" s="73"/>
      <c r="DJ264" s="73"/>
      <c r="DK264" s="73"/>
      <c r="DL264" s="73"/>
      <c r="DM264" s="73"/>
      <c r="DN264" s="73"/>
      <c r="DO264" s="73"/>
      <c r="DP264" s="73"/>
      <c r="DQ264" s="73"/>
      <c r="DR264" s="73"/>
      <c r="DS264" s="73"/>
      <c r="DT264" s="73"/>
      <c r="DU264" s="73"/>
      <c r="DV264" s="22"/>
      <c r="DW264" s="20"/>
      <c r="DX264" s="22"/>
      <c r="DY264" s="20"/>
      <c r="DZ264" s="22"/>
      <c r="EA264" s="20"/>
      <c r="EB264" s="22"/>
      <c r="EC264" s="20"/>
      <c r="ED264" s="22"/>
      <c r="EE264" s="20"/>
      <c r="EF264" s="22"/>
      <c r="EG264" s="20"/>
      <c r="EH264" s="22"/>
      <c r="EI264" s="20"/>
      <c r="EJ264" s="22"/>
      <c r="EK264" s="20"/>
      <c r="EL264" s="22"/>
      <c r="EM264" s="20"/>
      <c r="EN264" s="22"/>
      <c r="EO264" s="20"/>
      <c r="EP264" s="22"/>
      <c r="EQ264" s="20"/>
      <c r="ER264" s="22"/>
      <c r="ES264" s="20"/>
      <c r="ET264" s="22"/>
      <c r="EU264" s="20"/>
      <c r="EV264" s="22"/>
      <c r="EW264" s="20"/>
      <c r="EX264" s="22"/>
      <c r="EY264" s="20"/>
      <c r="EZ264" s="22"/>
      <c r="FA264" s="20"/>
      <c r="FB264" s="22"/>
      <c r="FC264" s="20"/>
      <c r="FD264" s="22"/>
      <c r="FE264" s="20"/>
      <c r="FF264" s="22"/>
      <c r="FG264" s="20"/>
      <c r="FH264" s="22"/>
      <c r="FI264" s="20"/>
      <c r="FJ264" s="22"/>
      <c r="FK264" s="20"/>
      <c r="FL264" s="22"/>
      <c r="FM264" s="20"/>
      <c r="FN264" s="22"/>
      <c r="FO264" s="20"/>
      <c r="FP264" s="22"/>
      <c r="FQ264" s="20"/>
      <c r="FR264" s="22"/>
      <c r="FS264" s="20"/>
      <c r="FT264" s="22"/>
      <c r="FU264" s="20"/>
      <c r="FV264" s="22"/>
      <c r="FW264" s="20"/>
      <c r="FX264" s="22"/>
      <c r="FY264" s="20"/>
      <c r="FZ264" s="22"/>
      <c r="GA264" s="20"/>
      <c r="GB264" s="22"/>
      <c r="GC264" s="20"/>
      <c r="GD264" s="22"/>
      <c r="GE264" s="20"/>
      <c r="GF264" s="22"/>
      <c r="GG264" s="20"/>
      <c r="GH264" s="22"/>
      <c r="GI264" s="20"/>
      <c r="GJ264" s="22"/>
      <c r="GK264" s="20"/>
      <c r="GL264" s="22"/>
      <c r="GM264" s="20"/>
      <c r="GN264" s="22"/>
      <c r="GO264" s="20"/>
      <c r="GP264" s="22"/>
      <c r="GQ264" s="20"/>
      <c r="GR264" s="22"/>
      <c r="GS264" s="20"/>
      <c r="GT264" s="22"/>
      <c r="GU264" s="20"/>
      <c r="GV264" s="22"/>
      <c r="GW264" s="20"/>
      <c r="GX264" s="22"/>
      <c r="GY264" s="20"/>
      <c r="GZ264" s="22"/>
      <c r="HA264" s="20"/>
      <c r="HB264" s="22"/>
      <c r="HC264" s="20"/>
      <c r="HD264" s="22"/>
      <c r="HE264" s="20"/>
      <c r="HF264" s="22"/>
      <c r="HG264" s="20"/>
      <c r="HH264" s="22"/>
      <c r="HI264" s="20"/>
      <c r="HJ264" s="22"/>
      <c r="HK264" s="20"/>
      <c r="HL264" s="22"/>
      <c r="HM264" s="20"/>
      <c r="HN264" s="22"/>
      <c r="HO264" s="20"/>
      <c r="HP264" s="22"/>
      <c r="HQ264" s="20"/>
      <c r="HR264" s="22"/>
      <c r="HS264" s="20"/>
      <c r="HT264" s="22"/>
      <c r="HU264" s="20"/>
      <c r="HV264" s="22"/>
      <c r="HW264" s="20"/>
      <c r="HX264" s="22"/>
      <c r="HY264" s="20"/>
      <c r="HZ264" s="22"/>
      <c r="IA264" s="20"/>
      <c r="IB264" s="22"/>
      <c r="IC264" s="20"/>
      <c r="ID264" s="22"/>
      <c r="IE264" s="20"/>
      <c r="IF264" s="22"/>
      <c r="IG264" s="20"/>
      <c r="IH264" s="22"/>
      <c r="II264" s="20"/>
      <c r="IJ264" s="22"/>
      <c r="IK264" s="20"/>
      <c r="IL264" s="22"/>
      <c r="IM264" s="20"/>
      <c r="IN264" s="20">
        <v>6.0</v>
      </c>
      <c r="IO264" s="20">
        <v>1.0</v>
      </c>
      <c r="IP264" s="22"/>
      <c r="IQ264" s="20"/>
      <c r="IR264" s="22"/>
      <c r="IS264" s="20"/>
      <c r="IT264" s="22"/>
      <c r="IU264" s="20"/>
      <c r="IV264" s="22"/>
      <c r="IW264" s="20"/>
      <c r="IX264" s="22"/>
      <c r="IY264" s="20"/>
      <c r="IZ264" s="22"/>
      <c r="JA264" s="20"/>
      <c r="JB264" s="22"/>
      <c r="JC264" s="20"/>
      <c r="JD264" s="22"/>
      <c r="JE264" s="20"/>
      <c r="JF264" s="22"/>
      <c r="JG264" s="20"/>
      <c r="JH264" s="22"/>
      <c r="JI264" s="20"/>
      <c r="JJ264" s="22"/>
      <c r="JK264" s="20"/>
      <c r="JL264" s="22"/>
      <c r="JM264" s="20"/>
      <c r="JN264" s="22"/>
      <c r="JO264" s="20"/>
      <c r="JP264" s="22"/>
      <c r="JQ264" s="20"/>
      <c r="JR264" s="22"/>
      <c r="JS264" s="20"/>
      <c r="JT264" s="22"/>
      <c r="JU264" s="20"/>
      <c r="JV264" s="22"/>
      <c r="JW264" s="20"/>
      <c r="JX264" s="22"/>
      <c r="JY264" s="20"/>
      <c r="JZ264" s="22"/>
      <c r="KA264" s="20"/>
      <c r="KB264" s="22"/>
      <c r="KC264" s="20"/>
      <c r="KD264" s="22"/>
      <c r="KE264" s="20"/>
      <c r="KF264" s="22"/>
      <c r="KG264" s="20"/>
      <c r="KH264" s="22"/>
      <c r="KI264" s="20"/>
      <c r="KJ264" s="22"/>
      <c r="KK264" s="20"/>
      <c r="KL264" s="22"/>
      <c r="KM264" s="20"/>
      <c r="KN264" s="22"/>
      <c r="KO264" s="20"/>
      <c r="KP264" s="22"/>
      <c r="KQ264" s="20"/>
      <c r="KR264" s="22"/>
      <c r="KS264" s="20"/>
      <c r="KT264" s="22"/>
      <c r="KU264" s="20"/>
      <c r="KV264" s="22"/>
      <c r="KW264" s="20"/>
      <c r="KX264" s="22"/>
      <c r="KY264" s="20"/>
      <c r="KZ264" s="22"/>
      <c r="LA264" s="20"/>
      <c r="LB264" s="22"/>
      <c r="LC264" s="20"/>
      <c r="LD264" s="22"/>
      <c r="LE264" s="20"/>
      <c r="LF264" s="22"/>
      <c r="LG264" s="20"/>
      <c r="LH264" s="22"/>
      <c r="LI264" s="20"/>
      <c r="LJ264" s="22"/>
      <c r="LK264" s="20"/>
      <c r="LL264" s="22"/>
      <c r="LM264" s="20"/>
      <c r="LN264" s="22"/>
      <c r="LO264" s="20"/>
      <c r="LP264" s="22"/>
      <c r="LQ264" s="20"/>
      <c r="LR264" s="22"/>
      <c r="LS264" s="20"/>
      <c r="LT264" s="22"/>
      <c r="LU264" s="20"/>
      <c r="LV264" s="22"/>
      <c r="LW264" s="20"/>
      <c r="LX264" s="22"/>
      <c r="LY264" s="20"/>
      <c r="LZ264" s="22"/>
      <c r="MA264" s="20"/>
      <c r="MB264" s="22"/>
      <c r="MC264" s="20"/>
      <c r="MD264" s="22"/>
      <c r="ME264" s="20"/>
      <c r="MF264" s="22"/>
      <c r="MG264" s="20"/>
      <c r="MH264" s="22"/>
      <c r="MI264" s="20"/>
      <c r="MJ264" s="22"/>
      <c r="MK264" s="20"/>
      <c r="ML264" s="22"/>
      <c r="MM264" s="20"/>
      <c r="MN264" s="22"/>
      <c r="MO264" s="20"/>
      <c r="MP264" s="22"/>
      <c r="MQ264" s="20"/>
      <c r="MR264" s="22"/>
      <c r="MS264" s="20"/>
      <c r="MT264" s="22"/>
      <c r="MU264" s="20"/>
      <c r="MV264" s="22"/>
      <c r="MW264" s="20"/>
      <c r="MX264" s="22"/>
      <c r="MY264" s="20"/>
      <c r="MZ264" s="22"/>
      <c r="NA264" s="20"/>
      <c r="NB264" s="22"/>
      <c r="NC264" s="20"/>
      <c r="ND264" s="22"/>
      <c r="NE264" s="20"/>
      <c r="NF264" s="73"/>
    </row>
    <row r="265">
      <c r="A265" s="237">
        <f t="shared" si="2"/>
        <v>2</v>
      </c>
      <c r="B265" s="267"/>
      <c r="C265" s="239">
        <v>46269.0</v>
      </c>
      <c r="D265" s="287" t="s">
        <v>446</v>
      </c>
      <c r="E265" s="242" t="s">
        <v>47</v>
      </c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  <c r="CI265" s="73"/>
      <c r="CJ265" s="73"/>
      <c r="CK265" s="73"/>
      <c r="CL265" s="73"/>
      <c r="CM265" s="73"/>
      <c r="CN265" s="73"/>
      <c r="CO265" s="73"/>
      <c r="CP265" s="73"/>
      <c r="CQ265" s="73"/>
      <c r="CR265" s="73"/>
      <c r="CS265" s="73"/>
      <c r="CT265" s="73"/>
      <c r="CU265" s="73"/>
      <c r="CV265" s="73"/>
      <c r="CW265" s="73"/>
      <c r="CX265" s="73"/>
      <c r="CY265" s="73"/>
      <c r="CZ265" s="73"/>
      <c r="DA265" s="73"/>
      <c r="DB265" s="73"/>
      <c r="DC265" s="73"/>
      <c r="DD265" s="73"/>
      <c r="DE265" s="73"/>
      <c r="DF265" s="73"/>
      <c r="DG265" s="73"/>
      <c r="DH265" s="73"/>
      <c r="DI265" s="73"/>
      <c r="DJ265" s="73"/>
      <c r="DK265" s="73"/>
      <c r="DL265" s="73"/>
      <c r="DM265" s="73"/>
      <c r="DN265" s="73"/>
      <c r="DO265" s="73"/>
      <c r="DP265" s="73"/>
      <c r="DQ265" s="73"/>
      <c r="DR265" s="73"/>
      <c r="DS265" s="73"/>
      <c r="DT265" s="73"/>
      <c r="DU265" s="73"/>
      <c r="DV265" s="22"/>
      <c r="DW265" s="20"/>
      <c r="DX265" s="22"/>
      <c r="DY265" s="20"/>
      <c r="DZ265" s="22"/>
      <c r="EA265" s="20"/>
      <c r="EB265" s="22"/>
      <c r="EC265" s="20"/>
      <c r="ED265" s="22"/>
      <c r="EE265" s="20"/>
      <c r="EF265" s="22"/>
      <c r="EG265" s="20"/>
      <c r="EH265" s="22"/>
      <c r="EI265" s="20"/>
      <c r="EJ265" s="22"/>
      <c r="EK265" s="20"/>
      <c r="EL265" s="22"/>
      <c r="EM265" s="20"/>
      <c r="EN265" s="22"/>
      <c r="EO265" s="20"/>
      <c r="EP265" s="22"/>
      <c r="EQ265" s="20"/>
      <c r="ER265" s="22"/>
      <c r="ES265" s="20"/>
      <c r="ET265" s="22"/>
      <c r="EU265" s="20"/>
      <c r="EV265" s="22"/>
      <c r="EW265" s="20"/>
      <c r="EX265" s="22"/>
      <c r="EY265" s="20"/>
      <c r="EZ265" s="22"/>
      <c r="FA265" s="20"/>
      <c r="FB265" s="22"/>
      <c r="FC265" s="20"/>
      <c r="FD265" s="22"/>
      <c r="FE265" s="20"/>
      <c r="FF265" s="22"/>
      <c r="FG265" s="20"/>
      <c r="FH265" s="22"/>
      <c r="FI265" s="20"/>
      <c r="FJ265" s="22"/>
      <c r="FK265" s="20"/>
      <c r="FL265" s="22"/>
      <c r="FM265" s="20"/>
      <c r="FN265" s="22"/>
      <c r="FO265" s="20"/>
      <c r="FP265" s="22"/>
      <c r="FQ265" s="20"/>
      <c r="FR265" s="22"/>
      <c r="FS265" s="20"/>
      <c r="FT265" s="22"/>
      <c r="FU265" s="20"/>
      <c r="FV265" s="22"/>
      <c r="FW265" s="20"/>
      <c r="FX265" s="22"/>
      <c r="FY265" s="20"/>
      <c r="FZ265" s="22"/>
      <c r="GA265" s="20"/>
      <c r="GB265" s="22"/>
      <c r="GC265" s="20"/>
      <c r="GD265" s="22"/>
      <c r="GE265" s="20"/>
      <c r="GF265" s="22"/>
      <c r="GG265" s="20"/>
      <c r="GH265" s="22"/>
      <c r="GI265" s="20"/>
      <c r="GJ265" s="22"/>
      <c r="GK265" s="20"/>
      <c r="GL265" s="22"/>
      <c r="GM265" s="20"/>
      <c r="GN265" s="22"/>
      <c r="GO265" s="20"/>
      <c r="GP265" s="22"/>
      <c r="GQ265" s="20"/>
      <c r="GR265" s="22"/>
      <c r="GS265" s="20"/>
      <c r="GT265" s="22"/>
      <c r="GU265" s="20"/>
      <c r="GV265" s="22"/>
      <c r="GW265" s="20"/>
      <c r="GX265" s="22"/>
      <c r="GY265" s="20"/>
      <c r="GZ265" s="22"/>
      <c r="HA265" s="20"/>
      <c r="HB265" s="22"/>
      <c r="HC265" s="20"/>
      <c r="HD265" s="22"/>
      <c r="HE265" s="20"/>
      <c r="HF265" s="22"/>
      <c r="HG265" s="20"/>
      <c r="HH265" s="22"/>
      <c r="HI265" s="20"/>
      <c r="HJ265" s="22"/>
      <c r="HK265" s="20"/>
      <c r="HL265" s="22"/>
      <c r="HM265" s="20"/>
      <c r="HN265" s="22"/>
      <c r="HO265" s="20"/>
      <c r="HP265" s="22"/>
      <c r="HQ265" s="20"/>
      <c r="HR265" s="22"/>
      <c r="HS265" s="20"/>
      <c r="HT265" s="22"/>
      <c r="HU265" s="20"/>
      <c r="HV265" s="22"/>
      <c r="HW265" s="20"/>
      <c r="HX265" s="22"/>
      <c r="HY265" s="20"/>
      <c r="HZ265" s="22"/>
      <c r="IA265" s="20"/>
      <c r="IB265" s="22"/>
      <c r="IC265" s="20"/>
      <c r="ID265" s="22"/>
      <c r="IE265" s="20"/>
      <c r="IF265" s="22"/>
      <c r="IG265" s="20"/>
      <c r="IH265" s="22"/>
      <c r="II265" s="20"/>
      <c r="IJ265" s="22"/>
      <c r="IK265" s="20"/>
      <c r="IL265" s="22"/>
      <c r="IM265" s="20"/>
      <c r="IN265" s="22"/>
      <c r="IO265" s="20">
        <v>2.0</v>
      </c>
      <c r="IP265" s="22"/>
      <c r="IQ265" s="20" t="s">
        <v>234</v>
      </c>
      <c r="IR265" s="22"/>
      <c r="IS265" s="20"/>
      <c r="IT265" s="22"/>
      <c r="IU265" s="20"/>
      <c r="IV265" s="22"/>
      <c r="IW265" s="20"/>
      <c r="IX265" s="22"/>
      <c r="IY265" s="20"/>
      <c r="IZ265" s="22"/>
      <c r="JA265" s="20"/>
      <c r="JB265" s="22"/>
      <c r="JC265" s="20"/>
      <c r="JD265" s="22"/>
      <c r="JE265" s="20"/>
      <c r="JF265" s="22"/>
      <c r="JG265" s="20"/>
      <c r="JH265" s="22"/>
      <c r="JI265" s="20"/>
      <c r="JJ265" s="22"/>
      <c r="JK265" s="20"/>
      <c r="JL265" s="22"/>
      <c r="JM265" s="20"/>
      <c r="JN265" s="22"/>
      <c r="JO265" s="20"/>
      <c r="JP265" s="22"/>
      <c r="JQ265" s="20"/>
      <c r="JR265" s="22"/>
      <c r="JS265" s="20"/>
      <c r="JT265" s="22"/>
      <c r="JU265" s="20"/>
      <c r="JV265" s="22"/>
      <c r="JW265" s="20"/>
      <c r="JX265" s="22"/>
      <c r="JY265" s="20"/>
      <c r="JZ265" s="22"/>
      <c r="KA265" s="20"/>
      <c r="KB265" s="22"/>
      <c r="KC265" s="20"/>
      <c r="KD265" s="22"/>
      <c r="KE265" s="20"/>
      <c r="KF265" s="22"/>
      <c r="KG265" s="20"/>
      <c r="KH265" s="22"/>
      <c r="KI265" s="20"/>
      <c r="KJ265" s="22"/>
      <c r="KK265" s="20"/>
      <c r="KL265" s="22"/>
      <c r="KM265" s="20"/>
      <c r="KN265" s="22"/>
      <c r="KO265" s="20"/>
      <c r="KP265" s="22"/>
      <c r="KQ265" s="20"/>
      <c r="KR265" s="22"/>
      <c r="KS265" s="20"/>
      <c r="KT265" s="22"/>
      <c r="KU265" s="20"/>
      <c r="KV265" s="22"/>
      <c r="KW265" s="20"/>
      <c r="KX265" s="22"/>
      <c r="KY265" s="20"/>
      <c r="KZ265" s="22"/>
      <c r="LA265" s="20"/>
      <c r="LB265" s="22"/>
      <c r="LC265" s="20"/>
      <c r="LD265" s="22"/>
      <c r="LE265" s="20"/>
      <c r="LF265" s="22"/>
      <c r="LG265" s="20"/>
      <c r="LH265" s="22"/>
      <c r="LI265" s="20"/>
      <c r="LJ265" s="22"/>
      <c r="LK265" s="20"/>
      <c r="LL265" s="22"/>
      <c r="LM265" s="20"/>
      <c r="LN265" s="22"/>
      <c r="LO265" s="20"/>
      <c r="LP265" s="22"/>
      <c r="LQ265" s="20"/>
      <c r="LR265" s="22"/>
      <c r="LS265" s="20"/>
      <c r="LT265" s="22"/>
      <c r="LU265" s="20"/>
      <c r="LV265" s="22"/>
      <c r="LW265" s="20"/>
      <c r="LX265" s="22"/>
      <c r="LY265" s="20"/>
      <c r="LZ265" s="22"/>
      <c r="MA265" s="20"/>
      <c r="MB265" s="22"/>
      <c r="MC265" s="20"/>
      <c r="MD265" s="22"/>
      <c r="ME265" s="20"/>
      <c r="MF265" s="22"/>
      <c r="MG265" s="20"/>
      <c r="MH265" s="22"/>
      <c r="MI265" s="20"/>
      <c r="MJ265" s="22"/>
      <c r="MK265" s="20"/>
      <c r="ML265" s="22"/>
      <c r="MM265" s="20"/>
      <c r="MN265" s="22"/>
      <c r="MO265" s="20"/>
      <c r="MP265" s="22"/>
      <c r="MQ265" s="20"/>
      <c r="MR265" s="22"/>
      <c r="MS265" s="20"/>
      <c r="MT265" s="22"/>
      <c r="MU265" s="20"/>
      <c r="MV265" s="22"/>
      <c r="MW265" s="20"/>
      <c r="MX265" s="22"/>
      <c r="MY265" s="20"/>
      <c r="MZ265" s="22"/>
      <c r="NA265" s="20"/>
      <c r="NB265" s="22"/>
      <c r="NC265" s="20"/>
      <c r="ND265" s="22"/>
      <c r="NE265" s="20"/>
      <c r="NF265" s="73"/>
    </row>
    <row r="266">
      <c r="A266" s="237">
        <f t="shared" si="2"/>
        <v>6</v>
      </c>
      <c r="B266" s="267"/>
      <c r="C266" s="239">
        <v>46272.0</v>
      </c>
      <c r="D266" s="287" t="s">
        <v>447</v>
      </c>
      <c r="E266" s="242" t="s">
        <v>47</v>
      </c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  <c r="CI266" s="73"/>
      <c r="CJ266" s="73"/>
      <c r="CK266" s="73"/>
      <c r="CL266" s="73"/>
      <c r="CM266" s="73"/>
      <c r="CN266" s="73"/>
      <c r="CO266" s="73"/>
      <c r="CP266" s="73"/>
      <c r="CQ266" s="73"/>
      <c r="CR266" s="73"/>
      <c r="CS266" s="73"/>
      <c r="CT266" s="73"/>
      <c r="CU266" s="73"/>
      <c r="CV266" s="73"/>
      <c r="CW266" s="73"/>
      <c r="CX266" s="73"/>
      <c r="CY266" s="73"/>
      <c r="CZ266" s="73"/>
      <c r="DA266" s="73"/>
      <c r="DB266" s="73"/>
      <c r="DC266" s="73"/>
      <c r="DD266" s="73"/>
      <c r="DE266" s="73"/>
      <c r="DF266" s="73"/>
      <c r="DG266" s="73"/>
      <c r="DH266" s="73"/>
      <c r="DI266" s="73"/>
      <c r="DJ266" s="73"/>
      <c r="DK266" s="73"/>
      <c r="DL266" s="73"/>
      <c r="DM266" s="73"/>
      <c r="DN266" s="73"/>
      <c r="DO266" s="73"/>
      <c r="DP266" s="73"/>
      <c r="DQ266" s="73"/>
      <c r="DR266" s="73"/>
      <c r="DS266" s="73"/>
      <c r="DT266" s="73"/>
      <c r="DU266" s="73"/>
      <c r="DV266" s="22"/>
      <c r="DW266" s="20"/>
      <c r="DX266" s="22"/>
      <c r="DY266" s="20"/>
      <c r="DZ266" s="22"/>
      <c r="EA266" s="20"/>
      <c r="EB266" s="22"/>
      <c r="EC266" s="20"/>
      <c r="ED266" s="22"/>
      <c r="EE266" s="20"/>
      <c r="EF266" s="22"/>
      <c r="EG266" s="20"/>
      <c r="EH266" s="22"/>
      <c r="EI266" s="20"/>
      <c r="EJ266" s="22"/>
      <c r="EK266" s="20"/>
      <c r="EL266" s="22"/>
      <c r="EM266" s="20"/>
      <c r="EN266" s="22"/>
      <c r="EO266" s="20"/>
      <c r="EP266" s="22"/>
      <c r="EQ266" s="20"/>
      <c r="ER266" s="22"/>
      <c r="ES266" s="20"/>
      <c r="ET266" s="22"/>
      <c r="EU266" s="20"/>
      <c r="EV266" s="22"/>
      <c r="EW266" s="20"/>
      <c r="EX266" s="22"/>
      <c r="EY266" s="20"/>
      <c r="EZ266" s="22"/>
      <c r="FA266" s="20"/>
      <c r="FB266" s="22"/>
      <c r="FC266" s="20"/>
      <c r="FD266" s="22"/>
      <c r="FE266" s="20"/>
      <c r="FF266" s="22"/>
      <c r="FG266" s="20"/>
      <c r="FH266" s="22"/>
      <c r="FI266" s="20"/>
      <c r="FJ266" s="22"/>
      <c r="FK266" s="20"/>
      <c r="FL266" s="22"/>
      <c r="FM266" s="20"/>
      <c r="FN266" s="22"/>
      <c r="FO266" s="20"/>
      <c r="FP266" s="22"/>
      <c r="FQ266" s="20"/>
      <c r="FR266" s="22"/>
      <c r="FS266" s="20"/>
      <c r="FT266" s="22"/>
      <c r="FU266" s="20"/>
      <c r="FV266" s="22"/>
      <c r="FW266" s="20"/>
      <c r="FX266" s="22"/>
      <c r="FY266" s="20"/>
      <c r="FZ266" s="22"/>
      <c r="GA266" s="20"/>
      <c r="GB266" s="22"/>
      <c r="GC266" s="20"/>
      <c r="GD266" s="22"/>
      <c r="GE266" s="20"/>
      <c r="GF266" s="22"/>
      <c r="GG266" s="20"/>
      <c r="GH266" s="22"/>
      <c r="GI266" s="20"/>
      <c r="GJ266" s="22"/>
      <c r="GK266" s="20"/>
      <c r="GL266" s="22"/>
      <c r="GM266" s="20"/>
      <c r="GN266" s="22"/>
      <c r="GO266" s="20"/>
      <c r="GP266" s="22"/>
      <c r="GQ266" s="20"/>
      <c r="GR266" s="22"/>
      <c r="GS266" s="20"/>
      <c r="GT266" s="22"/>
      <c r="GU266" s="20"/>
      <c r="GV266" s="22"/>
      <c r="GW266" s="20"/>
      <c r="GX266" s="22"/>
      <c r="GY266" s="20"/>
      <c r="GZ266" s="22"/>
      <c r="HA266" s="20"/>
      <c r="HB266" s="22"/>
      <c r="HC266" s="20"/>
      <c r="HD266" s="22"/>
      <c r="HE266" s="20"/>
      <c r="HF266" s="22"/>
      <c r="HG266" s="20"/>
      <c r="HH266" s="22"/>
      <c r="HI266" s="20"/>
      <c r="HJ266" s="22"/>
      <c r="HK266" s="20"/>
      <c r="HL266" s="22"/>
      <c r="HM266" s="20"/>
      <c r="HN266" s="22"/>
      <c r="HO266" s="20"/>
      <c r="HP266" s="22"/>
      <c r="HQ266" s="20"/>
      <c r="HR266" s="22"/>
      <c r="HS266" s="20"/>
      <c r="HT266" s="22"/>
      <c r="HU266" s="20"/>
      <c r="HV266" s="22"/>
      <c r="HW266" s="20"/>
      <c r="HX266" s="22"/>
      <c r="HY266" s="20"/>
      <c r="HZ266" s="22"/>
      <c r="IA266" s="20"/>
      <c r="IB266" s="22"/>
      <c r="IC266" s="20"/>
      <c r="ID266" s="22"/>
      <c r="IE266" s="20"/>
      <c r="IF266" s="22"/>
      <c r="IG266" s="20"/>
      <c r="IH266" s="22"/>
      <c r="II266" s="20"/>
      <c r="IJ266" s="22"/>
      <c r="IK266" s="20"/>
      <c r="IL266" s="22"/>
      <c r="IM266" s="20"/>
      <c r="IN266" s="22"/>
      <c r="IO266" s="20"/>
      <c r="IP266" s="20">
        <v>4.0</v>
      </c>
      <c r="IQ266" s="20">
        <v>2.0</v>
      </c>
      <c r="IR266" s="20" t="s">
        <v>234</v>
      </c>
      <c r="IS266" s="20"/>
      <c r="IT266" s="22"/>
      <c r="IU266" s="20"/>
      <c r="IV266" s="22"/>
      <c r="IW266" s="20"/>
      <c r="IX266" s="22"/>
      <c r="IY266" s="20"/>
      <c r="IZ266" s="22"/>
      <c r="JA266" s="20"/>
      <c r="JB266" s="22"/>
      <c r="JC266" s="20"/>
      <c r="JD266" s="22"/>
      <c r="JE266" s="20"/>
      <c r="JF266" s="22"/>
      <c r="JG266" s="20"/>
      <c r="JH266" s="22"/>
      <c r="JI266" s="20"/>
      <c r="JJ266" s="22"/>
      <c r="JK266" s="20"/>
      <c r="JL266" s="22"/>
      <c r="JM266" s="20"/>
      <c r="JN266" s="22"/>
      <c r="JO266" s="20"/>
      <c r="JP266" s="22"/>
      <c r="JQ266" s="20"/>
      <c r="JR266" s="22"/>
      <c r="JS266" s="20"/>
      <c r="JT266" s="22"/>
      <c r="JU266" s="20"/>
      <c r="JV266" s="22"/>
      <c r="JW266" s="20"/>
      <c r="JX266" s="22"/>
      <c r="JY266" s="20"/>
      <c r="JZ266" s="22"/>
      <c r="KA266" s="20"/>
      <c r="KB266" s="22"/>
      <c r="KC266" s="20"/>
      <c r="KD266" s="22"/>
      <c r="KE266" s="20"/>
      <c r="KF266" s="22"/>
      <c r="KG266" s="20"/>
      <c r="KH266" s="22"/>
      <c r="KI266" s="20"/>
      <c r="KJ266" s="22"/>
      <c r="KK266" s="20"/>
      <c r="KL266" s="22"/>
      <c r="KM266" s="20"/>
      <c r="KN266" s="22"/>
      <c r="KO266" s="20"/>
      <c r="KP266" s="22"/>
      <c r="KQ266" s="20"/>
      <c r="KR266" s="22"/>
      <c r="KS266" s="20"/>
      <c r="KT266" s="22"/>
      <c r="KU266" s="20"/>
      <c r="KV266" s="22"/>
      <c r="KW266" s="20"/>
      <c r="KX266" s="22"/>
      <c r="KY266" s="20"/>
      <c r="KZ266" s="22"/>
      <c r="LA266" s="20"/>
      <c r="LB266" s="22"/>
      <c r="LC266" s="20"/>
      <c r="LD266" s="22"/>
      <c r="LE266" s="20"/>
      <c r="LF266" s="22"/>
      <c r="LG266" s="20"/>
      <c r="LH266" s="22"/>
      <c r="LI266" s="20"/>
      <c r="LJ266" s="22"/>
      <c r="LK266" s="20"/>
      <c r="LL266" s="22"/>
      <c r="LM266" s="20"/>
      <c r="LN266" s="22"/>
      <c r="LO266" s="20"/>
      <c r="LP266" s="22"/>
      <c r="LQ266" s="20"/>
      <c r="LR266" s="22"/>
      <c r="LS266" s="20"/>
      <c r="LT266" s="22"/>
      <c r="LU266" s="20"/>
      <c r="LV266" s="22"/>
      <c r="LW266" s="20"/>
      <c r="LX266" s="22"/>
      <c r="LY266" s="20"/>
      <c r="LZ266" s="22"/>
      <c r="MA266" s="20"/>
      <c r="MB266" s="22"/>
      <c r="MC266" s="20"/>
      <c r="MD266" s="22"/>
      <c r="ME266" s="20"/>
      <c r="MF266" s="22"/>
      <c r="MG266" s="20"/>
      <c r="MH266" s="22"/>
      <c r="MI266" s="20"/>
      <c r="MJ266" s="22"/>
      <c r="MK266" s="20"/>
      <c r="ML266" s="22"/>
      <c r="MM266" s="20"/>
      <c r="MN266" s="22"/>
      <c r="MO266" s="20"/>
      <c r="MP266" s="22"/>
      <c r="MQ266" s="20"/>
      <c r="MR266" s="22"/>
      <c r="MS266" s="20"/>
      <c r="MT266" s="22"/>
      <c r="MU266" s="20"/>
      <c r="MV266" s="22"/>
      <c r="MW266" s="20"/>
      <c r="MX266" s="22"/>
      <c r="MY266" s="20"/>
      <c r="MZ266" s="22"/>
      <c r="NA266" s="20"/>
      <c r="NB266" s="22"/>
      <c r="NC266" s="20"/>
      <c r="ND266" s="22"/>
      <c r="NE266" s="20"/>
      <c r="NF266" s="73"/>
    </row>
    <row r="267">
      <c r="A267" s="237">
        <f t="shared" si="2"/>
        <v>2</v>
      </c>
      <c r="B267" s="267"/>
      <c r="C267" s="239">
        <v>46268.0</v>
      </c>
      <c r="D267" s="287" t="s">
        <v>448</v>
      </c>
      <c r="E267" s="242" t="s">
        <v>47</v>
      </c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  <c r="CI267" s="73"/>
      <c r="CJ267" s="73"/>
      <c r="CK267" s="73"/>
      <c r="CL267" s="73"/>
      <c r="CM267" s="73"/>
      <c r="CN267" s="73"/>
      <c r="CO267" s="73"/>
      <c r="CP267" s="73"/>
      <c r="CQ267" s="73"/>
      <c r="CR267" s="73"/>
      <c r="CS267" s="73"/>
      <c r="CT267" s="73"/>
      <c r="CU267" s="73"/>
      <c r="CV267" s="73"/>
      <c r="CW267" s="73"/>
      <c r="CX267" s="73"/>
      <c r="CY267" s="73"/>
      <c r="CZ267" s="73"/>
      <c r="DA267" s="73"/>
      <c r="DB267" s="73"/>
      <c r="DC267" s="73"/>
      <c r="DD267" s="73"/>
      <c r="DE267" s="73"/>
      <c r="DF267" s="73"/>
      <c r="DG267" s="73"/>
      <c r="DH267" s="73"/>
      <c r="DI267" s="73"/>
      <c r="DJ267" s="73"/>
      <c r="DK267" s="73"/>
      <c r="DL267" s="73"/>
      <c r="DM267" s="73"/>
      <c r="DN267" s="73"/>
      <c r="DO267" s="73"/>
      <c r="DP267" s="73"/>
      <c r="DQ267" s="73"/>
      <c r="DR267" s="73"/>
      <c r="DS267" s="73"/>
      <c r="DT267" s="73"/>
      <c r="DU267" s="73"/>
      <c r="DV267" s="22"/>
      <c r="DW267" s="20"/>
      <c r="DX267" s="22"/>
      <c r="DY267" s="20"/>
      <c r="DZ267" s="22"/>
      <c r="EA267" s="20"/>
      <c r="EB267" s="22"/>
      <c r="EC267" s="20"/>
      <c r="ED267" s="22"/>
      <c r="EE267" s="20"/>
      <c r="EF267" s="22"/>
      <c r="EG267" s="20"/>
      <c r="EH267" s="22"/>
      <c r="EI267" s="20"/>
      <c r="EJ267" s="22"/>
      <c r="EK267" s="20"/>
      <c r="EL267" s="22"/>
      <c r="EM267" s="20"/>
      <c r="EN267" s="22"/>
      <c r="EO267" s="20"/>
      <c r="EP267" s="22"/>
      <c r="EQ267" s="20"/>
      <c r="ER267" s="22"/>
      <c r="ES267" s="20"/>
      <c r="ET267" s="22"/>
      <c r="EU267" s="20"/>
      <c r="EV267" s="22"/>
      <c r="EW267" s="20"/>
      <c r="EX267" s="22"/>
      <c r="EY267" s="20"/>
      <c r="EZ267" s="22"/>
      <c r="FA267" s="20"/>
      <c r="FB267" s="22"/>
      <c r="FC267" s="20"/>
      <c r="FD267" s="22"/>
      <c r="FE267" s="20"/>
      <c r="FF267" s="22"/>
      <c r="FG267" s="20"/>
      <c r="FH267" s="22"/>
      <c r="FI267" s="20"/>
      <c r="FJ267" s="22"/>
      <c r="FK267" s="20"/>
      <c r="FL267" s="22"/>
      <c r="FM267" s="20"/>
      <c r="FN267" s="22"/>
      <c r="FO267" s="20"/>
      <c r="FP267" s="22"/>
      <c r="FQ267" s="20"/>
      <c r="FR267" s="22"/>
      <c r="FS267" s="20"/>
      <c r="FT267" s="22"/>
      <c r="FU267" s="20"/>
      <c r="FV267" s="22"/>
      <c r="FW267" s="20"/>
      <c r="FX267" s="22"/>
      <c r="FY267" s="20"/>
      <c r="FZ267" s="22"/>
      <c r="GA267" s="20"/>
      <c r="GB267" s="22"/>
      <c r="GC267" s="20"/>
      <c r="GD267" s="22"/>
      <c r="GE267" s="20"/>
      <c r="GF267" s="22"/>
      <c r="GG267" s="20"/>
      <c r="GH267" s="22"/>
      <c r="GI267" s="20"/>
      <c r="GJ267" s="22"/>
      <c r="GK267" s="20"/>
      <c r="GL267" s="22"/>
      <c r="GM267" s="20"/>
      <c r="GN267" s="22"/>
      <c r="GO267" s="20"/>
      <c r="GP267" s="22"/>
      <c r="GQ267" s="20"/>
      <c r="GR267" s="22"/>
      <c r="GS267" s="20"/>
      <c r="GT267" s="22"/>
      <c r="GU267" s="20"/>
      <c r="GV267" s="22"/>
      <c r="GW267" s="20"/>
      <c r="GX267" s="22"/>
      <c r="GY267" s="20"/>
      <c r="GZ267" s="22"/>
      <c r="HA267" s="20"/>
      <c r="HB267" s="22"/>
      <c r="HC267" s="20"/>
      <c r="HD267" s="22"/>
      <c r="HE267" s="20"/>
      <c r="HF267" s="22"/>
      <c r="HG267" s="20"/>
      <c r="HH267" s="22"/>
      <c r="HI267" s="20"/>
      <c r="HJ267" s="22"/>
      <c r="HK267" s="20"/>
      <c r="HL267" s="22"/>
      <c r="HM267" s="20"/>
      <c r="HN267" s="22"/>
      <c r="HO267" s="20"/>
      <c r="HP267" s="22"/>
      <c r="HQ267" s="20"/>
      <c r="HR267" s="22"/>
      <c r="HS267" s="20"/>
      <c r="HT267" s="22"/>
      <c r="HU267" s="20"/>
      <c r="HV267" s="22"/>
      <c r="HW267" s="20"/>
      <c r="HX267" s="22"/>
      <c r="HY267" s="20"/>
      <c r="HZ267" s="22"/>
      <c r="IA267" s="20"/>
      <c r="IB267" s="22"/>
      <c r="IC267" s="20"/>
      <c r="ID267" s="22"/>
      <c r="IE267" s="20"/>
      <c r="IF267" s="22"/>
      <c r="IG267" s="20"/>
      <c r="IH267" s="22"/>
      <c r="II267" s="20"/>
      <c r="IJ267" s="22"/>
      <c r="IK267" s="20"/>
      <c r="IL267" s="22"/>
      <c r="IM267" s="20"/>
      <c r="IN267" s="22"/>
      <c r="IO267" s="20"/>
      <c r="IP267" s="20">
        <v>2.0</v>
      </c>
      <c r="IQ267" s="20"/>
      <c r="IR267" s="22"/>
      <c r="IS267" s="20"/>
      <c r="IT267" s="22"/>
      <c r="IU267" s="20"/>
      <c r="IV267" s="22"/>
      <c r="IW267" s="20"/>
      <c r="IX267" s="22"/>
      <c r="IY267" s="20"/>
      <c r="IZ267" s="22"/>
      <c r="JA267" s="20"/>
      <c r="JB267" s="22"/>
      <c r="JC267" s="20"/>
      <c r="JD267" s="22"/>
      <c r="JE267" s="20"/>
      <c r="JF267" s="22"/>
      <c r="JG267" s="20"/>
      <c r="JH267" s="22"/>
      <c r="JI267" s="20"/>
      <c r="JJ267" s="22"/>
      <c r="JK267" s="20"/>
      <c r="JL267" s="22"/>
      <c r="JM267" s="20"/>
      <c r="JN267" s="22"/>
      <c r="JO267" s="20"/>
      <c r="JP267" s="22"/>
      <c r="JQ267" s="20"/>
      <c r="JR267" s="22"/>
      <c r="JS267" s="20"/>
      <c r="JT267" s="22"/>
      <c r="JU267" s="20"/>
      <c r="JV267" s="22"/>
      <c r="JW267" s="20"/>
      <c r="JX267" s="22"/>
      <c r="JY267" s="20"/>
      <c r="JZ267" s="22"/>
      <c r="KA267" s="20"/>
      <c r="KB267" s="22"/>
      <c r="KC267" s="20"/>
      <c r="KD267" s="22"/>
      <c r="KE267" s="20"/>
      <c r="KF267" s="22"/>
      <c r="KG267" s="20"/>
      <c r="KH267" s="22"/>
      <c r="KI267" s="20"/>
      <c r="KJ267" s="22"/>
      <c r="KK267" s="20"/>
      <c r="KL267" s="22"/>
      <c r="KM267" s="20"/>
      <c r="KN267" s="22"/>
      <c r="KO267" s="20"/>
      <c r="KP267" s="22"/>
      <c r="KQ267" s="20"/>
      <c r="KR267" s="22"/>
      <c r="KS267" s="20"/>
      <c r="KT267" s="22"/>
      <c r="KU267" s="20"/>
      <c r="KV267" s="22"/>
      <c r="KW267" s="20"/>
      <c r="KX267" s="22"/>
      <c r="KY267" s="20"/>
      <c r="KZ267" s="22"/>
      <c r="LA267" s="20"/>
      <c r="LB267" s="22"/>
      <c r="LC267" s="20"/>
      <c r="LD267" s="22"/>
      <c r="LE267" s="20"/>
      <c r="LF267" s="22"/>
      <c r="LG267" s="20"/>
      <c r="LH267" s="22"/>
      <c r="LI267" s="20"/>
      <c r="LJ267" s="22"/>
      <c r="LK267" s="20"/>
      <c r="LL267" s="22"/>
      <c r="LM267" s="20"/>
      <c r="LN267" s="22"/>
      <c r="LO267" s="20"/>
      <c r="LP267" s="22"/>
      <c r="LQ267" s="20"/>
      <c r="LR267" s="22"/>
      <c r="LS267" s="20"/>
      <c r="LT267" s="22"/>
      <c r="LU267" s="20"/>
      <c r="LV267" s="22"/>
      <c r="LW267" s="20"/>
      <c r="LX267" s="22"/>
      <c r="LY267" s="20"/>
      <c r="LZ267" s="22"/>
      <c r="MA267" s="20"/>
      <c r="MB267" s="22"/>
      <c r="MC267" s="20"/>
      <c r="MD267" s="22"/>
      <c r="ME267" s="20"/>
      <c r="MF267" s="22"/>
      <c r="MG267" s="20"/>
      <c r="MH267" s="22"/>
      <c r="MI267" s="20"/>
      <c r="MJ267" s="22"/>
      <c r="MK267" s="20"/>
      <c r="ML267" s="22"/>
      <c r="MM267" s="20"/>
      <c r="MN267" s="22"/>
      <c r="MO267" s="20"/>
      <c r="MP267" s="22"/>
      <c r="MQ267" s="20"/>
      <c r="MR267" s="22"/>
      <c r="MS267" s="20"/>
      <c r="MT267" s="22"/>
      <c r="MU267" s="20"/>
      <c r="MV267" s="22"/>
      <c r="MW267" s="20"/>
      <c r="MX267" s="22"/>
      <c r="MY267" s="20"/>
      <c r="MZ267" s="22"/>
      <c r="NA267" s="20"/>
      <c r="NB267" s="22"/>
      <c r="NC267" s="20"/>
      <c r="ND267" s="22"/>
      <c r="NE267" s="20"/>
      <c r="NF267" s="73"/>
    </row>
    <row r="268">
      <c r="A268" s="237">
        <f t="shared" si="2"/>
        <v>2</v>
      </c>
      <c r="B268" s="267"/>
      <c r="C268" s="239">
        <v>46275.0</v>
      </c>
      <c r="D268" s="289" t="s">
        <v>449</v>
      </c>
      <c r="E268" s="242" t="s">
        <v>40</v>
      </c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  <c r="CI268" s="73"/>
      <c r="CJ268" s="73"/>
      <c r="CK268" s="73"/>
      <c r="CL268" s="73"/>
      <c r="CM268" s="73"/>
      <c r="CN268" s="73"/>
      <c r="CO268" s="73"/>
      <c r="CP268" s="73"/>
      <c r="CQ268" s="73"/>
      <c r="CR268" s="73"/>
      <c r="CS268" s="73"/>
      <c r="CT268" s="73"/>
      <c r="CU268" s="73"/>
      <c r="CV268" s="73"/>
      <c r="CW268" s="73"/>
      <c r="CX268" s="73"/>
      <c r="CY268" s="73"/>
      <c r="CZ268" s="73"/>
      <c r="DA268" s="73"/>
      <c r="DB268" s="73"/>
      <c r="DC268" s="73"/>
      <c r="DD268" s="73"/>
      <c r="DE268" s="73"/>
      <c r="DF268" s="73"/>
      <c r="DG268" s="73"/>
      <c r="DH268" s="73"/>
      <c r="DI268" s="73"/>
      <c r="DJ268" s="73"/>
      <c r="DK268" s="73"/>
      <c r="DL268" s="73"/>
      <c r="DM268" s="73"/>
      <c r="DN268" s="73"/>
      <c r="DO268" s="73"/>
      <c r="DP268" s="73"/>
      <c r="DQ268" s="73"/>
      <c r="DR268" s="73"/>
      <c r="DS268" s="73"/>
      <c r="DT268" s="73"/>
      <c r="DU268" s="73"/>
      <c r="DV268" s="22"/>
      <c r="DW268" s="20"/>
      <c r="DX268" s="22"/>
      <c r="DY268" s="20"/>
      <c r="DZ268" s="22"/>
      <c r="EA268" s="20"/>
      <c r="EB268" s="22"/>
      <c r="EC268" s="20"/>
      <c r="ED268" s="22"/>
      <c r="EE268" s="20"/>
      <c r="EF268" s="22"/>
      <c r="EG268" s="20"/>
      <c r="EH268" s="22"/>
      <c r="EI268" s="20"/>
      <c r="EJ268" s="22"/>
      <c r="EK268" s="20"/>
      <c r="EL268" s="22"/>
      <c r="EM268" s="20"/>
      <c r="EN268" s="22"/>
      <c r="EO268" s="20"/>
      <c r="EP268" s="22"/>
      <c r="EQ268" s="20"/>
      <c r="ER268" s="22"/>
      <c r="ES268" s="20"/>
      <c r="ET268" s="22"/>
      <c r="EU268" s="20"/>
      <c r="EV268" s="22"/>
      <c r="EW268" s="20"/>
      <c r="EX268" s="22"/>
      <c r="EY268" s="20"/>
      <c r="EZ268" s="22"/>
      <c r="FA268" s="20"/>
      <c r="FB268" s="22"/>
      <c r="FC268" s="20"/>
      <c r="FD268" s="22"/>
      <c r="FE268" s="20"/>
      <c r="FF268" s="22"/>
      <c r="FG268" s="20"/>
      <c r="FH268" s="22"/>
      <c r="FI268" s="20"/>
      <c r="FJ268" s="22"/>
      <c r="FK268" s="20"/>
      <c r="FL268" s="22"/>
      <c r="FM268" s="20"/>
      <c r="FN268" s="22"/>
      <c r="FO268" s="20"/>
      <c r="FP268" s="22"/>
      <c r="FQ268" s="20"/>
      <c r="FR268" s="22"/>
      <c r="FS268" s="20"/>
      <c r="FT268" s="22"/>
      <c r="FU268" s="20"/>
      <c r="FV268" s="22"/>
      <c r="FW268" s="20"/>
      <c r="FX268" s="22"/>
      <c r="FY268" s="20"/>
      <c r="FZ268" s="22"/>
      <c r="GA268" s="20"/>
      <c r="GB268" s="22"/>
      <c r="GC268" s="20"/>
      <c r="GD268" s="22"/>
      <c r="GE268" s="20"/>
      <c r="GF268" s="22"/>
      <c r="GG268" s="20"/>
      <c r="GH268" s="22"/>
      <c r="GI268" s="20"/>
      <c r="GJ268" s="22"/>
      <c r="GK268" s="20"/>
      <c r="GL268" s="22"/>
      <c r="GM268" s="20"/>
      <c r="GN268" s="22"/>
      <c r="GO268" s="20"/>
      <c r="GP268" s="22"/>
      <c r="GQ268" s="20"/>
      <c r="GR268" s="22"/>
      <c r="GS268" s="20"/>
      <c r="GT268" s="22"/>
      <c r="GU268" s="20"/>
      <c r="GV268" s="22"/>
      <c r="GW268" s="20"/>
      <c r="GX268" s="22"/>
      <c r="GY268" s="20"/>
      <c r="GZ268" s="22"/>
      <c r="HA268" s="20"/>
      <c r="HB268" s="22"/>
      <c r="HC268" s="20"/>
      <c r="HD268" s="22"/>
      <c r="HE268" s="20"/>
      <c r="HF268" s="22"/>
      <c r="HG268" s="20"/>
      <c r="HH268" s="22"/>
      <c r="HI268" s="20"/>
      <c r="HJ268" s="22"/>
      <c r="HK268" s="20"/>
      <c r="HL268" s="22"/>
      <c r="HM268" s="20"/>
      <c r="HN268" s="22"/>
      <c r="HO268" s="20"/>
      <c r="HP268" s="22"/>
      <c r="HQ268" s="20"/>
      <c r="HR268" s="22"/>
      <c r="HS268" s="20"/>
      <c r="HT268" s="22"/>
      <c r="HU268" s="20"/>
      <c r="HV268" s="22"/>
      <c r="HW268" s="20"/>
      <c r="HX268" s="22"/>
      <c r="HY268" s="20"/>
      <c r="HZ268" s="22"/>
      <c r="IA268" s="20"/>
      <c r="IB268" s="22"/>
      <c r="IC268" s="20"/>
      <c r="ID268" s="22"/>
      <c r="IE268" s="20"/>
      <c r="IF268" s="22"/>
      <c r="IG268" s="20"/>
      <c r="IH268" s="22"/>
      <c r="II268" s="20"/>
      <c r="IJ268" s="22"/>
      <c r="IK268" s="20"/>
      <c r="IL268" s="22"/>
      <c r="IM268" s="20"/>
      <c r="IN268" s="22"/>
      <c r="IO268" s="20"/>
      <c r="IP268" s="22"/>
      <c r="IQ268" s="20"/>
      <c r="IR268" s="20"/>
      <c r="IS268" s="20"/>
      <c r="IT268" s="22"/>
      <c r="IU268" s="20">
        <v>2.0</v>
      </c>
      <c r="IV268" s="22"/>
      <c r="IW268" s="20"/>
      <c r="IX268" s="22"/>
      <c r="IY268" s="20"/>
      <c r="IZ268" s="22"/>
      <c r="JA268" s="20"/>
      <c r="JB268" s="22"/>
      <c r="JC268" s="20"/>
      <c r="JD268" s="22"/>
      <c r="JE268" s="20"/>
      <c r="JF268" s="22"/>
      <c r="JG268" s="20"/>
      <c r="JH268" s="22"/>
      <c r="JI268" s="20"/>
      <c r="JJ268" s="22"/>
      <c r="JK268" s="20"/>
      <c r="JL268" s="22"/>
      <c r="JM268" s="20"/>
      <c r="JN268" s="22"/>
      <c r="JO268" s="20"/>
      <c r="JP268" s="22"/>
      <c r="JQ268" s="20"/>
      <c r="JR268" s="22"/>
      <c r="JS268" s="20"/>
      <c r="JT268" s="22"/>
      <c r="JU268" s="20"/>
      <c r="JV268" s="22"/>
      <c r="JW268" s="20"/>
      <c r="JX268" s="22"/>
      <c r="JY268" s="20"/>
      <c r="JZ268" s="22"/>
      <c r="KA268" s="20"/>
      <c r="KB268" s="22"/>
      <c r="KC268" s="20"/>
      <c r="KD268" s="22"/>
      <c r="KE268" s="20"/>
      <c r="KF268" s="22"/>
      <c r="KG268" s="20"/>
      <c r="KH268" s="22"/>
      <c r="KI268" s="20"/>
      <c r="KJ268" s="22"/>
      <c r="KK268" s="20"/>
      <c r="KL268" s="22"/>
      <c r="KM268" s="20"/>
      <c r="KN268" s="22"/>
      <c r="KO268" s="20"/>
      <c r="KP268" s="22"/>
      <c r="KQ268" s="20"/>
      <c r="KR268" s="22"/>
      <c r="KS268" s="20"/>
      <c r="KT268" s="22"/>
      <c r="KU268" s="20"/>
      <c r="KV268" s="22"/>
      <c r="KW268" s="20"/>
      <c r="KX268" s="22"/>
      <c r="KY268" s="20"/>
      <c r="KZ268" s="22"/>
      <c r="LA268" s="20"/>
      <c r="LB268" s="22"/>
      <c r="LC268" s="20"/>
      <c r="LD268" s="22"/>
      <c r="LE268" s="20"/>
      <c r="LF268" s="22"/>
      <c r="LG268" s="20"/>
      <c r="LH268" s="22"/>
      <c r="LI268" s="20"/>
      <c r="LJ268" s="22"/>
      <c r="LK268" s="20"/>
      <c r="LL268" s="22"/>
      <c r="LM268" s="20"/>
      <c r="LN268" s="22"/>
      <c r="LO268" s="20"/>
      <c r="LP268" s="22"/>
      <c r="LQ268" s="20"/>
      <c r="LR268" s="22"/>
      <c r="LS268" s="20"/>
      <c r="LT268" s="22"/>
      <c r="LU268" s="20"/>
      <c r="LV268" s="22"/>
      <c r="LW268" s="20"/>
      <c r="LX268" s="22"/>
      <c r="LY268" s="20"/>
      <c r="LZ268" s="22"/>
      <c r="MA268" s="20"/>
      <c r="MB268" s="22"/>
      <c r="MC268" s="20"/>
      <c r="MD268" s="22"/>
      <c r="ME268" s="20"/>
      <c r="MF268" s="22"/>
      <c r="MG268" s="20"/>
      <c r="MH268" s="22"/>
      <c r="MI268" s="20"/>
      <c r="MJ268" s="22"/>
      <c r="MK268" s="20"/>
      <c r="ML268" s="22"/>
      <c r="MM268" s="20"/>
      <c r="MN268" s="22"/>
      <c r="MO268" s="20"/>
      <c r="MP268" s="22"/>
      <c r="MQ268" s="20"/>
      <c r="MR268" s="22"/>
      <c r="MS268" s="20"/>
      <c r="MT268" s="22"/>
      <c r="MU268" s="20"/>
      <c r="MV268" s="22"/>
      <c r="MW268" s="20"/>
      <c r="MX268" s="22"/>
      <c r="MY268" s="20"/>
      <c r="MZ268" s="22"/>
      <c r="NA268" s="20"/>
      <c r="NB268" s="22"/>
      <c r="NC268" s="20"/>
      <c r="ND268" s="22"/>
      <c r="NE268" s="20"/>
      <c r="NF268" s="73"/>
    </row>
    <row r="269">
      <c r="A269" s="237" t="str">
        <f t="shared" si="2"/>
        <v>-</v>
      </c>
      <c r="B269" s="267"/>
      <c r="C269" s="239"/>
      <c r="D269" s="290"/>
      <c r="E269" s="242" t="s">
        <v>12</v>
      </c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  <c r="CI269" s="73"/>
      <c r="CJ269" s="73"/>
      <c r="CK269" s="73"/>
      <c r="CL269" s="73"/>
      <c r="CM269" s="73"/>
      <c r="CN269" s="73"/>
      <c r="CO269" s="73"/>
      <c r="CP269" s="73"/>
      <c r="CQ269" s="73"/>
      <c r="CR269" s="73"/>
      <c r="CS269" s="73"/>
      <c r="CT269" s="73"/>
      <c r="CU269" s="73"/>
      <c r="CV269" s="73"/>
      <c r="CW269" s="73"/>
      <c r="CX269" s="73"/>
      <c r="CY269" s="73"/>
      <c r="CZ269" s="73"/>
      <c r="DA269" s="73"/>
      <c r="DB269" s="73"/>
      <c r="DC269" s="73"/>
      <c r="DD269" s="73"/>
      <c r="DE269" s="73"/>
      <c r="DF269" s="73"/>
      <c r="DG269" s="73"/>
      <c r="DH269" s="73"/>
      <c r="DI269" s="73"/>
      <c r="DJ269" s="73"/>
      <c r="DK269" s="73"/>
      <c r="DL269" s="73"/>
      <c r="DM269" s="73"/>
      <c r="DN269" s="73"/>
      <c r="DO269" s="73"/>
      <c r="DP269" s="73"/>
      <c r="DQ269" s="73"/>
      <c r="DR269" s="73"/>
      <c r="DS269" s="73"/>
      <c r="DT269" s="73"/>
      <c r="DU269" s="73"/>
      <c r="DV269" s="22"/>
      <c r="DW269" s="20"/>
      <c r="DX269" s="22"/>
      <c r="DY269" s="20"/>
      <c r="DZ269" s="22"/>
      <c r="EA269" s="20"/>
      <c r="EB269" s="22"/>
      <c r="EC269" s="20"/>
      <c r="ED269" s="22"/>
      <c r="EE269" s="20"/>
      <c r="EF269" s="22"/>
      <c r="EG269" s="20"/>
      <c r="EH269" s="22"/>
      <c r="EI269" s="20"/>
      <c r="EJ269" s="22"/>
      <c r="EK269" s="20"/>
      <c r="EL269" s="22"/>
      <c r="EM269" s="20"/>
      <c r="EN269" s="22"/>
      <c r="EO269" s="20"/>
      <c r="EP269" s="22"/>
      <c r="EQ269" s="20"/>
      <c r="ER269" s="22"/>
      <c r="ES269" s="20"/>
      <c r="ET269" s="22"/>
      <c r="EU269" s="20"/>
      <c r="EV269" s="22"/>
      <c r="EW269" s="20"/>
      <c r="EX269" s="22"/>
      <c r="EY269" s="20"/>
      <c r="EZ269" s="22"/>
      <c r="FA269" s="20"/>
      <c r="FB269" s="22"/>
      <c r="FC269" s="20"/>
      <c r="FD269" s="22"/>
      <c r="FE269" s="20"/>
      <c r="FF269" s="22"/>
      <c r="FG269" s="20"/>
      <c r="FH269" s="22"/>
      <c r="FI269" s="20"/>
      <c r="FJ269" s="22"/>
      <c r="FK269" s="20"/>
      <c r="FL269" s="22"/>
      <c r="FM269" s="20"/>
      <c r="FN269" s="22"/>
      <c r="FO269" s="20"/>
      <c r="FP269" s="22"/>
      <c r="FQ269" s="20"/>
      <c r="FR269" s="22"/>
      <c r="FS269" s="20"/>
      <c r="FT269" s="22"/>
      <c r="FU269" s="20"/>
      <c r="FV269" s="22"/>
      <c r="FW269" s="20"/>
      <c r="FX269" s="22"/>
      <c r="FY269" s="20"/>
      <c r="FZ269" s="22"/>
      <c r="GA269" s="20"/>
      <c r="GB269" s="22"/>
      <c r="GC269" s="20"/>
      <c r="GD269" s="22"/>
      <c r="GE269" s="20"/>
      <c r="GF269" s="22"/>
      <c r="GG269" s="20"/>
      <c r="GH269" s="22"/>
      <c r="GI269" s="20"/>
      <c r="GJ269" s="22"/>
      <c r="GK269" s="20"/>
      <c r="GL269" s="22"/>
      <c r="GM269" s="20"/>
      <c r="GN269" s="22"/>
      <c r="GO269" s="20"/>
      <c r="GP269" s="22"/>
      <c r="GQ269" s="20"/>
      <c r="GR269" s="22"/>
      <c r="GS269" s="20"/>
      <c r="GT269" s="22"/>
      <c r="GU269" s="20"/>
      <c r="GV269" s="22"/>
      <c r="GW269" s="20"/>
      <c r="GX269" s="22"/>
      <c r="GY269" s="20"/>
      <c r="GZ269" s="22"/>
      <c r="HA269" s="20"/>
      <c r="HB269" s="22"/>
      <c r="HC269" s="20"/>
      <c r="HD269" s="22"/>
      <c r="HE269" s="20"/>
      <c r="HF269" s="22"/>
      <c r="HG269" s="20"/>
      <c r="HH269" s="22"/>
      <c r="HI269" s="20"/>
      <c r="HJ269" s="22"/>
      <c r="HK269" s="20"/>
      <c r="HL269" s="22"/>
      <c r="HM269" s="20"/>
      <c r="HN269" s="22"/>
      <c r="HO269" s="20"/>
      <c r="HP269" s="22"/>
      <c r="HQ269" s="20"/>
      <c r="HR269" s="22"/>
      <c r="HS269" s="20"/>
      <c r="HT269" s="22"/>
      <c r="HU269" s="20"/>
      <c r="HV269" s="22"/>
      <c r="HW269" s="20"/>
      <c r="HX269" s="22"/>
      <c r="HY269" s="20"/>
      <c r="HZ269" s="22"/>
      <c r="IA269" s="20"/>
      <c r="IB269" s="22"/>
      <c r="IC269" s="20"/>
      <c r="ID269" s="22"/>
      <c r="IE269" s="20"/>
      <c r="IF269" s="22"/>
      <c r="IG269" s="20"/>
      <c r="IH269" s="22"/>
      <c r="II269" s="20"/>
      <c r="IJ269" s="22"/>
      <c r="IK269" s="20"/>
      <c r="IL269" s="22"/>
      <c r="IM269" s="20"/>
      <c r="IN269" s="22"/>
      <c r="IO269" s="20"/>
      <c r="IP269" s="22"/>
      <c r="IQ269" s="20"/>
      <c r="IR269" s="22"/>
      <c r="IS269" s="20"/>
      <c r="IT269" s="22"/>
      <c r="IU269" s="20"/>
      <c r="IV269" s="22"/>
      <c r="IW269" s="20"/>
      <c r="IX269" s="22"/>
      <c r="IY269" s="20"/>
      <c r="IZ269" s="22"/>
      <c r="JA269" s="20"/>
      <c r="JB269" s="22"/>
      <c r="JC269" s="20"/>
      <c r="JD269" s="22"/>
      <c r="JE269" s="20"/>
      <c r="JF269" s="22"/>
      <c r="JG269" s="20"/>
      <c r="JH269" s="22"/>
      <c r="JI269" s="20"/>
      <c r="JJ269" s="22"/>
      <c r="JK269" s="20"/>
      <c r="JL269" s="22"/>
      <c r="JM269" s="20"/>
      <c r="JN269" s="22"/>
      <c r="JO269" s="20"/>
      <c r="JP269" s="22"/>
      <c r="JQ269" s="20"/>
      <c r="JR269" s="22"/>
      <c r="JS269" s="20"/>
      <c r="JT269" s="22"/>
      <c r="JU269" s="20"/>
      <c r="JV269" s="22"/>
      <c r="JW269" s="20"/>
      <c r="JX269" s="22"/>
      <c r="JY269" s="20"/>
      <c r="JZ269" s="22"/>
      <c r="KA269" s="20"/>
      <c r="KB269" s="22"/>
      <c r="KC269" s="20"/>
      <c r="KD269" s="22"/>
      <c r="KE269" s="20"/>
      <c r="KF269" s="22"/>
      <c r="KG269" s="20"/>
      <c r="KH269" s="22"/>
      <c r="KI269" s="20"/>
      <c r="KJ269" s="22"/>
      <c r="KK269" s="20"/>
      <c r="KL269" s="22"/>
      <c r="KM269" s="20"/>
      <c r="KN269" s="22"/>
      <c r="KO269" s="20"/>
      <c r="KP269" s="22"/>
      <c r="KQ269" s="20"/>
      <c r="KR269" s="22"/>
      <c r="KS269" s="20"/>
      <c r="KT269" s="22"/>
      <c r="KU269" s="20"/>
      <c r="KV269" s="22"/>
      <c r="KW269" s="20"/>
      <c r="KX269" s="22"/>
      <c r="KY269" s="20"/>
      <c r="KZ269" s="22"/>
      <c r="LA269" s="20"/>
      <c r="LB269" s="22"/>
      <c r="LC269" s="20"/>
      <c r="LD269" s="22"/>
      <c r="LE269" s="20"/>
      <c r="LF269" s="22"/>
      <c r="LG269" s="20"/>
      <c r="LH269" s="22"/>
      <c r="LI269" s="20"/>
      <c r="LJ269" s="22"/>
      <c r="LK269" s="20"/>
      <c r="LL269" s="22"/>
      <c r="LM269" s="20"/>
      <c r="LN269" s="22"/>
      <c r="LO269" s="20"/>
      <c r="LP269" s="22"/>
      <c r="LQ269" s="20"/>
      <c r="LR269" s="22"/>
      <c r="LS269" s="20"/>
      <c r="LT269" s="22"/>
      <c r="LU269" s="20"/>
      <c r="LV269" s="22"/>
      <c r="LW269" s="20"/>
      <c r="LX269" s="22"/>
      <c r="LY269" s="20"/>
      <c r="LZ269" s="22"/>
      <c r="MA269" s="20"/>
      <c r="MB269" s="22"/>
      <c r="MC269" s="20"/>
      <c r="MD269" s="22"/>
      <c r="ME269" s="20"/>
      <c r="MF269" s="22"/>
      <c r="MG269" s="20"/>
      <c r="MH269" s="22"/>
      <c r="MI269" s="20"/>
      <c r="MJ269" s="22"/>
      <c r="MK269" s="20"/>
      <c r="ML269" s="22"/>
      <c r="MM269" s="20"/>
      <c r="MN269" s="22"/>
      <c r="MO269" s="20"/>
      <c r="MP269" s="22"/>
      <c r="MQ269" s="20"/>
      <c r="MR269" s="22"/>
      <c r="MS269" s="20"/>
      <c r="MT269" s="22"/>
      <c r="MU269" s="20"/>
      <c r="MV269" s="22"/>
      <c r="MW269" s="20"/>
      <c r="MX269" s="22"/>
      <c r="MY269" s="20"/>
      <c r="MZ269" s="22"/>
      <c r="NA269" s="20"/>
      <c r="NB269" s="22"/>
      <c r="NC269" s="20"/>
      <c r="ND269" s="22"/>
      <c r="NE269" s="20"/>
      <c r="NF269" s="73"/>
    </row>
    <row r="270">
      <c r="A270" s="237" t="str">
        <f t="shared" si="2"/>
        <v>-</v>
      </c>
      <c r="B270" s="267"/>
      <c r="C270" s="239"/>
      <c r="D270" s="290"/>
      <c r="E270" s="242" t="s">
        <v>12</v>
      </c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  <c r="CI270" s="73"/>
      <c r="CJ270" s="73"/>
      <c r="CK270" s="73"/>
      <c r="CL270" s="73"/>
      <c r="CM270" s="73"/>
      <c r="CN270" s="73"/>
      <c r="CO270" s="73"/>
      <c r="CP270" s="73"/>
      <c r="CQ270" s="73"/>
      <c r="CR270" s="73"/>
      <c r="CS270" s="73"/>
      <c r="CT270" s="73"/>
      <c r="CU270" s="73"/>
      <c r="CV270" s="73"/>
      <c r="CW270" s="73"/>
      <c r="CX270" s="73"/>
      <c r="CY270" s="73"/>
      <c r="CZ270" s="73"/>
      <c r="DA270" s="73"/>
      <c r="DB270" s="73"/>
      <c r="DC270" s="73"/>
      <c r="DD270" s="73"/>
      <c r="DE270" s="73"/>
      <c r="DF270" s="73"/>
      <c r="DG270" s="73"/>
      <c r="DH270" s="73"/>
      <c r="DI270" s="73"/>
      <c r="DJ270" s="73"/>
      <c r="DK270" s="73"/>
      <c r="DL270" s="73"/>
      <c r="DM270" s="73"/>
      <c r="DN270" s="73"/>
      <c r="DO270" s="73"/>
      <c r="DP270" s="73"/>
      <c r="DQ270" s="73"/>
      <c r="DR270" s="73"/>
      <c r="DS270" s="73"/>
      <c r="DT270" s="73"/>
      <c r="DU270" s="73"/>
      <c r="DV270" s="22"/>
      <c r="DW270" s="20"/>
      <c r="DX270" s="22"/>
      <c r="DY270" s="20"/>
      <c r="DZ270" s="22"/>
      <c r="EA270" s="20"/>
      <c r="EB270" s="22"/>
      <c r="EC270" s="20"/>
      <c r="ED270" s="22"/>
      <c r="EE270" s="20"/>
      <c r="EF270" s="22"/>
      <c r="EG270" s="20"/>
      <c r="EH270" s="22"/>
      <c r="EI270" s="20"/>
      <c r="EJ270" s="22"/>
      <c r="EK270" s="20"/>
      <c r="EL270" s="22"/>
      <c r="EM270" s="20"/>
      <c r="EN270" s="22"/>
      <c r="EO270" s="20"/>
      <c r="EP270" s="22"/>
      <c r="EQ270" s="20"/>
      <c r="ER270" s="22"/>
      <c r="ES270" s="20"/>
      <c r="ET270" s="22"/>
      <c r="EU270" s="20"/>
      <c r="EV270" s="22"/>
      <c r="EW270" s="20"/>
      <c r="EX270" s="22"/>
      <c r="EY270" s="20"/>
      <c r="EZ270" s="22"/>
      <c r="FA270" s="20"/>
      <c r="FB270" s="22"/>
      <c r="FC270" s="20"/>
      <c r="FD270" s="22"/>
      <c r="FE270" s="20"/>
      <c r="FF270" s="22"/>
      <c r="FG270" s="20"/>
      <c r="FH270" s="22"/>
      <c r="FI270" s="20"/>
      <c r="FJ270" s="22"/>
      <c r="FK270" s="20"/>
      <c r="FL270" s="22"/>
      <c r="FM270" s="20"/>
      <c r="FN270" s="22"/>
      <c r="FO270" s="20"/>
      <c r="FP270" s="22"/>
      <c r="FQ270" s="20"/>
      <c r="FR270" s="22"/>
      <c r="FS270" s="20"/>
      <c r="FT270" s="22"/>
      <c r="FU270" s="20"/>
      <c r="FV270" s="22"/>
      <c r="FW270" s="20"/>
      <c r="FX270" s="22"/>
      <c r="FY270" s="20"/>
      <c r="FZ270" s="22"/>
      <c r="GA270" s="20"/>
      <c r="GB270" s="22"/>
      <c r="GC270" s="20"/>
      <c r="GD270" s="22"/>
      <c r="GE270" s="20"/>
      <c r="GF270" s="22"/>
      <c r="GG270" s="20"/>
      <c r="GH270" s="22"/>
      <c r="GI270" s="20"/>
      <c r="GJ270" s="22"/>
      <c r="GK270" s="20"/>
      <c r="GL270" s="22"/>
      <c r="GM270" s="20"/>
      <c r="GN270" s="22"/>
      <c r="GO270" s="20"/>
      <c r="GP270" s="22"/>
      <c r="GQ270" s="20"/>
      <c r="GR270" s="22"/>
      <c r="GS270" s="20"/>
      <c r="GT270" s="22"/>
      <c r="GU270" s="20"/>
      <c r="GV270" s="22"/>
      <c r="GW270" s="20"/>
      <c r="GX270" s="22"/>
      <c r="GY270" s="20"/>
      <c r="GZ270" s="22"/>
      <c r="HA270" s="20"/>
      <c r="HB270" s="22"/>
      <c r="HC270" s="20"/>
      <c r="HD270" s="22"/>
      <c r="HE270" s="20"/>
      <c r="HF270" s="22"/>
      <c r="HG270" s="20"/>
      <c r="HH270" s="22"/>
      <c r="HI270" s="20"/>
      <c r="HJ270" s="22"/>
      <c r="HK270" s="20"/>
      <c r="HL270" s="22"/>
      <c r="HM270" s="20"/>
      <c r="HN270" s="22"/>
      <c r="HO270" s="20"/>
      <c r="HP270" s="22"/>
      <c r="HQ270" s="20"/>
      <c r="HR270" s="22"/>
      <c r="HS270" s="20"/>
      <c r="HT270" s="22"/>
      <c r="HU270" s="20"/>
      <c r="HV270" s="22"/>
      <c r="HW270" s="20"/>
      <c r="HX270" s="22"/>
      <c r="HY270" s="20"/>
      <c r="HZ270" s="22"/>
      <c r="IA270" s="20"/>
      <c r="IB270" s="22"/>
      <c r="IC270" s="20"/>
      <c r="ID270" s="22"/>
      <c r="IE270" s="20"/>
      <c r="IF270" s="22"/>
      <c r="IG270" s="20"/>
      <c r="IH270" s="22"/>
      <c r="II270" s="20"/>
      <c r="IJ270" s="22"/>
      <c r="IK270" s="20"/>
      <c r="IL270" s="22"/>
      <c r="IM270" s="20"/>
      <c r="IN270" s="22"/>
      <c r="IO270" s="20"/>
      <c r="IP270" s="22"/>
      <c r="IQ270" s="20"/>
      <c r="IR270" s="22"/>
      <c r="IS270" s="20"/>
      <c r="IT270" s="22"/>
      <c r="IU270" s="20"/>
      <c r="IV270" s="22"/>
      <c r="IW270" s="20"/>
      <c r="IX270" s="22"/>
      <c r="IY270" s="20"/>
      <c r="IZ270" s="22"/>
      <c r="JA270" s="20"/>
      <c r="JB270" s="22"/>
      <c r="JC270" s="20"/>
      <c r="JD270" s="22"/>
      <c r="JE270" s="20"/>
      <c r="JF270" s="22"/>
      <c r="JG270" s="20"/>
      <c r="JH270" s="22"/>
      <c r="JI270" s="20"/>
      <c r="JJ270" s="22"/>
      <c r="JK270" s="20"/>
      <c r="JL270" s="22"/>
      <c r="JM270" s="20"/>
      <c r="JN270" s="22"/>
      <c r="JO270" s="20"/>
      <c r="JP270" s="22"/>
      <c r="JQ270" s="20"/>
      <c r="JR270" s="22"/>
      <c r="JS270" s="20"/>
      <c r="JT270" s="22"/>
      <c r="JU270" s="20"/>
      <c r="JV270" s="22"/>
      <c r="JW270" s="20"/>
      <c r="JX270" s="22"/>
      <c r="JY270" s="20"/>
      <c r="JZ270" s="22"/>
      <c r="KA270" s="20"/>
      <c r="KB270" s="22"/>
      <c r="KC270" s="20"/>
      <c r="KD270" s="22"/>
      <c r="KE270" s="20"/>
      <c r="KF270" s="22"/>
      <c r="KG270" s="20"/>
      <c r="KH270" s="22"/>
      <c r="KI270" s="20"/>
      <c r="KJ270" s="22"/>
      <c r="KK270" s="20"/>
      <c r="KL270" s="22"/>
      <c r="KM270" s="20"/>
      <c r="KN270" s="22"/>
      <c r="KO270" s="20"/>
      <c r="KP270" s="22"/>
      <c r="KQ270" s="20"/>
      <c r="KR270" s="22"/>
      <c r="KS270" s="20"/>
      <c r="KT270" s="22"/>
      <c r="KU270" s="20"/>
      <c r="KV270" s="22"/>
      <c r="KW270" s="20"/>
      <c r="KX270" s="22"/>
      <c r="KY270" s="20"/>
      <c r="KZ270" s="22"/>
      <c r="LA270" s="20"/>
      <c r="LB270" s="22"/>
      <c r="LC270" s="20"/>
      <c r="LD270" s="22"/>
      <c r="LE270" s="20"/>
      <c r="LF270" s="22"/>
      <c r="LG270" s="20"/>
      <c r="LH270" s="22"/>
      <c r="LI270" s="20"/>
      <c r="LJ270" s="22"/>
      <c r="LK270" s="20"/>
      <c r="LL270" s="22"/>
      <c r="LM270" s="20"/>
      <c r="LN270" s="22"/>
      <c r="LO270" s="20"/>
      <c r="LP270" s="22"/>
      <c r="LQ270" s="20"/>
      <c r="LR270" s="22"/>
      <c r="LS270" s="20"/>
      <c r="LT270" s="22"/>
      <c r="LU270" s="20"/>
      <c r="LV270" s="22"/>
      <c r="LW270" s="20"/>
      <c r="LX270" s="22"/>
      <c r="LY270" s="20"/>
      <c r="LZ270" s="22"/>
      <c r="MA270" s="20"/>
      <c r="MB270" s="22"/>
      <c r="MC270" s="20"/>
      <c r="MD270" s="22"/>
      <c r="ME270" s="20"/>
      <c r="MF270" s="22"/>
      <c r="MG270" s="20"/>
      <c r="MH270" s="22"/>
      <c r="MI270" s="20"/>
      <c r="MJ270" s="22"/>
      <c r="MK270" s="20"/>
      <c r="ML270" s="22"/>
      <c r="MM270" s="20"/>
      <c r="MN270" s="22"/>
      <c r="MO270" s="20"/>
      <c r="MP270" s="22"/>
      <c r="MQ270" s="20"/>
      <c r="MR270" s="22"/>
      <c r="MS270" s="20"/>
      <c r="MT270" s="22"/>
      <c r="MU270" s="20"/>
      <c r="MV270" s="22"/>
      <c r="MW270" s="20"/>
      <c r="MX270" s="22"/>
      <c r="MY270" s="20"/>
      <c r="MZ270" s="22"/>
      <c r="NA270" s="20"/>
      <c r="NB270" s="22"/>
      <c r="NC270" s="20"/>
      <c r="ND270" s="22"/>
      <c r="NE270" s="20"/>
      <c r="NF270" s="73"/>
    </row>
    <row r="271">
      <c r="A271" s="237" t="str">
        <f t="shared" si="2"/>
        <v>-</v>
      </c>
      <c r="B271" s="267"/>
      <c r="C271" s="239"/>
      <c r="D271" s="290"/>
      <c r="E271" s="242" t="s">
        <v>12</v>
      </c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  <c r="CI271" s="73"/>
      <c r="CJ271" s="73"/>
      <c r="CK271" s="73"/>
      <c r="CL271" s="73"/>
      <c r="CM271" s="73"/>
      <c r="CN271" s="73"/>
      <c r="CO271" s="73"/>
      <c r="CP271" s="73"/>
      <c r="CQ271" s="73"/>
      <c r="CR271" s="73"/>
      <c r="CS271" s="73"/>
      <c r="CT271" s="73"/>
      <c r="CU271" s="73"/>
      <c r="CV271" s="73"/>
      <c r="CW271" s="73"/>
      <c r="CX271" s="73"/>
      <c r="CY271" s="73"/>
      <c r="CZ271" s="73"/>
      <c r="DA271" s="73"/>
      <c r="DB271" s="73"/>
      <c r="DC271" s="73"/>
      <c r="DD271" s="73"/>
      <c r="DE271" s="73"/>
      <c r="DF271" s="73"/>
      <c r="DG271" s="73"/>
      <c r="DH271" s="73"/>
      <c r="DI271" s="73"/>
      <c r="DJ271" s="73"/>
      <c r="DK271" s="73"/>
      <c r="DL271" s="73"/>
      <c r="DM271" s="73"/>
      <c r="DN271" s="73"/>
      <c r="DO271" s="73"/>
      <c r="DP271" s="73"/>
      <c r="DQ271" s="73"/>
      <c r="DR271" s="73"/>
      <c r="DS271" s="73"/>
      <c r="DT271" s="73"/>
      <c r="DU271" s="73"/>
      <c r="DV271" s="22"/>
      <c r="DW271" s="20"/>
      <c r="DX271" s="22"/>
      <c r="DY271" s="20"/>
      <c r="DZ271" s="22"/>
      <c r="EA271" s="20"/>
      <c r="EB271" s="22"/>
      <c r="EC271" s="20"/>
      <c r="ED271" s="22"/>
      <c r="EE271" s="20"/>
      <c r="EF271" s="22"/>
      <c r="EG271" s="20"/>
      <c r="EH271" s="22"/>
      <c r="EI271" s="20"/>
      <c r="EJ271" s="22"/>
      <c r="EK271" s="20"/>
      <c r="EL271" s="22"/>
      <c r="EM271" s="20"/>
      <c r="EN271" s="22"/>
      <c r="EO271" s="20"/>
      <c r="EP271" s="22"/>
      <c r="EQ271" s="20"/>
      <c r="ER271" s="22"/>
      <c r="ES271" s="20"/>
      <c r="ET271" s="22"/>
      <c r="EU271" s="20"/>
      <c r="EV271" s="22"/>
      <c r="EW271" s="20"/>
      <c r="EX271" s="22"/>
      <c r="EY271" s="20"/>
      <c r="EZ271" s="22"/>
      <c r="FA271" s="20"/>
      <c r="FB271" s="22"/>
      <c r="FC271" s="20"/>
      <c r="FD271" s="22"/>
      <c r="FE271" s="20"/>
      <c r="FF271" s="22"/>
      <c r="FG271" s="20"/>
      <c r="FH271" s="22"/>
      <c r="FI271" s="20"/>
      <c r="FJ271" s="22"/>
      <c r="FK271" s="20"/>
      <c r="FL271" s="22"/>
      <c r="FM271" s="20"/>
      <c r="FN271" s="22"/>
      <c r="FO271" s="20"/>
      <c r="FP271" s="22"/>
      <c r="FQ271" s="20"/>
      <c r="FR271" s="22"/>
      <c r="FS271" s="20"/>
      <c r="FT271" s="22"/>
      <c r="FU271" s="20"/>
      <c r="FV271" s="22"/>
      <c r="FW271" s="20"/>
      <c r="FX271" s="22"/>
      <c r="FY271" s="20"/>
      <c r="FZ271" s="22"/>
      <c r="GA271" s="20"/>
      <c r="GB271" s="22"/>
      <c r="GC271" s="20"/>
      <c r="GD271" s="22"/>
      <c r="GE271" s="20"/>
      <c r="GF271" s="22"/>
      <c r="GG271" s="20"/>
      <c r="GH271" s="22"/>
      <c r="GI271" s="20"/>
      <c r="GJ271" s="22"/>
      <c r="GK271" s="20"/>
      <c r="GL271" s="22"/>
      <c r="GM271" s="20"/>
      <c r="GN271" s="22"/>
      <c r="GO271" s="20"/>
      <c r="GP271" s="22"/>
      <c r="GQ271" s="20"/>
      <c r="GR271" s="22"/>
      <c r="GS271" s="20"/>
      <c r="GT271" s="22"/>
      <c r="GU271" s="20"/>
      <c r="GV271" s="22"/>
      <c r="GW271" s="20"/>
      <c r="GX271" s="22"/>
      <c r="GY271" s="20"/>
      <c r="GZ271" s="22"/>
      <c r="HA271" s="20"/>
      <c r="HB271" s="22"/>
      <c r="HC271" s="20"/>
      <c r="HD271" s="22"/>
      <c r="HE271" s="20"/>
      <c r="HF271" s="22"/>
      <c r="HG271" s="20"/>
      <c r="HH271" s="22"/>
      <c r="HI271" s="20"/>
      <c r="HJ271" s="22"/>
      <c r="HK271" s="20"/>
      <c r="HL271" s="22"/>
      <c r="HM271" s="20"/>
      <c r="HN271" s="22"/>
      <c r="HO271" s="20"/>
      <c r="HP271" s="22"/>
      <c r="HQ271" s="20"/>
      <c r="HR271" s="22"/>
      <c r="HS271" s="20"/>
      <c r="HT271" s="22"/>
      <c r="HU271" s="20"/>
      <c r="HV271" s="22"/>
      <c r="HW271" s="20"/>
      <c r="HX271" s="22"/>
      <c r="HY271" s="20"/>
      <c r="HZ271" s="22"/>
      <c r="IA271" s="20"/>
      <c r="IB271" s="22"/>
      <c r="IC271" s="20"/>
      <c r="ID271" s="22"/>
      <c r="IE271" s="20"/>
      <c r="IF271" s="22"/>
      <c r="IG271" s="20"/>
      <c r="IH271" s="22"/>
      <c r="II271" s="20"/>
      <c r="IJ271" s="22"/>
      <c r="IK271" s="20"/>
      <c r="IL271" s="22"/>
      <c r="IM271" s="20"/>
      <c r="IN271" s="22"/>
      <c r="IO271" s="20"/>
      <c r="IP271" s="22"/>
      <c r="IQ271" s="20"/>
      <c r="IR271" s="22"/>
      <c r="IS271" s="20"/>
      <c r="IT271" s="22"/>
      <c r="IU271" s="20"/>
      <c r="IV271" s="22"/>
      <c r="IW271" s="20"/>
      <c r="IX271" s="22"/>
      <c r="IY271" s="20"/>
      <c r="IZ271" s="22"/>
      <c r="JA271" s="20"/>
      <c r="JB271" s="22"/>
      <c r="JC271" s="20"/>
      <c r="JD271" s="22"/>
      <c r="JE271" s="20"/>
      <c r="JF271" s="22"/>
      <c r="JG271" s="20"/>
      <c r="JH271" s="22"/>
      <c r="JI271" s="20"/>
      <c r="JJ271" s="22"/>
      <c r="JK271" s="20"/>
      <c r="JL271" s="22"/>
      <c r="JM271" s="20"/>
      <c r="JN271" s="22"/>
      <c r="JO271" s="20"/>
      <c r="JP271" s="22"/>
      <c r="JQ271" s="20"/>
      <c r="JR271" s="22"/>
      <c r="JS271" s="20"/>
      <c r="JT271" s="22"/>
      <c r="JU271" s="20"/>
      <c r="JV271" s="22"/>
      <c r="JW271" s="20"/>
      <c r="JX271" s="22"/>
      <c r="JY271" s="20"/>
      <c r="JZ271" s="22"/>
      <c r="KA271" s="20"/>
      <c r="KB271" s="22"/>
      <c r="KC271" s="20"/>
      <c r="KD271" s="22"/>
      <c r="KE271" s="20"/>
      <c r="KF271" s="22"/>
      <c r="KG271" s="20"/>
      <c r="KH271" s="22"/>
      <c r="KI271" s="20"/>
      <c r="KJ271" s="22"/>
      <c r="KK271" s="20"/>
      <c r="KL271" s="22"/>
      <c r="KM271" s="20"/>
      <c r="KN271" s="22"/>
      <c r="KO271" s="20"/>
      <c r="KP271" s="22"/>
      <c r="KQ271" s="20"/>
      <c r="KR271" s="22"/>
      <c r="KS271" s="20"/>
      <c r="KT271" s="22"/>
      <c r="KU271" s="20"/>
      <c r="KV271" s="22"/>
      <c r="KW271" s="20"/>
      <c r="KX271" s="22"/>
      <c r="KY271" s="20"/>
      <c r="KZ271" s="22"/>
      <c r="LA271" s="20"/>
      <c r="LB271" s="22"/>
      <c r="LC271" s="20"/>
      <c r="LD271" s="22"/>
      <c r="LE271" s="20"/>
      <c r="LF271" s="22"/>
      <c r="LG271" s="20"/>
      <c r="LH271" s="22"/>
      <c r="LI271" s="20"/>
      <c r="LJ271" s="22"/>
      <c r="LK271" s="20"/>
      <c r="LL271" s="22"/>
      <c r="LM271" s="20"/>
      <c r="LN271" s="22"/>
      <c r="LO271" s="20"/>
      <c r="LP271" s="22"/>
      <c r="LQ271" s="20"/>
      <c r="LR271" s="22"/>
      <c r="LS271" s="20"/>
      <c r="LT271" s="22"/>
      <c r="LU271" s="20"/>
      <c r="LV271" s="22"/>
      <c r="LW271" s="20"/>
      <c r="LX271" s="22"/>
      <c r="LY271" s="20"/>
      <c r="LZ271" s="22"/>
      <c r="MA271" s="20"/>
      <c r="MB271" s="22"/>
      <c r="MC271" s="20"/>
      <c r="MD271" s="22"/>
      <c r="ME271" s="20"/>
      <c r="MF271" s="22"/>
      <c r="MG271" s="20"/>
      <c r="MH271" s="22"/>
      <c r="MI271" s="20"/>
      <c r="MJ271" s="22"/>
      <c r="MK271" s="20"/>
      <c r="ML271" s="22"/>
      <c r="MM271" s="20"/>
      <c r="MN271" s="22"/>
      <c r="MO271" s="20"/>
      <c r="MP271" s="22"/>
      <c r="MQ271" s="20"/>
      <c r="MR271" s="22"/>
      <c r="MS271" s="20"/>
      <c r="MT271" s="22"/>
      <c r="MU271" s="20"/>
      <c r="MV271" s="22"/>
      <c r="MW271" s="20"/>
      <c r="MX271" s="22"/>
      <c r="MY271" s="20"/>
      <c r="MZ271" s="22"/>
      <c r="NA271" s="20"/>
      <c r="NB271" s="22"/>
      <c r="NC271" s="20"/>
      <c r="ND271" s="22"/>
      <c r="NE271" s="20"/>
      <c r="NF271" s="73"/>
    </row>
    <row r="272">
      <c r="A272" s="237" t="str">
        <f t="shared" si="2"/>
        <v>-</v>
      </c>
      <c r="B272" s="267"/>
      <c r="C272" s="239"/>
      <c r="D272" s="290"/>
      <c r="E272" s="242" t="s">
        <v>12</v>
      </c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  <c r="CI272" s="73"/>
      <c r="CJ272" s="73"/>
      <c r="CK272" s="73"/>
      <c r="CL272" s="73"/>
      <c r="CM272" s="73"/>
      <c r="CN272" s="73"/>
      <c r="CO272" s="73"/>
      <c r="CP272" s="73"/>
      <c r="CQ272" s="73"/>
      <c r="CR272" s="73"/>
      <c r="CS272" s="73"/>
      <c r="CT272" s="73"/>
      <c r="CU272" s="73"/>
      <c r="CV272" s="73"/>
      <c r="CW272" s="73"/>
      <c r="CX272" s="73"/>
      <c r="CY272" s="73"/>
      <c r="CZ272" s="73"/>
      <c r="DA272" s="73"/>
      <c r="DB272" s="73"/>
      <c r="DC272" s="73"/>
      <c r="DD272" s="73"/>
      <c r="DE272" s="73"/>
      <c r="DF272" s="73"/>
      <c r="DG272" s="73"/>
      <c r="DH272" s="73"/>
      <c r="DI272" s="73"/>
      <c r="DJ272" s="73"/>
      <c r="DK272" s="73"/>
      <c r="DL272" s="73"/>
      <c r="DM272" s="73"/>
      <c r="DN272" s="73"/>
      <c r="DO272" s="73"/>
      <c r="DP272" s="73"/>
      <c r="DQ272" s="73"/>
      <c r="DR272" s="73"/>
      <c r="DS272" s="73"/>
      <c r="DT272" s="73"/>
      <c r="DU272" s="73"/>
      <c r="DV272" s="22"/>
      <c r="DW272" s="20"/>
      <c r="DX272" s="22"/>
      <c r="DY272" s="20"/>
      <c r="DZ272" s="22"/>
      <c r="EA272" s="20"/>
      <c r="EB272" s="22"/>
      <c r="EC272" s="20"/>
      <c r="ED272" s="22"/>
      <c r="EE272" s="20"/>
      <c r="EF272" s="22"/>
      <c r="EG272" s="20"/>
      <c r="EH272" s="22"/>
      <c r="EI272" s="20"/>
      <c r="EJ272" s="22"/>
      <c r="EK272" s="20"/>
      <c r="EL272" s="22"/>
      <c r="EM272" s="20"/>
      <c r="EN272" s="22"/>
      <c r="EO272" s="20"/>
      <c r="EP272" s="22"/>
      <c r="EQ272" s="20"/>
      <c r="ER272" s="22"/>
      <c r="ES272" s="20"/>
      <c r="ET272" s="22"/>
      <c r="EU272" s="20"/>
      <c r="EV272" s="22"/>
      <c r="EW272" s="20"/>
      <c r="EX272" s="22"/>
      <c r="EY272" s="20"/>
      <c r="EZ272" s="22"/>
      <c r="FA272" s="20"/>
      <c r="FB272" s="22"/>
      <c r="FC272" s="20"/>
      <c r="FD272" s="22"/>
      <c r="FE272" s="20"/>
      <c r="FF272" s="22"/>
      <c r="FG272" s="20"/>
      <c r="FH272" s="22"/>
      <c r="FI272" s="20"/>
      <c r="FJ272" s="22"/>
      <c r="FK272" s="20"/>
      <c r="FL272" s="22"/>
      <c r="FM272" s="20"/>
      <c r="FN272" s="22"/>
      <c r="FO272" s="20"/>
      <c r="FP272" s="22"/>
      <c r="FQ272" s="20"/>
      <c r="FR272" s="22"/>
      <c r="FS272" s="20"/>
      <c r="FT272" s="22"/>
      <c r="FU272" s="20"/>
      <c r="FV272" s="22"/>
      <c r="FW272" s="20"/>
      <c r="FX272" s="22"/>
      <c r="FY272" s="20"/>
      <c r="FZ272" s="22"/>
      <c r="GA272" s="20"/>
      <c r="GB272" s="22"/>
      <c r="GC272" s="20"/>
      <c r="GD272" s="22"/>
      <c r="GE272" s="20"/>
      <c r="GF272" s="22"/>
      <c r="GG272" s="20"/>
      <c r="GH272" s="22"/>
      <c r="GI272" s="20"/>
      <c r="GJ272" s="22"/>
      <c r="GK272" s="20"/>
      <c r="GL272" s="22"/>
      <c r="GM272" s="20"/>
      <c r="GN272" s="22"/>
      <c r="GO272" s="20"/>
      <c r="GP272" s="22"/>
      <c r="GQ272" s="20"/>
      <c r="GR272" s="22"/>
      <c r="GS272" s="20"/>
      <c r="GT272" s="22"/>
      <c r="GU272" s="20"/>
      <c r="GV272" s="22"/>
      <c r="GW272" s="20"/>
      <c r="GX272" s="22"/>
      <c r="GY272" s="20"/>
      <c r="GZ272" s="22"/>
      <c r="HA272" s="20"/>
      <c r="HB272" s="22"/>
      <c r="HC272" s="20"/>
      <c r="HD272" s="22"/>
      <c r="HE272" s="20"/>
      <c r="HF272" s="22"/>
      <c r="HG272" s="20"/>
      <c r="HH272" s="22"/>
      <c r="HI272" s="20"/>
      <c r="HJ272" s="22"/>
      <c r="HK272" s="20"/>
      <c r="HL272" s="22"/>
      <c r="HM272" s="20"/>
      <c r="HN272" s="22"/>
      <c r="HO272" s="20"/>
      <c r="HP272" s="22"/>
      <c r="HQ272" s="20"/>
      <c r="HR272" s="22"/>
      <c r="HS272" s="20"/>
      <c r="HT272" s="22"/>
      <c r="HU272" s="20"/>
      <c r="HV272" s="22"/>
      <c r="HW272" s="20"/>
      <c r="HX272" s="22"/>
      <c r="HY272" s="20"/>
      <c r="HZ272" s="22"/>
      <c r="IA272" s="20"/>
      <c r="IB272" s="22"/>
      <c r="IC272" s="20"/>
      <c r="ID272" s="22"/>
      <c r="IE272" s="20"/>
      <c r="IF272" s="22"/>
      <c r="IG272" s="20"/>
      <c r="IH272" s="22"/>
      <c r="II272" s="20"/>
      <c r="IJ272" s="22"/>
      <c r="IK272" s="20"/>
      <c r="IL272" s="22"/>
      <c r="IM272" s="20"/>
      <c r="IN272" s="22"/>
      <c r="IO272" s="20"/>
      <c r="IP272" s="22"/>
      <c r="IQ272" s="20"/>
      <c r="IR272" s="22"/>
      <c r="IS272" s="20"/>
      <c r="IT272" s="22"/>
      <c r="IU272" s="20"/>
      <c r="IV272" s="22"/>
      <c r="IW272" s="20"/>
      <c r="IX272" s="22"/>
      <c r="IY272" s="20"/>
      <c r="IZ272" s="22"/>
      <c r="JA272" s="20"/>
      <c r="JB272" s="22"/>
      <c r="JC272" s="20"/>
      <c r="JD272" s="22"/>
      <c r="JE272" s="20"/>
      <c r="JF272" s="22"/>
      <c r="JG272" s="20"/>
      <c r="JH272" s="22"/>
      <c r="JI272" s="20"/>
      <c r="JJ272" s="22"/>
      <c r="JK272" s="20"/>
      <c r="JL272" s="22"/>
      <c r="JM272" s="20"/>
      <c r="JN272" s="22"/>
      <c r="JO272" s="20"/>
      <c r="JP272" s="22"/>
      <c r="JQ272" s="20"/>
      <c r="JR272" s="22"/>
      <c r="JS272" s="20"/>
      <c r="JT272" s="22"/>
      <c r="JU272" s="20"/>
      <c r="JV272" s="22"/>
      <c r="JW272" s="20"/>
      <c r="JX272" s="22"/>
      <c r="JY272" s="20"/>
      <c r="JZ272" s="22"/>
      <c r="KA272" s="20"/>
      <c r="KB272" s="22"/>
      <c r="KC272" s="20"/>
      <c r="KD272" s="22"/>
      <c r="KE272" s="20"/>
      <c r="KF272" s="22"/>
      <c r="KG272" s="20"/>
      <c r="KH272" s="22"/>
      <c r="KI272" s="20"/>
      <c r="KJ272" s="22"/>
      <c r="KK272" s="20"/>
      <c r="KL272" s="22"/>
      <c r="KM272" s="20"/>
      <c r="KN272" s="22"/>
      <c r="KO272" s="20"/>
      <c r="KP272" s="22"/>
      <c r="KQ272" s="20"/>
      <c r="KR272" s="22"/>
      <c r="KS272" s="20"/>
      <c r="KT272" s="22"/>
      <c r="KU272" s="20"/>
      <c r="KV272" s="22"/>
      <c r="KW272" s="20"/>
      <c r="KX272" s="22"/>
      <c r="KY272" s="20"/>
      <c r="KZ272" s="22"/>
      <c r="LA272" s="20"/>
      <c r="LB272" s="22"/>
      <c r="LC272" s="20"/>
      <c r="LD272" s="22"/>
      <c r="LE272" s="20"/>
      <c r="LF272" s="22"/>
      <c r="LG272" s="20"/>
      <c r="LH272" s="22"/>
      <c r="LI272" s="20"/>
      <c r="LJ272" s="22"/>
      <c r="LK272" s="20"/>
      <c r="LL272" s="22"/>
      <c r="LM272" s="20"/>
      <c r="LN272" s="22"/>
      <c r="LO272" s="20"/>
      <c r="LP272" s="22"/>
      <c r="LQ272" s="20"/>
      <c r="LR272" s="22"/>
      <c r="LS272" s="20"/>
      <c r="LT272" s="22"/>
      <c r="LU272" s="20"/>
      <c r="LV272" s="22"/>
      <c r="LW272" s="20"/>
      <c r="LX272" s="22"/>
      <c r="LY272" s="20"/>
      <c r="LZ272" s="22"/>
      <c r="MA272" s="20"/>
      <c r="MB272" s="22"/>
      <c r="MC272" s="20"/>
      <c r="MD272" s="22"/>
      <c r="ME272" s="20"/>
      <c r="MF272" s="22"/>
      <c r="MG272" s="20"/>
      <c r="MH272" s="22"/>
      <c r="MI272" s="20"/>
      <c r="MJ272" s="22"/>
      <c r="MK272" s="20"/>
      <c r="ML272" s="22"/>
      <c r="MM272" s="20"/>
      <c r="MN272" s="22"/>
      <c r="MO272" s="20"/>
      <c r="MP272" s="22"/>
      <c r="MQ272" s="20"/>
      <c r="MR272" s="22"/>
      <c r="MS272" s="20"/>
      <c r="MT272" s="22"/>
      <c r="MU272" s="20"/>
      <c r="MV272" s="22"/>
      <c r="MW272" s="20"/>
      <c r="MX272" s="22"/>
      <c r="MY272" s="20"/>
      <c r="MZ272" s="22"/>
      <c r="NA272" s="20"/>
      <c r="NB272" s="22"/>
      <c r="NC272" s="20"/>
      <c r="ND272" s="22"/>
      <c r="NE272" s="20"/>
      <c r="NF272" s="73"/>
    </row>
    <row r="273">
      <c r="A273" s="237" t="str">
        <f t="shared" si="2"/>
        <v>-</v>
      </c>
      <c r="B273" s="267"/>
      <c r="C273" s="239"/>
      <c r="D273" s="290"/>
      <c r="E273" s="242" t="s">
        <v>12</v>
      </c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  <c r="CI273" s="73"/>
      <c r="CJ273" s="73"/>
      <c r="CK273" s="73"/>
      <c r="CL273" s="73"/>
      <c r="CM273" s="73"/>
      <c r="CN273" s="73"/>
      <c r="CO273" s="73"/>
      <c r="CP273" s="73"/>
      <c r="CQ273" s="73"/>
      <c r="CR273" s="73"/>
      <c r="CS273" s="73"/>
      <c r="CT273" s="73"/>
      <c r="CU273" s="73"/>
      <c r="CV273" s="73"/>
      <c r="CW273" s="73"/>
      <c r="CX273" s="73"/>
      <c r="CY273" s="73"/>
      <c r="CZ273" s="73"/>
      <c r="DA273" s="73"/>
      <c r="DB273" s="73"/>
      <c r="DC273" s="73"/>
      <c r="DD273" s="73"/>
      <c r="DE273" s="73"/>
      <c r="DF273" s="73"/>
      <c r="DG273" s="73"/>
      <c r="DH273" s="73"/>
      <c r="DI273" s="73"/>
      <c r="DJ273" s="73"/>
      <c r="DK273" s="73"/>
      <c r="DL273" s="73"/>
      <c r="DM273" s="73"/>
      <c r="DN273" s="73"/>
      <c r="DO273" s="73"/>
      <c r="DP273" s="73"/>
      <c r="DQ273" s="73"/>
      <c r="DR273" s="73"/>
      <c r="DS273" s="73"/>
      <c r="DT273" s="73"/>
      <c r="DU273" s="73"/>
      <c r="DV273" s="22"/>
      <c r="DW273" s="20"/>
      <c r="DX273" s="22"/>
      <c r="DY273" s="20"/>
      <c r="DZ273" s="22"/>
      <c r="EA273" s="20"/>
      <c r="EB273" s="22"/>
      <c r="EC273" s="20"/>
      <c r="ED273" s="22"/>
      <c r="EE273" s="20"/>
      <c r="EF273" s="22"/>
      <c r="EG273" s="20"/>
      <c r="EH273" s="22"/>
      <c r="EI273" s="20"/>
      <c r="EJ273" s="22"/>
      <c r="EK273" s="20"/>
      <c r="EL273" s="22"/>
      <c r="EM273" s="20"/>
      <c r="EN273" s="22"/>
      <c r="EO273" s="20"/>
      <c r="EP273" s="22"/>
      <c r="EQ273" s="20"/>
      <c r="ER273" s="22"/>
      <c r="ES273" s="20"/>
      <c r="ET273" s="22"/>
      <c r="EU273" s="20"/>
      <c r="EV273" s="22"/>
      <c r="EW273" s="20"/>
      <c r="EX273" s="22"/>
      <c r="EY273" s="20"/>
      <c r="EZ273" s="22"/>
      <c r="FA273" s="20"/>
      <c r="FB273" s="22"/>
      <c r="FC273" s="20"/>
      <c r="FD273" s="22"/>
      <c r="FE273" s="20"/>
      <c r="FF273" s="22"/>
      <c r="FG273" s="20"/>
      <c r="FH273" s="22"/>
      <c r="FI273" s="20"/>
      <c r="FJ273" s="22"/>
      <c r="FK273" s="20"/>
      <c r="FL273" s="22"/>
      <c r="FM273" s="20"/>
      <c r="FN273" s="22"/>
      <c r="FO273" s="20"/>
      <c r="FP273" s="22"/>
      <c r="FQ273" s="20"/>
      <c r="FR273" s="22"/>
      <c r="FS273" s="20"/>
      <c r="FT273" s="22"/>
      <c r="FU273" s="20"/>
      <c r="FV273" s="22"/>
      <c r="FW273" s="20"/>
      <c r="FX273" s="22"/>
      <c r="FY273" s="20"/>
      <c r="FZ273" s="22"/>
      <c r="GA273" s="20"/>
      <c r="GB273" s="22"/>
      <c r="GC273" s="20"/>
      <c r="GD273" s="22"/>
      <c r="GE273" s="20"/>
      <c r="GF273" s="22"/>
      <c r="GG273" s="20"/>
      <c r="GH273" s="22"/>
      <c r="GI273" s="20"/>
      <c r="GJ273" s="22"/>
      <c r="GK273" s="20"/>
      <c r="GL273" s="22"/>
      <c r="GM273" s="20"/>
      <c r="GN273" s="22"/>
      <c r="GO273" s="20"/>
      <c r="GP273" s="22"/>
      <c r="GQ273" s="20"/>
      <c r="GR273" s="22"/>
      <c r="GS273" s="20"/>
      <c r="GT273" s="22"/>
      <c r="GU273" s="20"/>
      <c r="GV273" s="22"/>
      <c r="GW273" s="20"/>
      <c r="GX273" s="22"/>
      <c r="GY273" s="20"/>
      <c r="GZ273" s="22"/>
      <c r="HA273" s="20"/>
      <c r="HB273" s="22"/>
      <c r="HC273" s="20"/>
      <c r="HD273" s="22"/>
      <c r="HE273" s="20"/>
      <c r="HF273" s="22"/>
      <c r="HG273" s="20"/>
      <c r="HH273" s="22"/>
      <c r="HI273" s="20"/>
      <c r="HJ273" s="22"/>
      <c r="HK273" s="20"/>
      <c r="HL273" s="22"/>
      <c r="HM273" s="20"/>
      <c r="HN273" s="22"/>
      <c r="HO273" s="20"/>
      <c r="HP273" s="22"/>
      <c r="HQ273" s="20"/>
      <c r="HR273" s="22"/>
      <c r="HS273" s="20"/>
      <c r="HT273" s="22"/>
      <c r="HU273" s="20"/>
      <c r="HV273" s="22"/>
      <c r="HW273" s="20"/>
      <c r="HX273" s="22"/>
      <c r="HY273" s="20"/>
      <c r="HZ273" s="22"/>
      <c r="IA273" s="20"/>
      <c r="IB273" s="22"/>
      <c r="IC273" s="20"/>
      <c r="ID273" s="22"/>
      <c r="IE273" s="20"/>
      <c r="IF273" s="22"/>
      <c r="IG273" s="20"/>
      <c r="IH273" s="22"/>
      <c r="II273" s="20"/>
      <c r="IJ273" s="22"/>
      <c r="IK273" s="20"/>
      <c r="IL273" s="22"/>
      <c r="IM273" s="20"/>
      <c r="IN273" s="22"/>
      <c r="IO273" s="20"/>
      <c r="IP273" s="22"/>
      <c r="IQ273" s="20"/>
      <c r="IR273" s="22"/>
      <c r="IS273" s="20"/>
      <c r="IT273" s="22"/>
      <c r="IU273" s="20"/>
      <c r="IV273" s="22"/>
      <c r="IW273" s="20"/>
      <c r="IX273" s="22"/>
      <c r="IY273" s="20"/>
      <c r="IZ273" s="22"/>
      <c r="JA273" s="20"/>
      <c r="JB273" s="22"/>
      <c r="JC273" s="20"/>
      <c r="JD273" s="22"/>
      <c r="JE273" s="20"/>
      <c r="JF273" s="22"/>
      <c r="JG273" s="20"/>
      <c r="JH273" s="22"/>
      <c r="JI273" s="20"/>
      <c r="JJ273" s="22"/>
      <c r="JK273" s="20"/>
      <c r="JL273" s="22"/>
      <c r="JM273" s="20"/>
      <c r="JN273" s="22"/>
      <c r="JO273" s="20"/>
      <c r="JP273" s="22"/>
      <c r="JQ273" s="20"/>
      <c r="JR273" s="22"/>
      <c r="JS273" s="20"/>
      <c r="JT273" s="22"/>
      <c r="JU273" s="20"/>
      <c r="JV273" s="22"/>
      <c r="JW273" s="20"/>
      <c r="JX273" s="22"/>
      <c r="JY273" s="20"/>
      <c r="JZ273" s="22"/>
      <c r="KA273" s="20"/>
      <c r="KB273" s="22"/>
      <c r="KC273" s="20"/>
      <c r="KD273" s="22"/>
      <c r="KE273" s="20"/>
      <c r="KF273" s="22"/>
      <c r="KG273" s="20"/>
      <c r="KH273" s="22"/>
      <c r="KI273" s="20"/>
      <c r="KJ273" s="22"/>
      <c r="KK273" s="20"/>
      <c r="KL273" s="22"/>
      <c r="KM273" s="20"/>
      <c r="KN273" s="22"/>
      <c r="KO273" s="20"/>
      <c r="KP273" s="22"/>
      <c r="KQ273" s="20"/>
      <c r="KR273" s="22"/>
      <c r="KS273" s="20"/>
      <c r="KT273" s="22"/>
      <c r="KU273" s="20"/>
      <c r="KV273" s="22"/>
      <c r="KW273" s="20"/>
      <c r="KX273" s="22"/>
      <c r="KY273" s="20"/>
      <c r="KZ273" s="22"/>
      <c r="LA273" s="20"/>
      <c r="LB273" s="22"/>
      <c r="LC273" s="20"/>
      <c r="LD273" s="22"/>
      <c r="LE273" s="20"/>
      <c r="LF273" s="22"/>
      <c r="LG273" s="20"/>
      <c r="LH273" s="22"/>
      <c r="LI273" s="20"/>
      <c r="LJ273" s="22"/>
      <c r="LK273" s="20"/>
      <c r="LL273" s="22"/>
      <c r="LM273" s="20"/>
      <c r="LN273" s="22"/>
      <c r="LO273" s="20"/>
      <c r="LP273" s="22"/>
      <c r="LQ273" s="20"/>
      <c r="LR273" s="22"/>
      <c r="LS273" s="20"/>
      <c r="LT273" s="22"/>
      <c r="LU273" s="20"/>
      <c r="LV273" s="22"/>
      <c r="LW273" s="20"/>
      <c r="LX273" s="22"/>
      <c r="LY273" s="20"/>
      <c r="LZ273" s="22"/>
      <c r="MA273" s="20"/>
      <c r="MB273" s="22"/>
      <c r="MC273" s="20"/>
      <c r="MD273" s="22"/>
      <c r="ME273" s="20"/>
      <c r="MF273" s="22"/>
      <c r="MG273" s="20"/>
      <c r="MH273" s="22"/>
      <c r="MI273" s="20"/>
      <c r="MJ273" s="22"/>
      <c r="MK273" s="20"/>
      <c r="ML273" s="22"/>
      <c r="MM273" s="20"/>
      <c r="MN273" s="22"/>
      <c r="MO273" s="20"/>
      <c r="MP273" s="22"/>
      <c r="MQ273" s="20"/>
      <c r="MR273" s="22"/>
      <c r="MS273" s="20"/>
      <c r="MT273" s="22"/>
      <c r="MU273" s="20"/>
      <c r="MV273" s="22"/>
      <c r="MW273" s="20"/>
      <c r="MX273" s="22"/>
      <c r="MY273" s="20"/>
      <c r="MZ273" s="22"/>
      <c r="NA273" s="20"/>
      <c r="NB273" s="22"/>
      <c r="NC273" s="20"/>
      <c r="ND273" s="22"/>
      <c r="NE273" s="20"/>
      <c r="NF273" s="73"/>
    </row>
    <row r="274">
      <c r="A274" s="237" t="str">
        <f t="shared" si="2"/>
        <v>-</v>
      </c>
      <c r="B274" s="267"/>
      <c r="C274" s="239"/>
      <c r="D274" s="290"/>
      <c r="E274" s="242" t="s">
        <v>12</v>
      </c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  <c r="CI274" s="73"/>
      <c r="CJ274" s="73"/>
      <c r="CK274" s="73"/>
      <c r="CL274" s="73"/>
      <c r="CM274" s="73"/>
      <c r="CN274" s="73"/>
      <c r="CO274" s="73"/>
      <c r="CP274" s="73"/>
      <c r="CQ274" s="73"/>
      <c r="CR274" s="73"/>
      <c r="CS274" s="73"/>
      <c r="CT274" s="73"/>
      <c r="CU274" s="73"/>
      <c r="CV274" s="73"/>
      <c r="CW274" s="73"/>
      <c r="CX274" s="73"/>
      <c r="CY274" s="73"/>
      <c r="CZ274" s="73"/>
      <c r="DA274" s="73"/>
      <c r="DB274" s="73"/>
      <c r="DC274" s="73"/>
      <c r="DD274" s="73"/>
      <c r="DE274" s="73"/>
      <c r="DF274" s="73"/>
      <c r="DG274" s="73"/>
      <c r="DH274" s="73"/>
      <c r="DI274" s="73"/>
      <c r="DJ274" s="73"/>
      <c r="DK274" s="73"/>
      <c r="DL274" s="73"/>
      <c r="DM274" s="73"/>
      <c r="DN274" s="73"/>
      <c r="DO274" s="73"/>
      <c r="DP274" s="73"/>
      <c r="DQ274" s="73"/>
      <c r="DR274" s="73"/>
      <c r="DS274" s="73"/>
      <c r="DT274" s="73"/>
      <c r="DU274" s="73"/>
      <c r="DV274" s="22"/>
      <c r="DW274" s="20"/>
      <c r="DX274" s="22"/>
      <c r="DY274" s="20"/>
      <c r="DZ274" s="22"/>
      <c r="EA274" s="20"/>
      <c r="EB274" s="22"/>
      <c r="EC274" s="20"/>
      <c r="ED274" s="22"/>
      <c r="EE274" s="20"/>
      <c r="EF274" s="22"/>
      <c r="EG274" s="20"/>
      <c r="EH274" s="22"/>
      <c r="EI274" s="20"/>
      <c r="EJ274" s="22"/>
      <c r="EK274" s="20"/>
      <c r="EL274" s="22"/>
      <c r="EM274" s="20"/>
      <c r="EN274" s="22"/>
      <c r="EO274" s="20"/>
      <c r="EP274" s="22"/>
      <c r="EQ274" s="20"/>
      <c r="ER274" s="22"/>
      <c r="ES274" s="20"/>
      <c r="ET274" s="22"/>
      <c r="EU274" s="20"/>
      <c r="EV274" s="22"/>
      <c r="EW274" s="20"/>
      <c r="EX274" s="22"/>
      <c r="EY274" s="20"/>
      <c r="EZ274" s="22"/>
      <c r="FA274" s="20"/>
      <c r="FB274" s="22"/>
      <c r="FC274" s="20"/>
      <c r="FD274" s="22"/>
      <c r="FE274" s="20"/>
      <c r="FF274" s="22"/>
      <c r="FG274" s="20"/>
      <c r="FH274" s="22"/>
      <c r="FI274" s="20"/>
      <c r="FJ274" s="22"/>
      <c r="FK274" s="20"/>
      <c r="FL274" s="22"/>
      <c r="FM274" s="20"/>
      <c r="FN274" s="22"/>
      <c r="FO274" s="20"/>
      <c r="FP274" s="22"/>
      <c r="FQ274" s="20"/>
      <c r="FR274" s="22"/>
      <c r="FS274" s="20"/>
      <c r="FT274" s="22"/>
      <c r="FU274" s="20"/>
      <c r="FV274" s="22"/>
      <c r="FW274" s="20"/>
      <c r="FX274" s="22"/>
      <c r="FY274" s="20"/>
      <c r="FZ274" s="22"/>
      <c r="GA274" s="20"/>
      <c r="GB274" s="22"/>
      <c r="GC274" s="20"/>
      <c r="GD274" s="22"/>
      <c r="GE274" s="20"/>
      <c r="GF274" s="22"/>
      <c r="GG274" s="20"/>
      <c r="GH274" s="22"/>
      <c r="GI274" s="20"/>
      <c r="GJ274" s="22"/>
      <c r="GK274" s="20"/>
      <c r="GL274" s="22"/>
      <c r="GM274" s="20"/>
      <c r="GN274" s="22"/>
      <c r="GO274" s="20"/>
      <c r="GP274" s="22"/>
      <c r="GQ274" s="20"/>
      <c r="GR274" s="22"/>
      <c r="GS274" s="20"/>
      <c r="GT274" s="22"/>
      <c r="GU274" s="20"/>
      <c r="GV274" s="22"/>
      <c r="GW274" s="20"/>
      <c r="GX274" s="22"/>
      <c r="GY274" s="20"/>
      <c r="GZ274" s="22"/>
      <c r="HA274" s="20"/>
      <c r="HB274" s="22"/>
      <c r="HC274" s="20"/>
      <c r="HD274" s="22"/>
      <c r="HE274" s="20"/>
      <c r="HF274" s="22"/>
      <c r="HG274" s="20"/>
      <c r="HH274" s="22"/>
      <c r="HI274" s="20"/>
      <c r="HJ274" s="22"/>
      <c r="HK274" s="20"/>
      <c r="HL274" s="22"/>
      <c r="HM274" s="20"/>
      <c r="HN274" s="22"/>
      <c r="HO274" s="20"/>
      <c r="HP274" s="22"/>
      <c r="HQ274" s="20"/>
      <c r="HR274" s="22"/>
      <c r="HS274" s="20"/>
      <c r="HT274" s="22"/>
      <c r="HU274" s="20"/>
      <c r="HV274" s="22"/>
      <c r="HW274" s="20"/>
      <c r="HX274" s="22"/>
      <c r="HY274" s="20"/>
      <c r="HZ274" s="22"/>
      <c r="IA274" s="20"/>
      <c r="IB274" s="22"/>
      <c r="IC274" s="20"/>
      <c r="ID274" s="22"/>
      <c r="IE274" s="20"/>
      <c r="IF274" s="22"/>
      <c r="IG274" s="20"/>
      <c r="IH274" s="22"/>
      <c r="II274" s="20"/>
      <c r="IJ274" s="22"/>
      <c r="IK274" s="20"/>
      <c r="IL274" s="22"/>
      <c r="IM274" s="20"/>
      <c r="IN274" s="22"/>
      <c r="IO274" s="20"/>
      <c r="IP274" s="22"/>
      <c r="IQ274" s="20"/>
      <c r="IR274" s="22"/>
      <c r="IS274" s="20"/>
      <c r="IT274" s="22"/>
      <c r="IU274" s="20"/>
      <c r="IV274" s="22"/>
      <c r="IW274" s="20"/>
      <c r="IX274" s="22"/>
      <c r="IY274" s="20"/>
      <c r="IZ274" s="22"/>
      <c r="JA274" s="20"/>
      <c r="JB274" s="22"/>
      <c r="JC274" s="20"/>
      <c r="JD274" s="22"/>
      <c r="JE274" s="20"/>
      <c r="JF274" s="22"/>
      <c r="JG274" s="20"/>
      <c r="JH274" s="22"/>
      <c r="JI274" s="20"/>
      <c r="JJ274" s="22"/>
      <c r="JK274" s="20"/>
      <c r="JL274" s="22"/>
      <c r="JM274" s="20"/>
      <c r="JN274" s="22"/>
      <c r="JO274" s="20"/>
      <c r="JP274" s="22"/>
      <c r="JQ274" s="20"/>
      <c r="JR274" s="22"/>
      <c r="JS274" s="20"/>
      <c r="JT274" s="22"/>
      <c r="JU274" s="20"/>
      <c r="JV274" s="22"/>
      <c r="JW274" s="20"/>
      <c r="JX274" s="22"/>
      <c r="JY274" s="20"/>
      <c r="JZ274" s="22"/>
      <c r="KA274" s="20"/>
      <c r="KB274" s="22"/>
      <c r="KC274" s="20"/>
      <c r="KD274" s="22"/>
      <c r="KE274" s="20"/>
      <c r="KF274" s="22"/>
      <c r="KG274" s="20"/>
      <c r="KH274" s="22"/>
      <c r="KI274" s="20"/>
      <c r="KJ274" s="22"/>
      <c r="KK274" s="20"/>
      <c r="KL274" s="22"/>
      <c r="KM274" s="20"/>
      <c r="KN274" s="22"/>
      <c r="KO274" s="20"/>
      <c r="KP274" s="22"/>
      <c r="KQ274" s="20"/>
      <c r="KR274" s="22"/>
      <c r="KS274" s="20"/>
      <c r="KT274" s="22"/>
      <c r="KU274" s="20"/>
      <c r="KV274" s="22"/>
      <c r="KW274" s="20"/>
      <c r="KX274" s="22"/>
      <c r="KY274" s="20"/>
      <c r="KZ274" s="22"/>
      <c r="LA274" s="20"/>
      <c r="LB274" s="22"/>
      <c r="LC274" s="20"/>
      <c r="LD274" s="22"/>
      <c r="LE274" s="20"/>
      <c r="LF274" s="22"/>
      <c r="LG274" s="20"/>
      <c r="LH274" s="22"/>
      <c r="LI274" s="20"/>
      <c r="LJ274" s="22"/>
      <c r="LK274" s="20"/>
      <c r="LL274" s="22"/>
      <c r="LM274" s="20"/>
      <c r="LN274" s="22"/>
      <c r="LO274" s="20"/>
      <c r="LP274" s="22"/>
      <c r="LQ274" s="20"/>
      <c r="LR274" s="22"/>
      <c r="LS274" s="20"/>
      <c r="LT274" s="22"/>
      <c r="LU274" s="20"/>
      <c r="LV274" s="22"/>
      <c r="LW274" s="20"/>
      <c r="LX274" s="22"/>
      <c r="LY274" s="20"/>
      <c r="LZ274" s="22"/>
      <c r="MA274" s="20"/>
      <c r="MB274" s="22"/>
      <c r="MC274" s="20"/>
      <c r="MD274" s="22"/>
      <c r="ME274" s="20"/>
      <c r="MF274" s="22"/>
      <c r="MG274" s="20"/>
      <c r="MH274" s="22"/>
      <c r="MI274" s="20"/>
      <c r="MJ274" s="22"/>
      <c r="MK274" s="20"/>
      <c r="ML274" s="22"/>
      <c r="MM274" s="20"/>
      <c r="MN274" s="22"/>
      <c r="MO274" s="20"/>
      <c r="MP274" s="22"/>
      <c r="MQ274" s="20"/>
      <c r="MR274" s="22"/>
      <c r="MS274" s="20"/>
      <c r="MT274" s="22"/>
      <c r="MU274" s="20"/>
      <c r="MV274" s="22"/>
      <c r="MW274" s="20"/>
      <c r="MX274" s="22"/>
      <c r="MY274" s="20"/>
      <c r="MZ274" s="22"/>
      <c r="NA274" s="20"/>
      <c r="NB274" s="22"/>
      <c r="NC274" s="20"/>
      <c r="ND274" s="22"/>
      <c r="NE274" s="20"/>
      <c r="NF274" s="73"/>
    </row>
    <row r="275">
      <c r="A275" s="237" t="str">
        <f t="shared" si="2"/>
        <v>-</v>
      </c>
      <c r="B275" s="267"/>
      <c r="C275" s="239"/>
      <c r="D275" s="290"/>
      <c r="E275" s="242" t="s">
        <v>12</v>
      </c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  <c r="CI275" s="73"/>
      <c r="CJ275" s="73"/>
      <c r="CK275" s="73"/>
      <c r="CL275" s="73"/>
      <c r="CM275" s="73"/>
      <c r="CN275" s="73"/>
      <c r="CO275" s="73"/>
      <c r="CP275" s="73"/>
      <c r="CQ275" s="73"/>
      <c r="CR275" s="73"/>
      <c r="CS275" s="73"/>
      <c r="CT275" s="73"/>
      <c r="CU275" s="73"/>
      <c r="CV275" s="73"/>
      <c r="CW275" s="73"/>
      <c r="CX275" s="73"/>
      <c r="CY275" s="73"/>
      <c r="CZ275" s="73"/>
      <c r="DA275" s="73"/>
      <c r="DB275" s="73"/>
      <c r="DC275" s="73"/>
      <c r="DD275" s="73"/>
      <c r="DE275" s="73"/>
      <c r="DF275" s="73"/>
      <c r="DG275" s="73"/>
      <c r="DH275" s="73"/>
      <c r="DI275" s="73"/>
      <c r="DJ275" s="73"/>
      <c r="DK275" s="73"/>
      <c r="DL275" s="73"/>
      <c r="DM275" s="73"/>
      <c r="DN275" s="73"/>
      <c r="DO275" s="73"/>
      <c r="DP275" s="73"/>
      <c r="DQ275" s="73"/>
      <c r="DR275" s="73"/>
      <c r="DS275" s="73"/>
      <c r="DT275" s="73"/>
      <c r="DU275" s="73"/>
      <c r="DV275" s="22"/>
      <c r="DW275" s="20"/>
      <c r="DX275" s="22"/>
      <c r="DY275" s="20"/>
      <c r="DZ275" s="22"/>
      <c r="EA275" s="20"/>
      <c r="EB275" s="22"/>
      <c r="EC275" s="20"/>
      <c r="ED275" s="22"/>
      <c r="EE275" s="20"/>
      <c r="EF275" s="22"/>
      <c r="EG275" s="20"/>
      <c r="EH275" s="22"/>
      <c r="EI275" s="20"/>
      <c r="EJ275" s="22"/>
      <c r="EK275" s="20"/>
      <c r="EL275" s="22"/>
      <c r="EM275" s="20"/>
      <c r="EN275" s="22"/>
      <c r="EO275" s="20"/>
      <c r="EP275" s="22"/>
      <c r="EQ275" s="20"/>
      <c r="ER275" s="22"/>
      <c r="ES275" s="20"/>
      <c r="ET275" s="22"/>
      <c r="EU275" s="20"/>
      <c r="EV275" s="22"/>
      <c r="EW275" s="20"/>
      <c r="EX275" s="22"/>
      <c r="EY275" s="20"/>
      <c r="EZ275" s="22"/>
      <c r="FA275" s="20"/>
      <c r="FB275" s="22"/>
      <c r="FC275" s="20"/>
      <c r="FD275" s="22"/>
      <c r="FE275" s="20"/>
      <c r="FF275" s="22"/>
      <c r="FG275" s="20"/>
      <c r="FH275" s="22"/>
      <c r="FI275" s="20"/>
      <c r="FJ275" s="22"/>
      <c r="FK275" s="20"/>
      <c r="FL275" s="22"/>
      <c r="FM275" s="20"/>
      <c r="FN275" s="22"/>
      <c r="FO275" s="20"/>
      <c r="FP275" s="22"/>
      <c r="FQ275" s="20"/>
      <c r="FR275" s="22"/>
      <c r="FS275" s="20"/>
      <c r="FT275" s="22"/>
      <c r="FU275" s="20"/>
      <c r="FV275" s="22"/>
      <c r="FW275" s="20"/>
      <c r="FX275" s="22"/>
      <c r="FY275" s="20"/>
      <c r="FZ275" s="22"/>
      <c r="GA275" s="20"/>
      <c r="GB275" s="22"/>
      <c r="GC275" s="20"/>
      <c r="GD275" s="22"/>
      <c r="GE275" s="20"/>
      <c r="GF275" s="22"/>
      <c r="GG275" s="20"/>
      <c r="GH275" s="22"/>
      <c r="GI275" s="20"/>
      <c r="GJ275" s="22"/>
      <c r="GK275" s="20"/>
      <c r="GL275" s="22"/>
      <c r="GM275" s="20"/>
      <c r="GN275" s="22"/>
      <c r="GO275" s="20"/>
      <c r="GP275" s="22"/>
      <c r="GQ275" s="20"/>
      <c r="GR275" s="22"/>
      <c r="GS275" s="20"/>
      <c r="GT275" s="22"/>
      <c r="GU275" s="20"/>
      <c r="GV275" s="22"/>
      <c r="GW275" s="20"/>
      <c r="GX275" s="22"/>
      <c r="GY275" s="20"/>
      <c r="GZ275" s="22"/>
      <c r="HA275" s="20"/>
      <c r="HB275" s="22"/>
      <c r="HC275" s="20"/>
      <c r="HD275" s="22"/>
      <c r="HE275" s="20"/>
      <c r="HF275" s="22"/>
      <c r="HG275" s="20"/>
      <c r="HH275" s="22"/>
      <c r="HI275" s="20"/>
      <c r="HJ275" s="22"/>
      <c r="HK275" s="20"/>
      <c r="HL275" s="22"/>
      <c r="HM275" s="20"/>
      <c r="HN275" s="22"/>
      <c r="HO275" s="20"/>
      <c r="HP275" s="22"/>
      <c r="HQ275" s="20"/>
      <c r="HR275" s="22"/>
      <c r="HS275" s="20"/>
      <c r="HT275" s="22"/>
      <c r="HU275" s="20"/>
      <c r="HV275" s="22"/>
      <c r="HW275" s="20"/>
      <c r="HX275" s="22"/>
      <c r="HY275" s="20"/>
      <c r="HZ275" s="22"/>
      <c r="IA275" s="20"/>
      <c r="IB275" s="22"/>
      <c r="IC275" s="20"/>
      <c r="ID275" s="22"/>
      <c r="IE275" s="20"/>
      <c r="IF275" s="22"/>
      <c r="IG275" s="20"/>
      <c r="IH275" s="22"/>
      <c r="II275" s="20"/>
      <c r="IJ275" s="22"/>
      <c r="IK275" s="20"/>
      <c r="IL275" s="22"/>
      <c r="IM275" s="20"/>
      <c r="IN275" s="22"/>
      <c r="IO275" s="20"/>
      <c r="IP275" s="22"/>
      <c r="IQ275" s="20"/>
      <c r="IR275" s="22"/>
      <c r="IS275" s="20"/>
      <c r="IT275" s="22"/>
      <c r="IU275" s="20"/>
      <c r="IV275" s="22"/>
      <c r="IW275" s="20"/>
      <c r="IX275" s="22"/>
      <c r="IY275" s="20"/>
      <c r="IZ275" s="22"/>
      <c r="JA275" s="20"/>
      <c r="JB275" s="22"/>
      <c r="JC275" s="20"/>
      <c r="JD275" s="22"/>
      <c r="JE275" s="20"/>
      <c r="JF275" s="22"/>
      <c r="JG275" s="20"/>
      <c r="JH275" s="22"/>
      <c r="JI275" s="20"/>
      <c r="JJ275" s="22"/>
      <c r="JK275" s="20"/>
      <c r="JL275" s="22"/>
      <c r="JM275" s="20"/>
      <c r="JN275" s="22"/>
      <c r="JO275" s="20"/>
      <c r="JP275" s="22"/>
      <c r="JQ275" s="20"/>
      <c r="JR275" s="22"/>
      <c r="JS275" s="20"/>
      <c r="JT275" s="22"/>
      <c r="JU275" s="20"/>
      <c r="JV275" s="22"/>
      <c r="JW275" s="20"/>
      <c r="JX275" s="22"/>
      <c r="JY275" s="20"/>
      <c r="JZ275" s="22"/>
      <c r="KA275" s="20"/>
      <c r="KB275" s="22"/>
      <c r="KC275" s="20"/>
      <c r="KD275" s="22"/>
      <c r="KE275" s="20"/>
      <c r="KF275" s="22"/>
      <c r="KG275" s="20"/>
      <c r="KH275" s="22"/>
      <c r="KI275" s="20"/>
      <c r="KJ275" s="22"/>
      <c r="KK275" s="20"/>
      <c r="KL275" s="22"/>
      <c r="KM275" s="20"/>
      <c r="KN275" s="22"/>
      <c r="KO275" s="20"/>
      <c r="KP275" s="22"/>
      <c r="KQ275" s="20"/>
      <c r="KR275" s="22"/>
      <c r="KS275" s="20"/>
      <c r="KT275" s="22"/>
      <c r="KU275" s="20"/>
      <c r="KV275" s="22"/>
      <c r="KW275" s="20"/>
      <c r="KX275" s="22"/>
      <c r="KY275" s="20"/>
      <c r="KZ275" s="22"/>
      <c r="LA275" s="20"/>
      <c r="LB275" s="22"/>
      <c r="LC275" s="20"/>
      <c r="LD275" s="22"/>
      <c r="LE275" s="20"/>
      <c r="LF275" s="22"/>
      <c r="LG275" s="20"/>
      <c r="LH275" s="22"/>
      <c r="LI275" s="20"/>
      <c r="LJ275" s="22"/>
      <c r="LK275" s="20"/>
      <c r="LL275" s="22"/>
      <c r="LM275" s="20"/>
      <c r="LN275" s="22"/>
      <c r="LO275" s="20"/>
      <c r="LP275" s="22"/>
      <c r="LQ275" s="20"/>
      <c r="LR275" s="22"/>
      <c r="LS275" s="20"/>
      <c r="LT275" s="22"/>
      <c r="LU275" s="20"/>
      <c r="LV275" s="22"/>
      <c r="LW275" s="20"/>
      <c r="LX275" s="22"/>
      <c r="LY275" s="20"/>
      <c r="LZ275" s="22"/>
      <c r="MA275" s="20"/>
      <c r="MB275" s="22"/>
      <c r="MC275" s="20"/>
      <c r="MD275" s="22"/>
      <c r="ME275" s="20"/>
      <c r="MF275" s="22"/>
      <c r="MG275" s="20"/>
      <c r="MH275" s="22"/>
      <c r="MI275" s="20"/>
      <c r="MJ275" s="22"/>
      <c r="MK275" s="20"/>
      <c r="ML275" s="22"/>
      <c r="MM275" s="20"/>
      <c r="MN275" s="22"/>
      <c r="MO275" s="20"/>
      <c r="MP275" s="22"/>
      <c r="MQ275" s="20"/>
      <c r="MR275" s="22"/>
      <c r="MS275" s="20"/>
      <c r="MT275" s="22"/>
      <c r="MU275" s="20"/>
      <c r="MV275" s="22"/>
      <c r="MW275" s="20"/>
      <c r="MX275" s="22"/>
      <c r="MY275" s="20"/>
      <c r="MZ275" s="22"/>
      <c r="NA275" s="20"/>
      <c r="NB275" s="22"/>
      <c r="NC275" s="20"/>
      <c r="ND275" s="22"/>
      <c r="NE275" s="20"/>
      <c r="NF275" s="73"/>
    </row>
    <row r="276">
      <c r="A276" s="237" t="str">
        <f t="shared" si="2"/>
        <v>-</v>
      </c>
      <c r="B276" s="267"/>
      <c r="C276" s="239"/>
      <c r="D276" s="290"/>
      <c r="E276" s="242" t="s">
        <v>12</v>
      </c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  <c r="CI276" s="73"/>
      <c r="CJ276" s="73"/>
      <c r="CK276" s="73"/>
      <c r="CL276" s="73"/>
      <c r="CM276" s="73"/>
      <c r="CN276" s="73"/>
      <c r="CO276" s="73"/>
      <c r="CP276" s="73"/>
      <c r="CQ276" s="73"/>
      <c r="CR276" s="73"/>
      <c r="CS276" s="73"/>
      <c r="CT276" s="73"/>
      <c r="CU276" s="73"/>
      <c r="CV276" s="73"/>
      <c r="CW276" s="73"/>
      <c r="CX276" s="73"/>
      <c r="CY276" s="73"/>
      <c r="CZ276" s="73"/>
      <c r="DA276" s="73"/>
      <c r="DB276" s="73"/>
      <c r="DC276" s="73"/>
      <c r="DD276" s="73"/>
      <c r="DE276" s="73"/>
      <c r="DF276" s="73"/>
      <c r="DG276" s="73"/>
      <c r="DH276" s="73"/>
      <c r="DI276" s="73"/>
      <c r="DJ276" s="73"/>
      <c r="DK276" s="73"/>
      <c r="DL276" s="73"/>
      <c r="DM276" s="73"/>
      <c r="DN276" s="73"/>
      <c r="DO276" s="73"/>
      <c r="DP276" s="73"/>
      <c r="DQ276" s="73"/>
      <c r="DR276" s="73"/>
      <c r="DS276" s="73"/>
      <c r="DT276" s="73"/>
      <c r="DU276" s="73"/>
      <c r="DV276" s="22"/>
      <c r="DW276" s="20"/>
      <c r="DX276" s="22"/>
      <c r="DY276" s="20"/>
      <c r="DZ276" s="22"/>
      <c r="EA276" s="20"/>
      <c r="EB276" s="22"/>
      <c r="EC276" s="20"/>
      <c r="ED276" s="22"/>
      <c r="EE276" s="20"/>
      <c r="EF276" s="22"/>
      <c r="EG276" s="20"/>
      <c r="EH276" s="22"/>
      <c r="EI276" s="20"/>
      <c r="EJ276" s="22"/>
      <c r="EK276" s="20"/>
      <c r="EL276" s="22"/>
      <c r="EM276" s="20"/>
      <c r="EN276" s="22"/>
      <c r="EO276" s="20"/>
      <c r="EP276" s="22"/>
      <c r="EQ276" s="20"/>
      <c r="ER276" s="22"/>
      <c r="ES276" s="20"/>
      <c r="ET276" s="22"/>
      <c r="EU276" s="20"/>
      <c r="EV276" s="22"/>
      <c r="EW276" s="20"/>
      <c r="EX276" s="22"/>
      <c r="EY276" s="20"/>
      <c r="EZ276" s="22"/>
      <c r="FA276" s="20"/>
      <c r="FB276" s="22"/>
      <c r="FC276" s="20"/>
      <c r="FD276" s="22"/>
      <c r="FE276" s="20"/>
      <c r="FF276" s="22"/>
      <c r="FG276" s="20"/>
      <c r="FH276" s="22"/>
      <c r="FI276" s="20"/>
      <c r="FJ276" s="22"/>
      <c r="FK276" s="20"/>
      <c r="FL276" s="22"/>
      <c r="FM276" s="20"/>
      <c r="FN276" s="22"/>
      <c r="FO276" s="20"/>
      <c r="FP276" s="22"/>
      <c r="FQ276" s="20"/>
      <c r="FR276" s="22"/>
      <c r="FS276" s="20"/>
      <c r="FT276" s="22"/>
      <c r="FU276" s="20"/>
      <c r="FV276" s="22"/>
      <c r="FW276" s="20"/>
      <c r="FX276" s="22"/>
      <c r="FY276" s="20"/>
      <c r="FZ276" s="22"/>
      <c r="GA276" s="20"/>
      <c r="GB276" s="22"/>
      <c r="GC276" s="20"/>
      <c r="GD276" s="22"/>
      <c r="GE276" s="20"/>
      <c r="GF276" s="22"/>
      <c r="GG276" s="20"/>
      <c r="GH276" s="22"/>
      <c r="GI276" s="20"/>
      <c r="GJ276" s="22"/>
      <c r="GK276" s="20"/>
      <c r="GL276" s="22"/>
      <c r="GM276" s="20"/>
      <c r="GN276" s="22"/>
      <c r="GO276" s="20"/>
      <c r="GP276" s="22"/>
      <c r="GQ276" s="20"/>
      <c r="GR276" s="22"/>
      <c r="GS276" s="20"/>
      <c r="GT276" s="22"/>
      <c r="GU276" s="20"/>
      <c r="GV276" s="22"/>
      <c r="GW276" s="20"/>
      <c r="GX276" s="22"/>
      <c r="GY276" s="20"/>
      <c r="GZ276" s="22"/>
      <c r="HA276" s="20"/>
      <c r="HB276" s="22"/>
      <c r="HC276" s="20"/>
      <c r="HD276" s="22"/>
      <c r="HE276" s="20"/>
      <c r="HF276" s="22"/>
      <c r="HG276" s="20"/>
      <c r="HH276" s="22"/>
      <c r="HI276" s="20"/>
      <c r="HJ276" s="22"/>
      <c r="HK276" s="20"/>
      <c r="HL276" s="22"/>
      <c r="HM276" s="20"/>
      <c r="HN276" s="22"/>
      <c r="HO276" s="20"/>
      <c r="HP276" s="22"/>
      <c r="HQ276" s="20"/>
      <c r="HR276" s="22"/>
      <c r="HS276" s="20"/>
      <c r="HT276" s="22"/>
      <c r="HU276" s="20"/>
      <c r="HV276" s="22"/>
      <c r="HW276" s="20"/>
      <c r="HX276" s="22"/>
      <c r="HY276" s="20"/>
      <c r="HZ276" s="22"/>
      <c r="IA276" s="20"/>
      <c r="IB276" s="22"/>
      <c r="IC276" s="20"/>
      <c r="ID276" s="22"/>
      <c r="IE276" s="20"/>
      <c r="IF276" s="22"/>
      <c r="IG276" s="20"/>
      <c r="IH276" s="22"/>
      <c r="II276" s="20"/>
      <c r="IJ276" s="22"/>
      <c r="IK276" s="20"/>
      <c r="IL276" s="22"/>
      <c r="IM276" s="20"/>
      <c r="IN276" s="22"/>
      <c r="IO276" s="20"/>
      <c r="IP276" s="22"/>
      <c r="IQ276" s="20"/>
      <c r="IR276" s="22"/>
      <c r="IS276" s="20"/>
      <c r="IT276" s="22"/>
      <c r="IU276" s="20"/>
      <c r="IV276" s="22"/>
      <c r="IW276" s="20"/>
      <c r="IX276" s="22"/>
      <c r="IY276" s="20"/>
      <c r="IZ276" s="22"/>
      <c r="JA276" s="20"/>
      <c r="JB276" s="22"/>
      <c r="JC276" s="20"/>
      <c r="JD276" s="22"/>
      <c r="JE276" s="20"/>
      <c r="JF276" s="22"/>
      <c r="JG276" s="20"/>
      <c r="JH276" s="22"/>
      <c r="JI276" s="20"/>
      <c r="JJ276" s="22"/>
      <c r="JK276" s="20"/>
      <c r="JL276" s="22"/>
      <c r="JM276" s="20"/>
      <c r="JN276" s="22"/>
      <c r="JO276" s="20"/>
      <c r="JP276" s="22"/>
      <c r="JQ276" s="20"/>
      <c r="JR276" s="22"/>
      <c r="JS276" s="20"/>
      <c r="JT276" s="22"/>
      <c r="JU276" s="20"/>
      <c r="JV276" s="22"/>
      <c r="JW276" s="20"/>
      <c r="JX276" s="22"/>
      <c r="JY276" s="20"/>
      <c r="JZ276" s="22"/>
      <c r="KA276" s="20"/>
      <c r="KB276" s="22"/>
      <c r="KC276" s="20"/>
      <c r="KD276" s="22"/>
      <c r="KE276" s="20"/>
      <c r="KF276" s="22"/>
      <c r="KG276" s="20"/>
      <c r="KH276" s="22"/>
      <c r="KI276" s="20"/>
      <c r="KJ276" s="22"/>
      <c r="KK276" s="20"/>
      <c r="KL276" s="22"/>
      <c r="KM276" s="20"/>
      <c r="KN276" s="22"/>
      <c r="KO276" s="20"/>
      <c r="KP276" s="22"/>
      <c r="KQ276" s="20"/>
      <c r="KR276" s="22"/>
      <c r="KS276" s="20"/>
      <c r="KT276" s="22"/>
      <c r="KU276" s="20"/>
      <c r="KV276" s="22"/>
      <c r="KW276" s="20"/>
      <c r="KX276" s="22"/>
      <c r="KY276" s="20"/>
      <c r="KZ276" s="22"/>
      <c r="LA276" s="20"/>
      <c r="LB276" s="22"/>
      <c r="LC276" s="20"/>
      <c r="LD276" s="22"/>
      <c r="LE276" s="20"/>
      <c r="LF276" s="22"/>
      <c r="LG276" s="20"/>
      <c r="LH276" s="22"/>
      <c r="LI276" s="20"/>
      <c r="LJ276" s="22"/>
      <c r="LK276" s="20"/>
      <c r="LL276" s="22"/>
      <c r="LM276" s="20"/>
      <c r="LN276" s="22"/>
      <c r="LO276" s="20"/>
      <c r="LP276" s="22"/>
      <c r="LQ276" s="20"/>
      <c r="LR276" s="22"/>
      <c r="LS276" s="20"/>
      <c r="LT276" s="22"/>
      <c r="LU276" s="20"/>
      <c r="LV276" s="22"/>
      <c r="LW276" s="20"/>
      <c r="LX276" s="22"/>
      <c r="LY276" s="20"/>
      <c r="LZ276" s="22"/>
      <c r="MA276" s="20"/>
      <c r="MB276" s="22"/>
      <c r="MC276" s="20"/>
      <c r="MD276" s="22"/>
      <c r="ME276" s="20"/>
      <c r="MF276" s="22"/>
      <c r="MG276" s="20"/>
      <c r="MH276" s="22"/>
      <c r="MI276" s="20"/>
      <c r="MJ276" s="22"/>
      <c r="MK276" s="20"/>
      <c r="ML276" s="22"/>
      <c r="MM276" s="20"/>
      <c r="MN276" s="22"/>
      <c r="MO276" s="20"/>
      <c r="MP276" s="22"/>
      <c r="MQ276" s="20"/>
      <c r="MR276" s="22"/>
      <c r="MS276" s="20"/>
      <c r="MT276" s="22"/>
      <c r="MU276" s="20"/>
      <c r="MV276" s="22"/>
      <c r="MW276" s="20"/>
      <c r="MX276" s="22"/>
      <c r="MY276" s="20"/>
      <c r="MZ276" s="22"/>
      <c r="NA276" s="20"/>
      <c r="NB276" s="22"/>
      <c r="NC276" s="20"/>
      <c r="ND276" s="22"/>
      <c r="NE276" s="20"/>
      <c r="NF276" s="73"/>
    </row>
    <row r="277">
      <c r="A277" s="237" t="str">
        <f t="shared" si="2"/>
        <v>-</v>
      </c>
      <c r="B277" s="267"/>
      <c r="C277" s="239"/>
      <c r="D277" s="290"/>
      <c r="E277" s="242" t="s">
        <v>12</v>
      </c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  <c r="CI277" s="73"/>
      <c r="CJ277" s="73"/>
      <c r="CK277" s="73"/>
      <c r="CL277" s="73"/>
      <c r="CM277" s="73"/>
      <c r="CN277" s="73"/>
      <c r="CO277" s="73"/>
      <c r="CP277" s="73"/>
      <c r="CQ277" s="73"/>
      <c r="CR277" s="73"/>
      <c r="CS277" s="73"/>
      <c r="CT277" s="73"/>
      <c r="CU277" s="73"/>
      <c r="CV277" s="73"/>
      <c r="CW277" s="73"/>
      <c r="CX277" s="73"/>
      <c r="CY277" s="73"/>
      <c r="CZ277" s="73"/>
      <c r="DA277" s="73"/>
      <c r="DB277" s="73"/>
      <c r="DC277" s="73"/>
      <c r="DD277" s="73"/>
      <c r="DE277" s="73"/>
      <c r="DF277" s="73"/>
      <c r="DG277" s="73"/>
      <c r="DH277" s="73"/>
      <c r="DI277" s="73"/>
      <c r="DJ277" s="73"/>
      <c r="DK277" s="73"/>
      <c r="DL277" s="73"/>
      <c r="DM277" s="73"/>
      <c r="DN277" s="73"/>
      <c r="DO277" s="73"/>
      <c r="DP277" s="73"/>
      <c r="DQ277" s="73"/>
      <c r="DR277" s="73"/>
      <c r="DS277" s="73"/>
      <c r="DT277" s="73"/>
      <c r="DU277" s="73"/>
      <c r="DV277" s="22"/>
      <c r="DW277" s="20"/>
      <c r="DX277" s="22"/>
      <c r="DY277" s="20"/>
      <c r="DZ277" s="22"/>
      <c r="EA277" s="20"/>
      <c r="EB277" s="22"/>
      <c r="EC277" s="20"/>
      <c r="ED277" s="22"/>
      <c r="EE277" s="20"/>
      <c r="EF277" s="22"/>
      <c r="EG277" s="20"/>
      <c r="EH277" s="22"/>
      <c r="EI277" s="20"/>
      <c r="EJ277" s="22"/>
      <c r="EK277" s="20"/>
      <c r="EL277" s="22"/>
      <c r="EM277" s="20"/>
      <c r="EN277" s="22"/>
      <c r="EO277" s="20"/>
      <c r="EP277" s="22"/>
      <c r="EQ277" s="20"/>
      <c r="ER277" s="22"/>
      <c r="ES277" s="20"/>
      <c r="ET277" s="22"/>
      <c r="EU277" s="20"/>
      <c r="EV277" s="22"/>
      <c r="EW277" s="20"/>
      <c r="EX277" s="22"/>
      <c r="EY277" s="20"/>
      <c r="EZ277" s="22"/>
      <c r="FA277" s="20"/>
      <c r="FB277" s="22"/>
      <c r="FC277" s="20"/>
      <c r="FD277" s="22"/>
      <c r="FE277" s="20"/>
      <c r="FF277" s="22"/>
      <c r="FG277" s="20"/>
      <c r="FH277" s="22"/>
      <c r="FI277" s="20"/>
      <c r="FJ277" s="22"/>
      <c r="FK277" s="20"/>
      <c r="FL277" s="22"/>
      <c r="FM277" s="20"/>
      <c r="FN277" s="22"/>
      <c r="FO277" s="20"/>
      <c r="FP277" s="22"/>
      <c r="FQ277" s="20"/>
      <c r="FR277" s="22"/>
      <c r="FS277" s="20"/>
      <c r="FT277" s="22"/>
      <c r="FU277" s="20"/>
      <c r="FV277" s="22"/>
      <c r="FW277" s="20"/>
      <c r="FX277" s="22"/>
      <c r="FY277" s="20"/>
      <c r="FZ277" s="22"/>
      <c r="GA277" s="20"/>
      <c r="GB277" s="22"/>
      <c r="GC277" s="20"/>
      <c r="GD277" s="22"/>
      <c r="GE277" s="20"/>
      <c r="GF277" s="22"/>
      <c r="GG277" s="20"/>
      <c r="GH277" s="22"/>
      <c r="GI277" s="20"/>
      <c r="GJ277" s="22"/>
      <c r="GK277" s="20"/>
      <c r="GL277" s="22"/>
      <c r="GM277" s="20"/>
      <c r="GN277" s="22"/>
      <c r="GO277" s="20"/>
      <c r="GP277" s="22"/>
      <c r="GQ277" s="20"/>
      <c r="GR277" s="22"/>
      <c r="GS277" s="20"/>
      <c r="GT277" s="22"/>
      <c r="GU277" s="20"/>
      <c r="GV277" s="22"/>
      <c r="GW277" s="20"/>
      <c r="GX277" s="22"/>
      <c r="GY277" s="20"/>
      <c r="GZ277" s="22"/>
      <c r="HA277" s="20"/>
      <c r="HB277" s="22"/>
      <c r="HC277" s="20"/>
      <c r="HD277" s="22"/>
      <c r="HE277" s="20"/>
      <c r="HF277" s="22"/>
      <c r="HG277" s="20"/>
      <c r="HH277" s="22"/>
      <c r="HI277" s="20"/>
      <c r="HJ277" s="22"/>
      <c r="HK277" s="20"/>
      <c r="HL277" s="22"/>
      <c r="HM277" s="20"/>
      <c r="HN277" s="22"/>
      <c r="HO277" s="20"/>
      <c r="HP277" s="22"/>
      <c r="HQ277" s="20"/>
      <c r="HR277" s="22"/>
      <c r="HS277" s="20"/>
      <c r="HT277" s="22"/>
      <c r="HU277" s="20"/>
      <c r="HV277" s="22"/>
      <c r="HW277" s="20"/>
      <c r="HX277" s="22"/>
      <c r="HY277" s="20"/>
      <c r="HZ277" s="22"/>
      <c r="IA277" s="20"/>
      <c r="IB277" s="22"/>
      <c r="IC277" s="20"/>
      <c r="ID277" s="22"/>
      <c r="IE277" s="20"/>
      <c r="IF277" s="22"/>
      <c r="IG277" s="20"/>
      <c r="IH277" s="22"/>
      <c r="II277" s="20"/>
      <c r="IJ277" s="22"/>
      <c r="IK277" s="20"/>
      <c r="IL277" s="22"/>
      <c r="IM277" s="20"/>
      <c r="IN277" s="22"/>
      <c r="IO277" s="20"/>
      <c r="IP277" s="22"/>
      <c r="IQ277" s="20"/>
      <c r="IR277" s="22"/>
      <c r="IS277" s="20"/>
      <c r="IT277" s="22"/>
      <c r="IU277" s="20"/>
      <c r="IV277" s="22"/>
      <c r="IW277" s="20"/>
      <c r="IX277" s="22"/>
      <c r="IY277" s="20"/>
      <c r="IZ277" s="22"/>
      <c r="JA277" s="20"/>
      <c r="JB277" s="22"/>
      <c r="JC277" s="20"/>
      <c r="JD277" s="22"/>
      <c r="JE277" s="20"/>
      <c r="JF277" s="22"/>
      <c r="JG277" s="20"/>
      <c r="JH277" s="22"/>
      <c r="JI277" s="20"/>
      <c r="JJ277" s="22"/>
      <c r="JK277" s="20"/>
      <c r="JL277" s="22"/>
      <c r="JM277" s="20"/>
      <c r="JN277" s="22"/>
      <c r="JO277" s="20"/>
      <c r="JP277" s="22"/>
      <c r="JQ277" s="20"/>
      <c r="JR277" s="22"/>
      <c r="JS277" s="20"/>
      <c r="JT277" s="22"/>
      <c r="JU277" s="20"/>
      <c r="JV277" s="22"/>
      <c r="JW277" s="20"/>
      <c r="JX277" s="22"/>
      <c r="JY277" s="20"/>
      <c r="JZ277" s="22"/>
      <c r="KA277" s="20"/>
      <c r="KB277" s="22"/>
      <c r="KC277" s="20"/>
      <c r="KD277" s="22"/>
      <c r="KE277" s="20"/>
      <c r="KF277" s="22"/>
      <c r="KG277" s="20"/>
      <c r="KH277" s="22"/>
      <c r="KI277" s="20"/>
      <c r="KJ277" s="22"/>
      <c r="KK277" s="20"/>
      <c r="KL277" s="22"/>
      <c r="KM277" s="20"/>
      <c r="KN277" s="22"/>
      <c r="KO277" s="20"/>
      <c r="KP277" s="22"/>
      <c r="KQ277" s="20"/>
      <c r="KR277" s="22"/>
      <c r="KS277" s="20"/>
      <c r="KT277" s="22"/>
      <c r="KU277" s="20"/>
      <c r="KV277" s="22"/>
      <c r="KW277" s="20"/>
      <c r="KX277" s="22"/>
      <c r="KY277" s="20"/>
      <c r="KZ277" s="22"/>
      <c r="LA277" s="20"/>
      <c r="LB277" s="22"/>
      <c r="LC277" s="20"/>
      <c r="LD277" s="22"/>
      <c r="LE277" s="20"/>
      <c r="LF277" s="22"/>
      <c r="LG277" s="20"/>
      <c r="LH277" s="22"/>
      <c r="LI277" s="20"/>
      <c r="LJ277" s="22"/>
      <c r="LK277" s="20"/>
      <c r="LL277" s="22"/>
      <c r="LM277" s="20"/>
      <c r="LN277" s="22"/>
      <c r="LO277" s="20"/>
      <c r="LP277" s="22"/>
      <c r="LQ277" s="20"/>
      <c r="LR277" s="22"/>
      <c r="LS277" s="20"/>
      <c r="LT277" s="22"/>
      <c r="LU277" s="20"/>
      <c r="LV277" s="22"/>
      <c r="LW277" s="20"/>
      <c r="LX277" s="22"/>
      <c r="LY277" s="20"/>
      <c r="LZ277" s="22"/>
      <c r="MA277" s="20"/>
      <c r="MB277" s="22"/>
      <c r="MC277" s="20"/>
      <c r="MD277" s="22"/>
      <c r="ME277" s="20"/>
      <c r="MF277" s="22"/>
      <c r="MG277" s="20"/>
      <c r="MH277" s="22"/>
      <c r="MI277" s="20"/>
      <c r="MJ277" s="22"/>
      <c r="MK277" s="20"/>
      <c r="ML277" s="22"/>
      <c r="MM277" s="20"/>
      <c r="MN277" s="22"/>
      <c r="MO277" s="20"/>
      <c r="MP277" s="22"/>
      <c r="MQ277" s="20"/>
      <c r="MR277" s="22"/>
      <c r="MS277" s="20"/>
      <c r="MT277" s="22"/>
      <c r="MU277" s="20"/>
      <c r="MV277" s="22"/>
      <c r="MW277" s="20"/>
      <c r="MX277" s="22"/>
      <c r="MY277" s="20"/>
      <c r="MZ277" s="22"/>
      <c r="NA277" s="20"/>
      <c r="NB277" s="22"/>
      <c r="NC277" s="20"/>
      <c r="ND277" s="22"/>
      <c r="NE277" s="20"/>
      <c r="NF277" s="73"/>
    </row>
    <row r="278">
      <c r="A278" s="237" t="str">
        <f t="shared" si="2"/>
        <v>-</v>
      </c>
      <c r="B278" s="267"/>
      <c r="C278" s="239"/>
      <c r="D278" s="290"/>
      <c r="E278" s="242" t="s">
        <v>12</v>
      </c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  <c r="CI278" s="73"/>
      <c r="CJ278" s="73"/>
      <c r="CK278" s="73"/>
      <c r="CL278" s="73"/>
      <c r="CM278" s="73"/>
      <c r="CN278" s="73"/>
      <c r="CO278" s="73"/>
      <c r="CP278" s="73"/>
      <c r="CQ278" s="73"/>
      <c r="CR278" s="73"/>
      <c r="CS278" s="73"/>
      <c r="CT278" s="73"/>
      <c r="CU278" s="73"/>
      <c r="CV278" s="73"/>
      <c r="CW278" s="73"/>
      <c r="CX278" s="73"/>
      <c r="CY278" s="73"/>
      <c r="CZ278" s="73"/>
      <c r="DA278" s="73"/>
      <c r="DB278" s="73"/>
      <c r="DC278" s="73"/>
      <c r="DD278" s="73"/>
      <c r="DE278" s="73"/>
      <c r="DF278" s="73"/>
      <c r="DG278" s="73"/>
      <c r="DH278" s="73"/>
      <c r="DI278" s="73"/>
      <c r="DJ278" s="73"/>
      <c r="DK278" s="73"/>
      <c r="DL278" s="73"/>
      <c r="DM278" s="73"/>
      <c r="DN278" s="73"/>
      <c r="DO278" s="73"/>
      <c r="DP278" s="73"/>
      <c r="DQ278" s="73"/>
      <c r="DR278" s="73"/>
      <c r="DS278" s="73"/>
      <c r="DT278" s="73"/>
      <c r="DU278" s="73"/>
      <c r="DV278" s="22"/>
      <c r="DW278" s="20"/>
      <c r="DX278" s="22"/>
      <c r="DY278" s="20"/>
      <c r="DZ278" s="22"/>
      <c r="EA278" s="20"/>
      <c r="EB278" s="22"/>
      <c r="EC278" s="20"/>
      <c r="ED278" s="22"/>
      <c r="EE278" s="20"/>
      <c r="EF278" s="22"/>
      <c r="EG278" s="20"/>
      <c r="EH278" s="22"/>
      <c r="EI278" s="20"/>
      <c r="EJ278" s="22"/>
      <c r="EK278" s="20"/>
      <c r="EL278" s="22"/>
      <c r="EM278" s="20"/>
      <c r="EN278" s="22"/>
      <c r="EO278" s="20"/>
      <c r="EP278" s="22"/>
      <c r="EQ278" s="20"/>
      <c r="ER278" s="22"/>
      <c r="ES278" s="20"/>
      <c r="ET278" s="22"/>
      <c r="EU278" s="20"/>
      <c r="EV278" s="22"/>
      <c r="EW278" s="20"/>
      <c r="EX278" s="22"/>
      <c r="EY278" s="20"/>
      <c r="EZ278" s="22"/>
      <c r="FA278" s="20"/>
      <c r="FB278" s="22"/>
      <c r="FC278" s="20"/>
      <c r="FD278" s="22"/>
      <c r="FE278" s="20"/>
      <c r="FF278" s="22"/>
      <c r="FG278" s="20"/>
      <c r="FH278" s="22"/>
      <c r="FI278" s="20"/>
      <c r="FJ278" s="22"/>
      <c r="FK278" s="20"/>
      <c r="FL278" s="22"/>
      <c r="FM278" s="20"/>
      <c r="FN278" s="22"/>
      <c r="FO278" s="20"/>
      <c r="FP278" s="22"/>
      <c r="FQ278" s="20"/>
      <c r="FR278" s="22"/>
      <c r="FS278" s="20"/>
      <c r="FT278" s="22"/>
      <c r="FU278" s="20"/>
      <c r="FV278" s="22"/>
      <c r="FW278" s="20"/>
      <c r="FX278" s="22"/>
      <c r="FY278" s="20"/>
      <c r="FZ278" s="22"/>
      <c r="GA278" s="20"/>
      <c r="GB278" s="22"/>
      <c r="GC278" s="20"/>
      <c r="GD278" s="22"/>
      <c r="GE278" s="20"/>
      <c r="GF278" s="22"/>
      <c r="GG278" s="20"/>
      <c r="GH278" s="22"/>
      <c r="GI278" s="20"/>
      <c r="GJ278" s="22"/>
      <c r="GK278" s="20"/>
      <c r="GL278" s="22"/>
      <c r="GM278" s="20"/>
      <c r="GN278" s="22"/>
      <c r="GO278" s="20"/>
      <c r="GP278" s="22"/>
      <c r="GQ278" s="20"/>
      <c r="GR278" s="22"/>
      <c r="GS278" s="20"/>
      <c r="GT278" s="22"/>
      <c r="GU278" s="20"/>
      <c r="GV278" s="22"/>
      <c r="GW278" s="20"/>
      <c r="GX278" s="22"/>
      <c r="GY278" s="20"/>
      <c r="GZ278" s="22"/>
      <c r="HA278" s="20"/>
      <c r="HB278" s="22"/>
      <c r="HC278" s="20"/>
      <c r="HD278" s="22"/>
      <c r="HE278" s="20"/>
      <c r="HF278" s="22"/>
      <c r="HG278" s="20"/>
      <c r="HH278" s="22"/>
      <c r="HI278" s="20"/>
      <c r="HJ278" s="22"/>
      <c r="HK278" s="20"/>
      <c r="HL278" s="22"/>
      <c r="HM278" s="20"/>
      <c r="HN278" s="22"/>
      <c r="HO278" s="20"/>
      <c r="HP278" s="22"/>
      <c r="HQ278" s="20"/>
      <c r="HR278" s="22"/>
      <c r="HS278" s="20"/>
      <c r="HT278" s="22"/>
      <c r="HU278" s="20"/>
      <c r="HV278" s="22"/>
      <c r="HW278" s="20"/>
      <c r="HX278" s="22"/>
      <c r="HY278" s="20"/>
      <c r="HZ278" s="22"/>
      <c r="IA278" s="20"/>
      <c r="IB278" s="22"/>
      <c r="IC278" s="20"/>
      <c r="ID278" s="22"/>
      <c r="IE278" s="20"/>
      <c r="IF278" s="22"/>
      <c r="IG278" s="20"/>
      <c r="IH278" s="22"/>
      <c r="II278" s="20"/>
      <c r="IJ278" s="22"/>
      <c r="IK278" s="20"/>
      <c r="IL278" s="22"/>
      <c r="IM278" s="20"/>
      <c r="IN278" s="22"/>
      <c r="IO278" s="20"/>
      <c r="IP278" s="22"/>
      <c r="IQ278" s="20"/>
      <c r="IR278" s="22"/>
      <c r="IS278" s="20"/>
      <c r="IT278" s="22"/>
      <c r="IU278" s="20"/>
      <c r="IV278" s="22"/>
      <c r="IW278" s="20"/>
      <c r="IX278" s="22"/>
      <c r="IY278" s="20"/>
      <c r="IZ278" s="22"/>
      <c r="JA278" s="20"/>
      <c r="JB278" s="22"/>
      <c r="JC278" s="20"/>
      <c r="JD278" s="22"/>
      <c r="JE278" s="20"/>
      <c r="JF278" s="22"/>
      <c r="JG278" s="20"/>
      <c r="JH278" s="22"/>
      <c r="JI278" s="20"/>
      <c r="JJ278" s="22"/>
      <c r="JK278" s="20"/>
      <c r="JL278" s="22"/>
      <c r="JM278" s="20"/>
      <c r="JN278" s="22"/>
      <c r="JO278" s="20"/>
      <c r="JP278" s="22"/>
      <c r="JQ278" s="20"/>
      <c r="JR278" s="22"/>
      <c r="JS278" s="20"/>
      <c r="JT278" s="22"/>
      <c r="JU278" s="20"/>
      <c r="JV278" s="22"/>
      <c r="JW278" s="20"/>
      <c r="JX278" s="22"/>
      <c r="JY278" s="20"/>
      <c r="JZ278" s="22"/>
      <c r="KA278" s="20"/>
      <c r="KB278" s="22"/>
      <c r="KC278" s="20"/>
      <c r="KD278" s="22"/>
      <c r="KE278" s="20"/>
      <c r="KF278" s="22"/>
      <c r="KG278" s="20"/>
      <c r="KH278" s="22"/>
      <c r="KI278" s="20"/>
      <c r="KJ278" s="22"/>
      <c r="KK278" s="20"/>
      <c r="KL278" s="22"/>
      <c r="KM278" s="20"/>
      <c r="KN278" s="22"/>
      <c r="KO278" s="20"/>
      <c r="KP278" s="22"/>
      <c r="KQ278" s="20"/>
      <c r="KR278" s="22"/>
      <c r="KS278" s="20"/>
      <c r="KT278" s="22"/>
      <c r="KU278" s="20"/>
      <c r="KV278" s="22"/>
      <c r="KW278" s="20"/>
      <c r="KX278" s="22"/>
      <c r="KY278" s="20"/>
      <c r="KZ278" s="22"/>
      <c r="LA278" s="20"/>
      <c r="LB278" s="22"/>
      <c r="LC278" s="20"/>
      <c r="LD278" s="22"/>
      <c r="LE278" s="20"/>
      <c r="LF278" s="22"/>
      <c r="LG278" s="20"/>
      <c r="LH278" s="22"/>
      <c r="LI278" s="20"/>
      <c r="LJ278" s="22"/>
      <c r="LK278" s="20"/>
      <c r="LL278" s="22"/>
      <c r="LM278" s="20"/>
      <c r="LN278" s="22"/>
      <c r="LO278" s="20"/>
      <c r="LP278" s="22"/>
      <c r="LQ278" s="20"/>
      <c r="LR278" s="22"/>
      <c r="LS278" s="20"/>
      <c r="LT278" s="22"/>
      <c r="LU278" s="20"/>
      <c r="LV278" s="22"/>
      <c r="LW278" s="20"/>
      <c r="LX278" s="22"/>
      <c r="LY278" s="20"/>
      <c r="LZ278" s="22"/>
      <c r="MA278" s="20"/>
      <c r="MB278" s="22"/>
      <c r="MC278" s="20"/>
      <c r="MD278" s="22"/>
      <c r="ME278" s="20"/>
      <c r="MF278" s="22"/>
      <c r="MG278" s="20"/>
      <c r="MH278" s="22"/>
      <c r="MI278" s="20"/>
      <c r="MJ278" s="22"/>
      <c r="MK278" s="20"/>
      <c r="ML278" s="22"/>
      <c r="MM278" s="20"/>
      <c r="MN278" s="22"/>
      <c r="MO278" s="20"/>
      <c r="MP278" s="22"/>
      <c r="MQ278" s="20"/>
      <c r="MR278" s="22"/>
      <c r="MS278" s="20"/>
      <c r="MT278" s="22"/>
      <c r="MU278" s="20"/>
      <c r="MV278" s="22"/>
      <c r="MW278" s="20"/>
      <c r="MX278" s="22"/>
      <c r="MY278" s="20"/>
      <c r="MZ278" s="22"/>
      <c r="NA278" s="20"/>
      <c r="NB278" s="22"/>
      <c r="NC278" s="20"/>
      <c r="ND278" s="22"/>
      <c r="NE278" s="20"/>
      <c r="NF278" s="73"/>
    </row>
    <row r="279">
      <c r="A279" s="237" t="str">
        <f t="shared" si="2"/>
        <v>-</v>
      </c>
      <c r="B279" s="267"/>
      <c r="C279" s="239"/>
      <c r="D279" s="290"/>
      <c r="E279" s="242" t="s">
        <v>12</v>
      </c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  <c r="CI279" s="73"/>
      <c r="CJ279" s="73"/>
      <c r="CK279" s="73"/>
      <c r="CL279" s="73"/>
      <c r="CM279" s="73"/>
      <c r="CN279" s="73"/>
      <c r="CO279" s="73"/>
      <c r="CP279" s="73"/>
      <c r="CQ279" s="73"/>
      <c r="CR279" s="73"/>
      <c r="CS279" s="73"/>
      <c r="CT279" s="73"/>
      <c r="CU279" s="73"/>
      <c r="CV279" s="73"/>
      <c r="CW279" s="73"/>
      <c r="CX279" s="73"/>
      <c r="CY279" s="73"/>
      <c r="CZ279" s="73"/>
      <c r="DA279" s="73"/>
      <c r="DB279" s="73"/>
      <c r="DC279" s="73"/>
      <c r="DD279" s="73"/>
      <c r="DE279" s="73"/>
      <c r="DF279" s="73"/>
      <c r="DG279" s="73"/>
      <c r="DH279" s="73"/>
      <c r="DI279" s="73"/>
      <c r="DJ279" s="73"/>
      <c r="DK279" s="73"/>
      <c r="DL279" s="73"/>
      <c r="DM279" s="73"/>
      <c r="DN279" s="73"/>
      <c r="DO279" s="73"/>
      <c r="DP279" s="73"/>
      <c r="DQ279" s="73"/>
      <c r="DR279" s="73"/>
      <c r="DS279" s="73"/>
      <c r="DT279" s="73"/>
      <c r="DU279" s="73"/>
      <c r="DV279" s="22"/>
      <c r="DW279" s="20"/>
      <c r="DX279" s="22"/>
      <c r="DY279" s="20"/>
      <c r="DZ279" s="22"/>
      <c r="EA279" s="20"/>
      <c r="EB279" s="22"/>
      <c r="EC279" s="20"/>
      <c r="ED279" s="22"/>
      <c r="EE279" s="20"/>
      <c r="EF279" s="22"/>
      <c r="EG279" s="20"/>
      <c r="EH279" s="22"/>
      <c r="EI279" s="20"/>
      <c r="EJ279" s="22"/>
      <c r="EK279" s="20"/>
      <c r="EL279" s="22"/>
      <c r="EM279" s="20"/>
      <c r="EN279" s="22"/>
      <c r="EO279" s="20"/>
      <c r="EP279" s="22"/>
      <c r="EQ279" s="20"/>
      <c r="ER279" s="22"/>
      <c r="ES279" s="20"/>
      <c r="ET279" s="22"/>
      <c r="EU279" s="20"/>
      <c r="EV279" s="22"/>
      <c r="EW279" s="20"/>
      <c r="EX279" s="22"/>
      <c r="EY279" s="20"/>
      <c r="EZ279" s="22"/>
      <c r="FA279" s="20"/>
      <c r="FB279" s="22"/>
      <c r="FC279" s="20"/>
      <c r="FD279" s="22"/>
      <c r="FE279" s="20"/>
      <c r="FF279" s="22"/>
      <c r="FG279" s="20"/>
      <c r="FH279" s="22"/>
      <c r="FI279" s="20"/>
      <c r="FJ279" s="22"/>
      <c r="FK279" s="20"/>
      <c r="FL279" s="22"/>
      <c r="FM279" s="20"/>
      <c r="FN279" s="22"/>
      <c r="FO279" s="20"/>
      <c r="FP279" s="22"/>
      <c r="FQ279" s="20"/>
      <c r="FR279" s="22"/>
      <c r="FS279" s="20"/>
      <c r="FT279" s="22"/>
      <c r="FU279" s="20"/>
      <c r="FV279" s="22"/>
      <c r="FW279" s="20"/>
      <c r="FX279" s="22"/>
      <c r="FY279" s="20"/>
      <c r="FZ279" s="22"/>
      <c r="GA279" s="20"/>
      <c r="GB279" s="22"/>
      <c r="GC279" s="20"/>
      <c r="GD279" s="22"/>
      <c r="GE279" s="20"/>
      <c r="GF279" s="22"/>
      <c r="GG279" s="20"/>
      <c r="GH279" s="22"/>
      <c r="GI279" s="20"/>
      <c r="GJ279" s="22"/>
      <c r="GK279" s="20"/>
      <c r="GL279" s="22"/>
      <c r="GM279" s="20"/>
      <c r="GN279" s="22"/>
      <c r="GO279" s="20"/>
      <c r="GP279" s="22"/>
      <c r="GQ279" s="20"/>
      <c r="GR279" s="22"/>
      <c r="GS279" s="20"/>
      <c r="GT279" s="22"/>
      <c r="GU279" s="20"/>
      <c r="GV279" s="22"/>
      <c r="GW279" s="20"/>
      <c r="GX279" s="22"/>
      <c r="GY279" s="20"/>
      <c r="GZ279" s="22"/>
      <c r="HA279" s="20"/>
      <c r="HB279" s="22"/>
      <c r="HC279" s="20"/>
      <c r="HD279" s="22"/>
      <c r="HE279" s="20"/>
      <c r="HF279" s="22"/>
      <c r="HG279" s="20"/>
      <c r="HH279" s="22"/>
      <c r="HI279" s="20"/>
      <c r="HJ279" s="22"/>
      <c r="HK279" s="20"/>
      <c r="HL279" s="22"/>
      <c r="HM279" s="20"/>
      <c r="HN279" s="22"/>
      <c r="HO279" s="20"/>
      <c r="HP279" s="22"/>
      <c r="HQ279" s="20"/>
      <c r="HR279" s="22"/>
      <c r="HS279" s="20"/>
      <c r="HT279" s="22"/>
      <c r="HU279" s="20"/>
      <c r="HV279" s="22"/>
      <c r="HW279" s="20"/>
      <c r="HX279" s="22"/>
      <c r="HY279" s="20"/>
      <c r="HZ279" s="22"/>
      <c r="IA279" s="20"/>
      <c r="IB279" s="22"/>
      <c r="IC279" s="20"/>
      <c r="ID279" s="22"/>
      <c r="IE279" s="20"/>
      <c r="IF279" s="22"/>
      <c r="IG279" s="20"/>
      <c r="IH279" s="22"/>
      <c r="II279" s="20"/>
      <c r="IJ279" s="22"/>
      <c r="IK279" s="20"/>
      <c r="IL279" s="22"/>
      <c r="IM279" s="20"/>
      <c r="IN279" s="22"/>
      <c r="IO279" s="20"/>
      <c r="IP279" s="22"/>
      <c r="IQ279" s="20"/>
      <c r="IR279" s="22"/>
      <c r="IS279" s="20"/>
      <c r="IT279" s="22"/>
      <c r="IU279" s="20"/>
      <c r="IV279" s="22"/>
      <c r="IW279" s="20"/>
      <c r="IX279" s="22"/>
      <c r="IY279" s="20"/>
      <c r="IZ279" s="22"/>
      <c r="JA279" s="20"/>
      <c r="JB279" s="22"/>
      <c r="JC279" s="20"/>
      <c r="JD279" s="22"/>
      <c r="JE279" s="20"/>
      <c r="JF279" s="22"/>
      <c r="JG279" s="20"/>
      <c r="JH279" s="22"/>
      <c r="JI279" s="20"/>
      <c r="JJ279" s="22"/>
      <c r="JK279" s="20"/>
      <c r="JL279" s="22"/>
      <c r="JM279" s="20"/>
      <c r="JN279" s="22"/>
      <c r="JO279" s="20"/>
      <c r="JP279" s="22"/>
      <c r="JQ279" s="20"/>
      <c r="JR279" s="22"/>
      <c r="JS279" s="20"/>
      <c r="JT279" s="22"/>
      <c r="JU279" s="20"/>
      <c r="JV279" s="22"/>
      <c r="JW279" s="20"/>
      <c r="JX279" s="22"/>
      <c r="JY279" s="20"/>
      <c r="JZ279" s="22"/>
      <c r="KA279" s="20"/>
      <c r="KB279" s="22"/>
      <c r="KC279" s="20"/>
      <c r="KD279" s="22"/>
      <c r="KE279" s="20"/>
      <c r="KF279" s="22"/>
      <c r="KG279" s="20"/>
      <c r="KH279" s="22"/>
      <c r="KI279" s="20"/>
      <c r="KJ279" s="22"/>
      <c r="KK279" s="20"/>
      <c r="KL279" s="22"/>
      <c r="KM279" s="20"/>
      <c r="KN279" s="22"/>
      <c r="KO279" s="20"/>
      <c r="KP279" s="22"/>
      <c r="KQ279" s="20"/>
      <c r="KR279" s="22"/>
      <c r="KS279" s="20"/>
      <c r="KT279" s="22"/>
      <c r="KU279" s="20"/>
      <c r="KV279" s="22"/>
      <c r="KW279" s="20"/>
      <c r="KX279" s="22"/>
      <c r="KY279" s="20"/>
      <c r="KZ279" s="22"/>
      <c r="LA279" s="20"/>
      <c r="LB279" s="22"/>
      <c r="LC279" s="20"/>
      <c r="LD279" s="22"/>
      <c r="LE279" s="20"/>
      <c r="LF279" s="22"/>
      <c r="LG279" s="20"/>
      <c r="LH279" s="22"/>
      <c r="LI279" s="20"/>
      <c r="LJ279" s="22"/>
      <c r="LK279" s="20"/>
      <c r="LL279" s="22"/>
      <c r="LM279" s="20"/>
      <c r="LN279" s="22"/>
      <c r="LO279" s="20"/>
      <c r="LP279" s="22"/>
      <c r="LQ279" s="20"/>
      <c r="LR279" s="22"/>
      <c r="LS279" s="20"/>
      <c r="LT279" s="22"/>
      <c r="LU279" s="20"/>
      <c r="LV279" s="22"/>
      <c r="LW279" s="20"/>
      <c r="LX279" s="22"/>
      <c r="LY279" s="20"/>
      <c r="LZ279" s="22"/>
      <c r="MA279" s="20"/>
      <c r="MB279" s="22"/>
      <c r="MC279" s="20"/>
      <c r="MD279" s="22"/>
      <c r="ME279" s="20"/>
      <c r="MF279" s="22"/>
      <c r="MG279" s="20"/>
      <c r="MH279" s="22"/>
      <c r="MI279" s="20"/>
      <c r="MJ279" s="22"/>
      <c r="MK279" s="20"/>
      <c r="ML279" s="22"/>
      <c r="MM279" s="20"/>
      <c r="MN279" s="22"/>
      <c r="MO279" s="20"/>
      <c r="MP279" s="22"/>
      <c r="MQ279" s="20"/>
      <c r="MR279" s="22"/>
      <c r="MS279" s="20"/>
      <c r="MT279" s="22"/>
      <c r="MU279" s="20"/>
      <c r="MV279" s="22"/>
      <c r="MW279" s="20"/>
      <c r="MX279" s="22"/>
      <c r="MY279" s="20"/>
      <c r="MZ279" s="22"/>
      <c r="NA279" s="20"/>
      <c r="NB279" s="22"/>
      <c r="NC279" s="20"/>
      <c r="ND279" s="22"/>
      <c r="NE279" s="20"/>
      <c r="NF279" s="73"/>
    </row>
    <row r="280">
      <c r="A280" s="237" t="str">
        <f t="shared" si="2"/>
        <v>-</v>
      </c>
      <c r="B280" s="267"/>
      <c r="C280" s="239"/>
      <c r="D280" s="290"/>
      <c r="E280" s="242" t="s">
        <v>12</v>
      </c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  <c r="CI280" s="73"/>
      <c r="CJ280" s="73"/>
      <c r="CK280" s="73"/>
      <c r="CL280" s="73"/>
      <c r="CM280" s="73"/>
      <c r="CN280" s="73"/>
      <c r="CO280" s="73"/>
      <c r="CP280" s="73"/>
      <c r="CQ280" s="73"/>
      <c r="CR280" s="73"/>
      <c r="CS280" s="73"/>
      <c r="CT280" s="73"/>
      <c r="CU280" s="73"/>
      <c r="CV280" s="73"/>
      <c r="CW280" s="73"/>
      <c r="CX280" s="73"/>
      <c r="CY280" s="73"/>
      <c r="CZ280" s="73"/>
      <c r="DA280" s="73"/>
      <c r="DB280" s="73"/>
      <c r="DC280" s="73"/>
      <c r="DD280" s="73"/>
      <c r="DE280" s="73"/>
      <c r="DF280" s="73"/>
      <c r="DG280" s="73"/>
      <c r="DH280" s="73"/>
      <c r="DI280" s="73"/>
      <c r="DJ280" s="73"/>
      <c r="DK280" s="73"/>
      <c r="DL280" s="73"/>
      <c r="DM280" s="73"/>
      <c r="DN280" s="73"/>
      <c r="DO280" s="73"/>
      <c r="DP280" s="73"/>
      <c r="DQ280" s="73"/>
      <c r="DR280" s="73"/>
      <c r="DS280" s="73"/>
      <c r="DT280" s="73"/>
      <c r="DU280" s="73"/>
      <c r="DV280" s="22"/>
      <c r="DW280" s="20"/>
      <c r="DX280" s="22"/>
      <c r="DY280" s="20"/>
      <c r="DZ280" s="22"/>
      <c r="EA280" s="20"/>
      <c r="EB280" s="22"/>
      <c r="EC280" s="20"/>
      <c r="ED280" s="22"/>
      <c r="EE280" s="20"/>
      <c r="EF280" s="22"/>
      <c r="EG280" s="20"/>
      <c r="EH280" s="22"/>
      <c r="EI280" s="20"/>
      <c r="EJ280" s="22"/>
      <c r="EK280" s="20"/>
      <c r="EL280" s="22"/>
      <c r="EM280" s="20"/>
      <c r="EN280" s="22"/>
      <c r="EO280" s="20"/>
      <c r="EP280" s="22"/>
      <c r="EQ280" s="20"/>
      <c r="ER280" s="22"/>
      <c r="ES280" s="20"/>
      <c r="ET280" s="22"/>
      <c r="EU280" s="20"/>
      <c r="EV280" s="22"/>
      <c r="EW280" s="20"/>
      <c r="EX280" s="22"/>
      <c r="EY280" s="20"/>
      <c r="EZ280" s="22"/>
      <c r="FA280" s="20"/>
      <c r="FB280" s="22"/>
      <c r="FC280" s="20"/>
      <c r="FD280" s="22"/>
      <c r="FE280" s="20"/>
      <c r="FF280" s="22"/>
      <c r="FG280" s="20"/>
      <c r="FH280" s="22"/>
      <c r="FI280" s="20"/>
      <c r="FJ280" s="22"/>
      <c r="FK280" s="20"/>
      <c r="FL280" s="22"/>
      <c r="FM280" s="20"/>
      <c r="FN280" s="22"/>
      <c r="FO280" s="20"/>
      <c r="FP280" s="22"/>
      <c r="FQ280" s="20"/>
      <c r="FR280" s="22"/>
      <c r="FS280" s="20"/>
      <c r="FT280" s="22"/>
      <c r="FU280" s="20"/>
      <c r="FV280" s="22"/>
      <c r="FW280" s="20"/>
      <c r="FX280" s="22"/>
      <c r="FY280" s="20"/>
      <c r="FZ280" s="22"/>
      <c r="GA280" s="20"/>
      <c r="GB280" s="22"/>
      <c r="GC280" s="20"/>
      <c r="GD280" s="22"/>
      <c r="GE280" s="20"/>
      <c r="GF280" s="22"/>
      <c r="GG280" s="20"/>
      <c r="GH280" s="22"/>
      <c r="GI280" s="20"/>
      <c r="GJ280" s="22"/>
      <c r="GK280" s="20"/>
      <c r="GL280" s="22"/>
      <c r="GM280" s="20"/>
      <c r="GN280" s="22"/>
      <c r="GO280" s="20"/>
      <c r="GP280" s="22"/>
      <c r="GQ280" s="20"/>
      <c r="GR280" s="22"/>
      <c r="GS280" s="20"/>
      <c r="GT280" s="22"/>
      <c r="GU280" s="20"/>
      <c r="GV280" s="22"/>
      <c r="GW280" s="20"/>
      <c r="GX280" s="22"/>
      <c r="GY280" s="20"/>
      <c r="GZ280" s="22"/>
      <c r="HA280" s="20"/>
      <c r="HB280" s="22"/>
      <c r="HC280" s="20"/>
      <c r="HD280" s="22"/>
      <c r="HE280" s="20"/>
      <c r="HF280" s="22"/>
      <c r="HG280" s="20"/>
      <c r="HH280" s="22"/>
      <c r="HI280" s="20"/>
      <c r="HJ280" s="22"/>
      <c r="HK280" s="20"/>
      <c r="HL280" s="22"/>
      <c r="HM280" s="20"/>
      <c r="HN280" s="22"/>
      <c r="HO280" s="20"/>
      <c r="HP280" s="22"/>
      <c r="HQ280" s="20"/>
      <c r="HR280" s="22"/>
      <c r="HS280" s="20"/>
      <c r="HT280" s="22"/>
      <c r="HU280" s="20"/>
      <c r="HV280" s="22"/>
      <c r="HW280" s="20"/>
      <c r="HX280" s="22"/>
      <c r="HY280" s="20"/>
      <c r="HZ280" s="22"/>
      <c r="IA280" s="20"/>
      <c r="IB280" s="22"/>
      <c r="IC280" s="20"/>
      <c r="ID280" s="22"/>
      <c r="IE280" s="20"/>
      <c r="IF280" s="22"/>
      <c r="IG280" s="20"/>
      <c r="IH280" s="22"/>
      <c r="II280" s="20"/>
      <c r="IJ280" s="22"/>
      <c r="IK280" s="20"/>
      <c r="IL280" s="22"/>
      <c r="IM280" s="20"/>
      <c r="IN280" s="22"/>
      <c r="IO280" s="20"/>
      <c r="IP280" s="22"/>
      <c r="IQ280" s="20"/>
      <c r="IR280" s="22"/>
      <c r="IS280" s="20"/>
      <c r="IT280" s="22"/>
      <c r="IU280" s="20"/>
      <c r="IV280" s="22"/>
      <c r="IW280" s="20"/>
      <c r="IX280" s="22"/>
      <c r="IY280" s="20"/>
      <c r="IZ280" s="22"/>
      <c r="JA280" s="20"/>
      <c r="JB280" s="22"/>
      <c r="JC280" s="20"/>
      <c r="JD280" s="22"/>
      <c r="JE280" s="20"/>
      <c r="JF280" s="22"/>
      <c r="JG280" s="20"/>
      <c r="JH280" s="22"/>
      <c r="JI280" s="20"/>
      <c r="JJ280" s="22"/>
      <c r="JK280" s="20"/>
      <c r="JL280" s="22"/>
      <c r="JM280" s="20"/>
      <c r="JN280" s="22"/>
      <c r="JO280" s="20"/>
      <c r="JP280" s="22"/>
      <c r="JQ280" s="20"/>
      <c r="JR280" s="22"/>
      <c r="JS280" s="20"/>
      <c r="JT280" s="22"/>
      <c r="JU280" s="20"/>
      <c r="JV280" s="22"/>
      <c r="JW280" s="20"/>
      <c r="JX280" s="22"/>
      <c r="JY280" s="20"/>
      <c r="JZ280" s="22"/>
      <c r="KA280" s="20"/>
      <c r="KB280" s="22"/>
      <c r="KC280" s="20"/>
      <c r="KD280" s="22"/>
      <c r="KE280" s="20"/>
      <c r="KF280" s="22"/>
      <c r="KG280" s="20"/>
      <c r="KH280" s="22"/>
      <c r="KI280" s="20"/>
      <c r="KJ280" s="22"/>
      <c r="KK280" s="20"/>
      <c r="KL280" s="22"/>
      <c r="KM280" s="20"/>
      <c r="KN280" s="22"/>
      <c r="KO280" s="20"/>
      <c r="KP280" s="22"/>
      <c r="KQ280" s="20"/>
      <c r="KR280" s="22"/>
      <c r="KS280" s="20"/>
      <c r="KT280" s="22"/>
      <c r="KU280" s="20"/>
      <c r="KV280" s="22"/>
      <c r="KW280" s="20"/>
      <c r="KX280" s="22"/>
      <c r="KY280" s="20"/>
      <c r="KZ280" s="22"/>
      <c r="LA280" s="20"/>
      <c r="LB280" s="22"/>
      <c r="LC280" s="20"/>
      <c r="LD280" s="22"/>
      <c r="LE280" s="20"/>
      <c r="LF280" s="22"/>
      <c r="LG280" s="20"/>
      <c r="LH280" s="22"/>
      <c r="LI280" s="20"/>
      <c r="LJ280" s="22"/>
      <c r="LK280" s="20"/>
      <c r="LL280" s="22"/>
      <c r="LM280" s="20"/>
      <c r="LN280" s="22"/>
      <c r="LO280" s="20"/>
      <c r="LP280" s="22"/>
      <c r="LQ280" s="20"/>
      <c r="LR280" s="22"/>
      <c r="LS280" s="20"/>
      <c r="LT280" s="22"/>
      <c r="LU280" s="20"/>
      <c r="LV280" s="22"/>
      <c r="LW280" s="20"/>
      <c r="LX280" s="22"/>
      <c r="LY280" s="20"/>
      <c r="LZ280" s="22"/>
      <c r="MA280" s="20"/>
      <c r="MB280" s="22"/>
      <c r="MC280" s="20"/>
      <c r="MD280" s="22"/>
      <c r="ME280" s="20"/>
      <c r="MF280" s="22"/>
      <c r="MG280" s="20"/>
      <c r="MH280" s="22"/>
      <c r="MI280" s="20"/>
      <c r="MJ280" s="22"/>
      <c r="MK280" s="20"/>
      <c r="ML280" s="22"/>
      <c r="MM280" s="20"/>
      <c r="MN280" s="22"/>
      <c r="MO280" s="20"/>
      <c r="MP280" s="22"/>
      <c r="MQ280" s="20"/>
      <c r="MR280" s="22"/>
      <c r="MS280" s="20"/>
      <c r="MT280" s="22"/>
      <c r="MU280" s="20"/>
      <c r="MV280" s="22"/>
      <c r="MW280" s="20"/>
      <c r="MX280" s="22"/>
      <c r="MY280" s="20"/>
      <c r="MZ280" s="22"/>
      <c r="NA280" s="20"/>
      <c r="NB280" s="22"/>
      <c r="NC280" s="20"/>
      <c r="ND280" s="22"/>
      <c r="NE280" s="20"/>
      <c r="NF280" s="73"/>
    </row>
    <row r="281">
      <c r="A281" s="237" t="str">
        <f t="shared" si="2"/>
        <v>-</v>
      </c>
      <c r="B281" s="267"/>
      <c r="C281" s="239"/>
      <c r="D281" s="290"/>
      <c r="E281" s="242" t="s">
        <v>12</v>
      </c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  <c r="CI281" s="73"/>
      <c r="CJ281" s="73"/>
      <c r="CK281" s="73"/>
      <c r="CL281" s="73"/>
      <c r="CM281" s="73"/>
      <c r="CN281" s="73"/>
      <c r="CO281" s="73"/>
      <c r="CP281" s="73"/>
      <c r="CQ281" s="73"/>
      <c r="CR281" s="73"/>
      <c r="CS281" s="73"/>
      <c r="CT281" s="73"/>
      <c r="CU281" s="73"/>
      <c r="CV281" s="73"/>
      <c r="CW281" s="73"/>
      <c r="CX281" s="73"/>
      <c r="CY281" s="73"/>
      <c r="CZ281" s="73"/>
      <c r="DA281" s="73"/>
      <c r="DB281" s="73"/>
      <c r="DC281" s="73"/>
      <c r="DD281" s="73"/>
      <c r="DE281" s="73"/>
      <c r="DF281" s="73"/>
      <c r="DG281" s="73"/>
      <c r="DH281" s="73"/>
      <c r="DI281" s="73"/>
      <c r="DJ281" s="73"/>
      <c r="DK281" s="73"/>
      <c r="DL281" s="73"/>
      <c r="DM281" s="73"/>
      <c r="DN281" s="73"/>
      <c r="DO281" s="73"/>
      <c r="DP281" s="73"/>
      <c r="DQ281" s="73"/>
      <c r="DR281" s="73"/>
      <c r="DS281" s="73"/>
      <c r="DT281" s="73"/>
      <c r="DU281" s="73"/>
      <c r="DV281" s="22"/>
      <c r="DW281" s="20"/>
      <c r="DX281" s="22"/>
      <c r="DY281" s="20"/>
      <c r="DZ281" s="22"/>
      <c r="EA281" s="20"/>
      <c r="EB281" s="22"/>
      <c r="EC281" s="20"/>
      <c r="ED281" s="22"/>
      <c r="EE281" s="20"/>
      <c r="EF281" s="22"/>
      <c r="EG281" s="20"/>
      <c r="EH281" s="22"/>
      <c r="EI281" s="20"/>
      <c r="EJ281" s="22"/>
      <c r="EK281" s="20"/>
      <c r="EL281" s="22"/>
      <c r="EM281" s="20"/>
      <c r="EN281" s="22"/>
      <c r="EO281" s="20"/>
      <c r="EP281" s="22"/>
      <c r="EQ281" s="20"/>
      <c r="ER281" s="22"/>
      <c r="ES281" s="20"/>
      <c r="ET281" s="22"/>
      <c r="EU281" s="20"/>
      <c r="EV281" s="22"/>
      <c r="EW281" s="20"/>
      <c r="EX281" s="22"/>
      <c r="EY281" s="20"/>
      <c r="EZ281" s="22"/>
      <c r="FA281" s="20"/>
      <c r="FB281" s="22"/>
      <c r="FC281" s="20"/>
      <c r="FD281" s="22"/>
      <c r="FE281" s="20"/>
      <c r="FF281" s="22"/>
      <c r="FG281" s="20"/>
      <c r="FH281" s="22"/>
      <c r="FI281" s="20"/>
      <c r="FJ281" s="22"/>
      <c r="FK281" s="20"/>
      <c r="FL281" s="22"/>
      <c r="FM281" s="20"/>
      <c r="FN281" s="22"/>
      <c r="FO281" s="20"/>
      <c r="FP281" s="22"/>
      <c r="FQ281" s="20"/>
      <c r="FR281" s="22"/>
      <c r="FS281" s="20"/>
      <c r="FT281" s="22"/>
      <c r="FU281" s="20"/>
      <c r="FV281" s="22"/>
      <c r="FW281" s="20"/>
      <c r="FX281" s="22"/>
      <c r="FY281" s="20"/>
      <c r="FZ281" s="22"/>
      <c r="GA281" s="20"/>
      <c r="GB281" s="22"/>
      <c r="GC281" s="20"/>
      <c r="GD281" s="22"/>
      <c r="GE281" s="20"/>
      <c r="GF281" s="22"/>
      <c r="GG281" s="20"/>
      <c r="GH281" s="22"/>
      <c r="GI281" s="20"/>
      <c r="GJ281" s="22"/>
      <c r="GK281" s="20"/>
      <c r="GL281" s="22"/>
      <c r="GM281" s="20"/>
      <c r="GN281" s="22"/>
      <c r="GO281" s="20"/>
      <c r="GP281" s="22"/>
      <c r="GQ281" s="20"/>
      <c r="GR281" s="22"/>
      <c r="GS281" s="20"/>
      <c r="GT281" s="22"/>
      <c r="GU281" s="20"/>
      <c r="GV281" s="22"/>
      <c r="GW281" s="20"/>
      <c r="GX281" s="22"/>
      <c r="GY281" s="20"/>
      <c r="GZ281" s="22"/>
      <c r="HA281" s="20"/>
      <c r="HB281" s="22"/>
      <c r="HC281" s="20"/>
      <c r="HD281" s="22"/>
      <c r="HE281" s="20"/>
      <c r="HF281" s="22"/>
      <c r="HG281" s="20"/>
      <c r="HH281" s="22"/>
      <c r="HI281" s="20"/>
      <c r="HJ281" s="22"/>
      <c r="HK281" s="20"/>
      <c r="HL281" s="22"/>
      <c r="HM281" s="20"/>
      <c r="HN281" s="22"/>
      <c r="HO281" s="20"/>
      <c r="HP281" s="22"/>
      <c r="HQ281" s="20"/>
      <c r="HR281" s="22"/>
      <c r="HS281" s="20"/>
      <c r="HT281" s="22"/>
      <c r="HU281" s="20"/>
      <c r="HV281" s="22"/>
      <c r="HW281" s="20"/>
      <c r="HX281" s="22"/>
      <c r="HY281" s="20"/>
      <c r="HZ281" s="22"/>
      <c r="IA281" s="20"/>
      <c r="IB281" s="22"/>
      <c r="IC281" s="20"/>
      <c r="ID281" s="22"/>
      <c r="IE281" s="20"/>
      <c r="IF281" s="22"/>
      <c r="IG281" s="20"/>
      <c r="IH281" s="22"/>
      <c r="II281" s="20"/>
      <c r="IJ281" s="22"/>
      <c r="IK281" s="20"/>
      <c r="IL281" s="22"/>
      <c r="IM281" s="20"/>
      <c r="IN281" s="22"/>
      <c r="IO281" s="20"/>
      <c r="IP281" s="22"/>
      <c r="IQ281" s="20"/>
      <c r="IR281" s="22"/>
      <c r="IS281" s="20"/>
      <c r="IT281" s="22"/>
      <c r="IU281" s="20"/>
      <c r="IV281" s="22"/>
      <c r="IW281" s="20"/>
      <c r="IX281" s="22"/>
      <c r="IY281" s="20"/>
      <c r="IZ281" s="22"/>
      <c r="JA281" s="20"/>
      <c r="JB281" s="22"/>
      <c r="JC281" s="20"/>
      <c r="JD281" s="22"/>
      <c r="JE281" s="20"/>
      <c r="JF281" s="22"/>
      <c r="JG281" s="20"/>
      <c r="JH281" s="22"/>
      <c r="JI281" s="20"/>
      <c r="JJ281" s="22"/>
      <c r="JK281" s="20"/>
      <c r="JL281" s="22"/>
      <c r="JM281" s="20"/>
      <c r="JN281" s="22"/>
      <c r="JO281" s="20"/>
      <c r="JP281" s="22"/>
      <c r="JQ281" s="20"/>
      <c r="JR281" s="22"/>
      <c r="JS281" s="20"/>
      <c r="JT281" s="22"/>
      <c r="JU281" s="20"/>
      <c r="JV281" s="22"/>
      <c r="JW281" s="20"/>
      <c r="JX281" s="22"/>
      <c r="JY281" s="20"/>
      <c r="JZ281" s="22"/>
      <c r="KA281" s="20"/>
      <c r="KB281" s="22"/>
      <c r="KC281" s="20"/>
      <c r="KD281" s="22"/>
      <c r="KE281" s="20"/>
      <c r="KF281" s="22"/>
      <c r="KG281" s="20"/>
      <c r="KH281" s="22"/>
      <c r="KI281" s="20"/>
      <c r="KJ281" s="22"/>
      <c r="KK281" s="20"/>
      <c r="KL281" s="22"/>
      <c r="KM281" s="20"/>
      <c r="KN281" s="22"/>
      <c r="KO281" s="20"/>
      <c r="KP281" s="22"/>
      <c r="KQ281" s="20"/>
      <c r="KR281" s="22"/>
      <c r="KS281" s="20"/>
      <c r="KT281" s="22"/>
      <c r="KU281" s="20"/>
      <c r="KV281" s="22"/>
      <c r="KW281" s="20"/>
      <c r="KX281" s="22"/>
      <c r="KY281" s="20"/>
      <c r="KZ281" s="22"/>
      <c r="LA281" s="20"/>
      <c r="LB281" s="22"/>
      <c r="LC281" s="20"/>
      <c r="LD281" s="22"/>
      <c r="LE281" s="20"/>
      <c r="LF281" s="22"/>
      <c r="LG281" s="20"/>
      <c r="LH281" s="22"/>
      <c r="LI281" s="20"/>
      <c r="LJ281" s="22"/>
      <c r="LK281" s="20"/>
      <c r="LL281" s="22"/>
      <c r="LM281" s="20"/>
      <c r="LN281" s="22"/>
      <c r="LO281" s="20"/>
      <c r="LP281" s="22"/>
      <c r="LQ281" s="20"/>
      <c r="LR281" s="22"/>
      <c r="LS281" s="20"/>
      <c r="LT281" s="22"/>
      <c r="LU281" s="20"/>
      <c r="LV281" s="22"/>
      <c r="LW281" s="20"/>
      <c r="LX281" s="22"/>
      <c r="LY281" s="20"/>
      <c r="LZ281" s="22"/>
      <c r="MA281" s="20"/>
      <c r="MB281" s="22"/>
      <c r="MC281" s="20"/>
      <c r="MD281" s="22"/>
      <c r="ME281" s="20"/>
      <c r="MF281" s="22"/>
      <c r="MG281" s="20"/>
      <c r="MH281" s="22"/>
      <c r="MI281" s="20"/>
      <c r="MJ281" s="22"/>
      <c r="MK281" s="20"/>
      <c r="ML281" s="22"/>
      <c r="MM281" s="20"/>
      <c r="MN281" s="22"/>
      <c r="MO281" s="20"/>
      <c r="MP281" s="22"/>
      <c r="MQ281" s="20"/>
      <c r="MR281" s="22"/>
      <c r="MS281" s="20"/>
      <c r="MT281" s="22"/>
      <c r="MU281" s="20"/>
      <c r="MV281" s="22"/>
      <c r="MW281" s="20"/>
      <c r="MX281" s="22"/>
      <c r="MY281" s="20"/>
      <c r="MZ281" s="22"/>
      <c r="NA281" s="20"/>
      <c r="NB281" s="22"/>
      <c r="NC281" s="20"/>
      <c r="ND281" s="22"/>
      <c r="NE281" s="20"/>
      <c r="NF281" s="73"/>
    </row>
    <row r="282">
      <c r="A282" s="237" t="str">
        <f t="shared" si="2"/>
        <v>-</v>
      </c>
      <c r="B282" s="267"/>
      <c r="C282" s="239"/>
      <c r="D282" s="290"/>
      <c r="E282" s="242" t="s">
        <v>12</v>
      </c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  <c r="CI282" s="73"/>
      <c r="CJ282" s="73"/>
      <c r="CK282" s="73"/>
      <c r="CL282" s="73"/>
      <c r="CM282" s="73"/>
      <c r="CN282" s="73"/>
      <c r="CO282" s="73"/>
      <c r="CP282" s="73"/>
      <c r="CQ282" s="73"/>
      <c r="CR282" s="73"/>
      <c r="CS282" s="73"/>
      <c r="CT282" s="73"/>
      <c r="CU282" s="73"/>
      <c r="CV282" s="73"/>
      <c r="CW282" s="73"/>
      <c r="CX282" s="73"/>
      <c r="CY282" s="73"/>
      <c r="CZ282" s="73"/>
      <c r="DA282" s="73"/>
      <c r="DB282" s="73"/>
      <c r="DC282" s="73"/>
      <c r="DD282" s="73"/>
      <c r="DE282" s="73"/>
      <c r="DF282" s="73"/>
      <c r="DG282" s="73"/>
      <c r="DH282" s="73"/>
      <c r="DI282" s="73"/>
      <c r="DJ282" s="73"/>
      <c r="DK282" s="73"/>
      <c r="DL282" s="73"/>
      <c r="DM282" s="73"/>
      <c r="DN282" s="73"/>
      <c r="DO282" s="73"/>
      <c r="DP282" s="73"/>
      <c r="DQ282" s="73"/>
      <c r="DR282" s="73"/>
      <c r="DS282" s="73"/>
      <c r="DT282" s="73"/>
      <c r="DU282" s="73"/>
      <c r="DV282" s="22"/>
      <c r="DW282" s="20"/>
      <c r="DX282" s="22"/>
      <c r="DY282" s="20"/>
      <c r="DZ282" s="22"/>
      <c r="EA282" s="20"/>
      <c r="EB282" s="22"/>
      <c r="EC282" s="20"/>
      <c r="ED282" s="22"/>
      <c r="EE282" s="20"/>
      <c r="EF282" s="22"/>
      <c r="EG282" s="20"/>
      <c r="EH282" s="22"/>
      <c r="EI282" s="20"/>
      <c r="EJ282" s="22"/>
      <c r="EK282" s="20"/>
      <c r="EL282" s="22"/>
      <c r="EM282" s="20"/>
      <c r="EN282" s="22"/>
      <c r="EO282" s="20"/>
      <c r="EP282" s="22"/>
      <c r="EQ282" s="20"/>
      <c r="ER282" s="22"/>
      <c r="ES282" s="20"/>
      <c r="ET282" s="22"/>
      <c r="EU282" s="20"/>
      <c r="EV282" s="22"/>
      <c r="EW282" s="20"/>
      <c r="EX282" s="22"/>
      <c r="EY282" s="20"/>
      <c r="EZ282" s="22"/>
      <c r="FA282" s="20"/>
      <c r="FB282" s="22"/>
      <c r="FC282" s="20"/>
      <c r="FD282" s="22"/>
      <c r="FE282" s="20"/>
      <c r="FF282" s="22"/>
      <c r="FG282" s="20"/>
      <c r="FH282" s="22"/>
      <c r="FI282" s="20"/>
      <c r="FJ282" s="22"/>
      <c r="FK282" s="20"/>
      <c r="FL282" s="22"/>
      <c r="FM282" s="20"/>
      <c r="FN282" s="22"/>
      <c r="FO282" s="20"/>
      <c r="FP282" s="22"/>
      <c r="FQ282" s="20"/>
      <c r="FR282" s="22"/>
      <c r="FS282" s="20"/>
      <c r="FT282" s="22"/>
      <c r="FU282" s="20"/>
      <c r="FV282" s="22"/>
      <c r="FW282" s="20"/>
      <c r="FX282" s="22"/>
      <c r="FY282" s="20"/>
      <c r="FZ282" s="22"/>
      <c r="GA282" s="20"/>
      <c r="GB282" s="22"/>
      <c r="GC282" s="20"/>
      <c r="GD282" s="22"/>
      <c r="GE282" s="20"/>
      <c r="GF282" s="22"/>
      <c r="GG282" s="20"/>
      <c r="GH282" s="22"/>
      <c r="GI282" s="20"/>
      <c r="GJ282" s="22"/>
      <c r="GK282" s="20"/>
      <c r="GL282" s="22"/>
      <c r="GM282" s="20"/>
      <c r="GN282" s="22"/>
      <c r="GO282" s="20"/>
      <c r="GP282" s="22"/>
      <c r="GQ282" s="20"/>
      <c r="GR282" s="22"/>
      <c r="GS282" s="20"/>
      <c r="GT282" s="22"/>
      <c r="GU282" s="20"/>
      <c r="GV282" s="22"/>
      <c r="GW282" s="20"/>
      <c r="GX282" s="22"/>
      <c r="GY282" s="20"/>
      <c r="GZ282" s="22"/>
      <c r="HA282" s="20"/>
      <c r="HB282" s="22"/>
      <c r="HC282" s="20"/>
      <c r="HD282" s="22"/>
      <c r="HE282" s="20"/>
      <c r="HF282" s="22"/>
      <c r="HG282" s="20"/>
      <c r="HH282" s="22"/>
      <c r="HI282" s="20"/>
      <c r="HJ282" s="22"/>
      <c r="HK282" s="20"/>
      <c r="HL282" s="22"/>
      <c r="HM282" s="20"/>
      <c r="HN282" s="22"/>
      <c r="HO282" s="20"/>
      <c r="HP282" s="22"/>
      <c r="HQ282" s="20"/>
      <c r="HR282" s="22"/>
      <c r="HS282" s="20"/>
      <c r="HT282" s="22"/>
      <c r="HU282" s="20"/>
      <c r="HV282" s="22"/>
      <c r="HW282" s="20"/>
      <c r="HX282" s="22"/>
      <c r="HY282" s="20"/>
      <c r="HZ282" s="22"/>
      <c r="IA282" s="20"/>
      <c r="IB282" s="22"/>
      <c r="IC282" s="20"/>
      <c r="ID282" s="22"/>
      <c r="IE282" s="20"/>
      <c r="IF282" s="22"/>
      <c r="IG282" s="20"/>
      <c r="IH282" s="22"/>
      <c r="II282" s="20"/>
      <c r="IJ282" s="22"/>
      <c r="IK282" s="20"/>
      <c r="IL282" s="22"/>
      <c r="IM282" s="20"/>
      <c r="IN282" s="22"/>
      <c r="IO282" s="20"/>
      <c r="IP282" s="22"/>
      <c r="IQ282" s="20"/>
      <c r="IR282" s="22"/>
      <c r="IS282" s="20"/>
      <c r="IT282" s="22"/>
      <c r="IU282" s="20"/>
      <c r="IV282" s="22"/>
      <c r="IW282" s="20"/>
      <c r="IX282" s="22"/>
      <c r="IY282" s="20"/>
      <c r="IZ282" s="22"/>
      <c r="JA282" s="20"/>
      <c r="JB282" s="22"/>
      <c r="JC282" s="20"/>
      <c r="JD282" s="22"/>
      <c r="JE282" s="20"/>
      <c r="JF282" s="22"/>
      <c r="JG282" s="20"/>
      <c r="JH282" s="22"/>
      <c r="JI282" s="20"/>
      <c r="JJ282" s="22"/>
      <c r="JK282" s="20"/>
      <c r="JL282" s="22"/>
      <c r="JM282" s="20"/>
      <c r="JN282" s="22"/>
      <c r="JO282" s="20"/>
      <c r="JP282" s="22"/>
      <c r="JQ282" s="20"/>
      <c r="JR282" s="22"/>
      <c r="JS282" s="20"/>
      <c r="JT282" s="22"/>
      <c r="JU282" s="20"/>
      <c r="JV282" s="22"/>
      <c r="JW282" s="20"/>
      <c r="JX282" s="22"/>
      <c r="JY282" s="20"/>
      <c r="JZ282" s="22"/>
      <c r="KA282" s="20"/>
      <c r="KB282" s="22"/>
      <c r="KC282" s="20"/>
      <c r="KD282" s="22"/>
      <c r="KE282" s="20"/>
      <c r="KF282" s="22"/>
      <c r="KG282" s="20"/>
      <c r="KH282" s="22"/>
      <c r="KI282" s="20"/>
      <c r="KJ282" s="22"/>
      <c r="KK282" s="20"/>
      <c r="KL282" s="22"/>
      <c r="KM282" s="20"/>
      <c r="KN282" s="22"/>
      <c r="KO282" s="20"/>
      <c r="KP282" s="22"/>
      <c r="KQ282" s="20"/>
      <c r="KR282" s="22"/>
      <c r="KS282" s="20"/>
      <c r="KT282" s="22"/>
      <c r="KU282" s="20"/>
      <c r="KV282" s="22"/>
      <c r="KW282" s="20"/>
      <c r="KX282" s="22"/>
      <c r="KY282" s="20"/>
      <c r="KZ282" s="22"/>
      <c r="LA282" s="20"/>
      <c r="LB282" s="22"/>
      <c r="LC282" s="20"/>
      <c r="LD282" s="22"/>
      <c r="LE282" s="20"/>
      <c r="LF282" s="22"/>
      <c r="LG282" s="20"/>
      <c r="LH282" s="22"/>
      <c r="LI282" s="20"/>
      <c r="LJ282" s="22"/>
      <c r="LK282" s="20"/>
      <c r="LL282" s="22"/>
      <c r="LM282" s="20"/>
      <c r="LN282" s="22"/>
      <c r="LO282" s="20"/>
      <c r="LP282" s="22"/>
      <c r="LQ282" s="20"/>
      <c r="LR282" s="22"/>
      <c r="LS282" s="20"/>
      <c r="LT282" s="22"/>
      <c r="LU282" s="20"/>
      <c r="LV282" s="22"/>
      <c r="LW282" s="20"/>
      <c r="LX282" s="22"/>
      <c r="LY282" s="20"/>
      <c r="LZ282" s="22"/>
      <c r="MA282" s="20"/>
      <c r="MB282" s="22"/>
      <c r="MC282" s="20"/>
      <c r="MD282" s="22"/>
      <c r="ME282" s="20"/>
      <c r="MF282" s="22"/>
      <c r="MG282" s="20"/>
      <c r="MH282" s="22"/>
      <c r="MI282" s="20"/>
      <c r="MJ282" s="22"/>
      <c r="MK282" s="20"/>
      <c r="ML282" s="22"/>
      <c r="MM282" s="20"/>
      <c r="MN282" s="22"/>
      <c r="MO282" s="20"/>
      <c r="MP282" s="22"/>
      <c r="MQ282" s="20"/>
      <c r="MR282" s="22"/>
      <c r="MS282" s="20"/>
      <c r="MT282" s="22"/>
      <c r="MU282" s="20"/>
      <c r="MV282" s="22"/>
      <c r="MW282" s="20"/>
      <c r="MX282" s="22"/>
      <c r="MY282" s="20"/>
      <c r="MZ282" s="22"/>
      <c r="NA282" s="20"/>
      <c r="NB282" s="22"/>
      <c r="NC282" s="20"/>
      <c r="ND282" s="22"/>
      <c r="NE282" s="20"/>
      <c r="NF282" s="73"/>
    </row>
    <row r="283">
      <c r="A283" s="237" t="str">
        <f t="shared" si="2"/>
        <v>-</v>
      </c>
      <c r="B283" s="267"/>
      <c r="C283" s="239"/>
      <c r="D283" s="290"/>
      <c r="E283" s="242" t="s">
        <v>12</v>
      </c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  <c r="CI283" s="73"/>
      <c r="CJ283" s="73"/>
      <c r="CK283" s="73"/>
      <c r="CL283" s="73"/>
      <c r="CM283" s="73"/>
      <c r="CN283" s="73"/>
      <c r="CO283" s="73"/>
      <c r="CP283" s="73"/>
      <c r="CQ283" s="73"/>
      <c r="CR283" s="73"/>
      <c r="CS283" s="73"/>
      <c r="CT283" s="73"/>
      <c r="CU283" s="73"/>
      <c r="CV283" s="73"/>
      <c r="CW283" s="73"/>
      <c r="CX283" s="73"/>
      <c r="CY283" s="73"/>
      <c r="CZ283" s="73"/>
      <c r="DA283" s="73"/>
      <c r="DB283" s="73"/>
      <c r="DC283" s="73"/>
      <c r="DD283" s="73"/>
      <c r="DE283" s="73"/>
      <c r="DF283" s="73"/>
      <c r="DG283" s="73"/>
      <c r="DH283" s="73"/>
      <c r="DI283" s="73"/>
      <c r="DJ283" s="73"/>
      <c r="DK283" s="73"/>
      <c r="DL283" s="73"/>
      <c r="DM283" s="73"/>
      <c r="DN283" s="73"/>
      <c r="DO283" s="73"/>
      <c r="DP283" s="73"/>
      <c r="DQ283" s="73"/>
      <c r="DR283" s="73"/>
      <c r="DS283" s="73"/>
      <c r="DT283" s="73"/>
      <c r="DU283" s="73"/>
      <c r="DV283" s="22"/>
      <c r="DW283" s="20"/>
      <c r="DX283" s="22"/>
      <c r="DY283" s="20"/>
      <c r="DZ283" s="22"/>
      <c r="EA283" s="20"/>
      <c r="EB283" s="22"/>
      <c r="EC283" s="20"/>
      <c r="ED283" s="22"/>
      <c r="EE283" s="20"/>
      <c r="EF283" s="22"/>
      <c r="EG283" s="20"/>
      <c r="EH283" s="22"/>
      <c r="EI283" s="20"/>
      <c r="EJ283" s="22"/>
      <c r="EK283" s="20"/>
      <c r="EL283" s="22"/>
      <c r="EM283" s="20"/>
      <c r="EN283" s="22"/>
      <c r="EO283" s="20"/>
      <c r="EP283" s="22"/>
      <c r="EQ283" s="20"/>
      <c r="ER283" s="22"/>
      <c r="ES283" s="20"/>
      <c r="ET283" s="22"/>
      <c r="EU283" s="20"/>
      <c r="EV283" s="22"/>
      <c r="EW283" s="20"/>
      <c r="EX283" s="22"/>
      <c r="EY283" s="20"/>
      <c r="EZ283" s="22"/>
      <c r="FA283" s="20"/>
      <c r="FB283" s="22"/>
      <c r="FC283" s="20"/>
      <c r="FD283" s="22"/>
      <c r="FE283" s="20"/>
      <c r="FF283" s="22"/>
      <c r="FG283" s="20"/>
      <c r="FH283" s="22"/>
      <c r="FI283" s="20"/>
      <c r="FJ283" s="22"/>
      <c r="FK283" s="20"/>
      <c r="FL283" s="22"/>
      <c r="FM283" s="20"/>
      <c r="FN283" s="22"/>
      <c r="FO283" s="20"/>
      <c r="FP283" s="22"/>
      <c r="FQ283" s="20"/>
      <c r="FR283" s="22"/>
      <c r="FS283" s="20"/>
      <c r="FT283" s="22"/>
      <c r="FU283" s="20"/>
      <c r="FV283" s="22"/>
      <c r="FW283" s="20"/>
      <c r="FX283" s="22"/>
      <c r="FY283" s="20"/>
      <c r="FZ283" s="22"/>
      <c r="GA283" s="20"/>
      <c r="GB283" s="22"/>
      <c r="GC283" s="20"/>
      <c r="GD283" s="22"/>
      <c r="GE283" s="20"/>
      <c r="GF283" s="22"/>
      <c r="GG283" s="20"/>
      <c r="GH283" s="22"/>
      <c r="GI283" s="20"/>
      <c r="GJ283" s="22"/>
      <c r="GK283" s="20"/>
      <c r="GL283" s="22"/>
      <c r="GM283" s="20"/>
      <c r="GN283" s="22"/>
      <c r="GO283" s="20"/>
      <c r="GP283" s="22"/>
      <c r="GQ283" s="20"/>
      <c r="GR283" s="22"/>
      <c r="GS283" s="20"/>
      <c r="GT283" s="22"/>
      <c r="GU283" s="20"/>
      <c r="GV283" s="22"/>
      <c r="GW283" s="20"/>
      <c r="GX283" s="22"/>
      <c r="GY283" s="20"/>
      <c r="GZ283" s="22"/>
      <c r="HA283" s="20"/>
      <c r="HB283" s="22"/>
      <c r="HC283" s="20"/>
      <c r="HD283" s="22"/>
      <c r="HE283" s="20"/>
      <c r="HF283" s="22"/>
      <c r="HG283" s="20"/>
      <c r="HH283" s="22"/>
      <c r="HI283" s="20"/>
      <c r="HJ283" s="22"/>
      <c r="HK283" s="20"/>
      <c r="HL283" s="22"/>
      <c r="HM283" s="20"/>
      <c r="HN283" s="22"/>
      <c r="HO283" s="20"/>
      <c r="HP283" s="22"/>
      <c r="HQ283" s="20"/>
      <c r="HR283" s="22"/>
      <c r="HS283" s="20"/>
      <c r="HT283" s="22"/>
      <c r="HU283" s="20"/>
      <c r="HV283" s="22"/>
      <c r="HW283" s="20"/>
      <c r="HX283" s="22"/>
      <c r="HY283" s="20"/>
      <c r="HZ283" s="22"/>
      <c r="IA283" s="20"/>
      <c r="IB283" s="22"/>
      <c r="IC283" s="20"/>
      <c r="ID283" s="22"/>
      <c r="IE283" s="20"/>
      <c r="IF283" s="22"/>
      <c r="IG283" s="20"/>
      <c r="IH283" s="22"/>
      <c r="II283" s="20"/>
      <c r="IJ283" s="22"/>
      <c r="IK283" s="20"/>
      <c r="IL283" s="22"/>
      <c r="IM283" s="20"/>
      <c r="IN283" s="22"/>
      <c r="IO283" s="20"/>
      <c r="IP283" s="22"/>
      <c r="IQ283" s="20"/>
      <c r="IR283" s="22"/>
      <c r="IS283" s="20"/>
      <c r="IT283" s="22"/>
      <c r="IU283" s="20"/>
      <c r="IV283" s="22"/>
      <c r="IW283" s="20"/>
      <c r="IX283" s="22"/>
      <c r="IY283" s="20"/>
      <c r="IZ283" s="22"/>
      <c r="JA283" s="20"/>
      <c r="JB283" s="22"/>
      <c r="JC283" s="20"/>
      <c r="JD283" s="22"/>
      <c r="JE283" s="20"/>
      <c r="JF283" s="22"/>
      <c r="JG283" s="20"/>
      <c r="JH283" s="22"/>
      <c r="JI283" s="20"/>
      <c r="JJ283" s="22"/>
      <c r="JK283" s="20"/>
      <c r="JL283" s="22"/>
      <c r="JM283" s="20"/>
      <c r="JN283" s="22"/>
      <c r="JO283" s="20"/>
      <c r="JP283" s="22"/>
      <c r="JQ283" s="20"/>
      <c r="JR283" s="22"/>
      <c r="JS283" s="20"/>
      <c r="JT283" s="22"/>
      <c r="JU283" s="20"/>
      <c r="JV283" s="22"/>
      <c r="JW283" s="20"/>
      <c r="JX283" s="22"/>
      <c r="JY283" s="20"/>
      <c r="JZ283" s="22"/>
      <c r="KA283" s="20"/>
      <c r="KB283" s="22"/>
      <c r="KC283" s="20"/>
      <c r="KD283" s="22"/>
      <c r="KE283" s="20"/>
      <c r="KF283" s="22"/>
      <c r="KG283" s="20"/>
      <c r="KH283" s="22"/>
      <c r="KI283" s="20"/>
      <c r="KJ283" s="22"/>
      <c r="KK283" s="20"/>
      <c r="KL283" s="22"/>
      <c r="KM283" s="20"/>
      <c r="KN283" s="22"/>
      <c r="KO283" s="20"/>
      <c r="KP283" s="22"/>
      <c r="KQ283" s="20"/>
      <c r="KR283" s="22"/>
      <c r="KS283" s="20"/>
      <c r="KT283" s="22"/>
      <c r="KU283" s="20"/>
      <c r="KV283" s="22"/>
      <c r="KW283" s="20"/>
      <c r="KX283" s="22"/>
      <c r="KY283" s="20"/>
      <c r="KZ283" s="22"/>
      <c r="LA283" s="20"/>
      <c r="LB283" s="22"/>
      <c r="LC283" s="20"/>
      <c r="LD283" s="22"/>
      <c r="LE283" s="20"/>
      <c r="LF283" s="22"/>
      <c r="LG283" s="20"/>
      <c r="LH283" s="22"/>
      <c r="LI283" s="20"/>
      <c r="LJ283" s="22"/>
      <c r="LK283" s="20"/>
      <c r="LL283" s="22"/>
      <c r="LM283" s="20"/>
      <c r="LN283" s="22"/>
      <c r="LO283" s="20"/>
      <c r="LP283" s="22"/>
      <c r="LQ283" s="20"/>
      <c r="LR283" s="22"/>
      <c r="LS283" s="20"/>
      <c r="LT283" s="22"/>
      <c r="LU283" s="20"/>
      <c r="LV283" s="22"/>
      <c r="LW283" s="20"/>
      <c r="LX283" s="22"/>
      <c r="LY283" s="20"/>
      <c r="LZ283" s="22"/>
      <c r="MA283" s="20"/>
      <c r="MB283" s="22"/>
      <c r="MC283" s="20"/>
      <c r="MD283" s="22"/>
      <c r="ME283" s="20"/>
      <c r="MF283" s="22"/>
      <c r="MG283" s="20"/>
      <c r="MH283" s="22"/>
      <c r="MI283" s="20"/>
      <c r="MJ283" s="22"/>
      <c r="MK283" s="20"/>
      <c r="ML283" s="22"/>
      <c r="MM283" s="20"/>
      <c r="MN283" s="22"/>
      <c r="MO283" s="20"/>
      <c r="MP283" s="22"/>
      <c r="MQ283" s="20"/>
      <c r="MR283" s="22"/>
      <c r="MS283" s="20"/>
      <c r="MT283" s="22"/>
      <c r="MU283" s="20"/>
      <c r="MV283" s="22"/>
      <c r="MW283" s="20"/>
      <c r="MX283" s="22"/>
      <c r="MY283" s="20"/>
      <c r="MZ283" s="22"/>
      <c r="NA283" s="20"/>
      <c r="NB283" s="22"/>
      <c r="NC283" s="20"/>
      <c r="ND283" s="22"/>
      <c r="NE283" s="20"/>
      <c r="NF283" s="73"/>
    </row>
    <row r="284">
      <c r="A284" s="237" t="str">
        <f t="shared" si="2"/>
        <v>-</v>
      </c>
      <c r="B284" s="267"/>
      <c r="C284" s="239"/>
      <c r="D284" s="290"/>
      <c r="E284" s="242" t="s">
        <v>12</v>
      </c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  <c r="CI284" s="73"/>
      <c r="CJ284" s="73"/>
      <c r="CK284" s="73"/>
      <c r="CL284" s="73"/>
      <c r="CM284" s="73"/>
      <c r="CN284" s="73"/>
      <c r="CO284" s="73"/>
      <c r="CP284" s="73"/>
      <c r="CQ284" s="73"/>
      <c r="CR284" s="73"/>
      <c r="CS284" s="73"/>
      <c r="CT284" s="73"/>
      <c r="CU284" s="73"/>
      <c r="CV284" s="73"/>
      <c r="CW284" s="73"/>
      <c r="CX284" s="73"/>
      <c r="CY284" s="73"/>
      <c r="CZ284" s="73"/>
      <c r="DA284" s="73"/>
      <c r="DB284" s="73"/>
      <c r="DC284" s="73"/>
      <c r="DD284" s="73"/>
      <c r="DE284" s="73"/>
      <c r="DF284" s="73"/>
      <c r="DG284" s="73"/>
      <c r="DH284" s="73"/>
      <c r="DI284" s="73"/>
      <c r="DJ284" s="73"/>
      <c r="DK284" s="73"/>
      <c r="DL284" s="73"/>
      <c r="DM284" s="73"/>
      <c r="DN284" s="73"/>
      <c r="DO284" s="73"/>
      <c r="DP284" s="73"/>
      <c r="DQ284" s="73"/>
      <c r="DR284" s="73"/>
      <c r="DS284" s="73"/>
      <c r="DT284" s="73"/>
      <c r="DU284" s="73"/>
      <c r="DV284" s="22"/>
      <c r="DW284" s="20"/>
      <c r="DX284" s="22"/>
      <c r="DY284" s="20"/>
      <c r="DZ284" s="22"/>
      <c r="EA284" s="20"/>
      <c r="EB284" s="22"/>
      <c r="EC284" s="20"/>
      <c r="ED284" s="22"/>
      <c r="EE284" s="20"/>
      <c r="EF284" s="22"/>
      <c r="EG284" s="20"/>
      <c r="EH284" s="22"/>
      <c r="EI284" s="20"/>
      <c r="EJ284" s="22"/>
      <c r="EK284" s="20"/>
      <c r="EL284" s="22"/>
      <c r="EM284" s="20"/>
      <c r="EN284" s="22"/>
      <c r="EO284" s="20"/>
      <c r="EP284" s="22"/>
      <c r="EQ284" s="20"/>
      <c r="ER284" s="22"/>
      <c r="ES284" s="20"/>
      <c r="ET284" s="22"/>
      <c r="EU284" s="20"/>
      <c r="EV284" s="22"/>
      <c r="EW284" s="20"/>
      <c r="EX284" s="22"/>
      <c r="EY284" s="20"/>
      <c r="EZ284" s="22"/>
      <c r="FA284" s="20"/>
      <c r="FB284" s="22"/>
      <c r="FC284" s="20"/>
      <c r="FD284" s="22"/>
      <c r="FE284" s="20"/>
      <c r="FF284" s="22"/>
      <c r="FG284" s="20"/>
      <c r="FH284" s="22"/>
      <c r="FI284" s="20"/>
      <c r="FJ284" s="22"/>
      <c r="FK284" s="20"/>
      <c r="FL284" s="22"/>
      <c r="FM284" s="20"/>
      <c r="FN284" s="22"/>
      <c r="FO284" s="20"/>
      <c r="FP284" s="22"/>
      <c r="FQ284" s="20"/>
      <c r="FR284" s="22"/>
      <c r="FS284" s="20"/>
      <c r="FT284" s="22"/>
      <c r="FU284" s="20"/>
      <c r="FV284" s="22"/>
      <c r="FW284" s="20"/>
      <c r="FX284" s="22"/>
      <c r="FY284" s="20"/>
      <c r="FZ284" s="22"/>
      <c r="GA284" s="20"/>
      <c r="GB284" s="22"/>
      <c r="GC284" s="20"/>
      <c r="GD284" s="22"/>
      <c r="GE284" s="20"/>
      <c r="GF284" s="22"/>
      <c r="GG284" s="20"/>
      <c r="GH284" s="22"/>
      <c r="GI284" s="20"/>
      <c r="GJ284" s="22"/>
      <c r="GK284" s="20"/>
      <c r="GL284" s="22"/>
      <c r="GM284" s="20"/>
      <c r="GN284" s="22"/>
      <c r="GO284" s="20"/>
      <c r="GP284" s="22"/>
      <c r="GQ284" s="20"/>
      <c r="GR284" s="22"/>
      <c r="GS284" s="20"/>
      <c r="GT284" s="22"/>
      <c r="GU284" s="20"/>
      <c r="GV284" s="22"/>
      <c r="GW284" s="20"/>
      <c r="GX284" s="22"/>
      <c r="GY284" s="20"/>
      <c r="GZ284" s="22"/>
      <c r="HA284" s="20"/>
      <c r="HB284" s="22"/>
      <c r="HC284" s="20"/>
      <c r="HD284" s="22"/>
      <c r="HE284" s="20"/>
      <c r="HF284" s="22"/>
      <c r="HG284" s="20"/>
      <c r="HH284" s="22"/>
      <c r="HI284" s="20"/>
      <c r="HJ284" s="22"/>
      <c r="HK284" s="20"/>
      <c r="HL284" s="22"/>
      <c r="HM284" s="20"/>
      <c r="HN284" s="22"/>
      <c r="HO284" s="20"/>
      <c r="HP284" s="22"/>
      <c r="HQ284" s="20"/>
      <c r="HR284" s="22"/>
      <c r="HS284" s="20"/>
      <c r="HT284" s="22"/>
      <c r="HU284" s="20"/>
      <c r="HV284" s="22"/>
      <c r="HW284" s="20"/>
      <c r="HX284" s="22"/>
      <c r="HY284" s="20"/>
      <c r="HZ284" s="22"/>
      <c r="IA284" s="20"/>
      <c r="IB284" s="22"/>
      <c r="IC284" s="20"/>
      <c r="ID284" s="22"/>
      <c r="IE284" s="20"/>
      <c r="IF284" s="22"/>
      <c r="IG284" s="20"/>
      <c r="IH284" s="22"/>
      <c r="II284" s="20"/>
      <c r="IJ284" s="22"/>
      <c r="IK284" s="20"/>
      <c r="IL284" s="22"/>
      <c r="IM284" s="20"/>
      <c r="IN284" s="22"/>
      <c r="IO284" s="20"/>
      <c r="IP284" s="22"/>
      <c r="IQ284" s="20"/>
      <c r="IR284" s="22"/>
      <c r="IS284" s="20"/>
      <c r="IT284" s="22"/>
      <c r="IU284" s="20"/>
      <c r="IV284" s="22"/>
      <c r="IW284" s="20"/>
      <c r="IX284" s="22"/>
      <c r="IY284" s="20"/>
      <c r="IZ284" s="22"/>
      <c r="JA284" s="20"/>
      <c r="JB284" s="22"/>
      <c r="JC284" s="20"/>
      <c r="JD284" s="22"/>
      <c r="JE284" s="20"/>
      <c r="JF284" s="22"/>
      <c r="JG284" s="20"/>
      <c r="JH284" s="22"/>
      <c r="JI284" s="20"/>
      <c r="JJ284" s="22"/>
      <c r="JK284" s="20"/>
      <c r="JL284" s="22"/>
      <c r="JM284" s="20"/>
      <c r="JN284" s="22"/>
      <c r="JO284" s="20"/>
      <c r="JP284" s="22"/>
      <c r="JQ284" s="20"/>
      <c r="JR284" s="22"/>
      <c r="JS284" s="20"/>
      <c r="JT284" s="22"/>
      <c r="JU284" s="20"/>
      <c r="JV284" s="22"/>
      <c r="JW284" s="20"/>
      <c r="JX284" s="22"/>
      <c r="JY284" s="20"/>
      <c r="JZ284" s="22"/>
      <c r="KA284" s="20"/>
      <c r="KB284" s="22"/>
      <c r="KC284" s="20"/>
      <c r="KD284" s="22"/>
      <c r="KE284" s="20"/>
      <c r="KF284" s="22"/>
      <c r="KG284" s="20"/>
      <c r="KH284" s="22"/>
      <c r="KI284" s="20"/>
      <c r="KJ284" s="22"/>
      <c r="KK284" s="20"/>
      <c r="KL284" s="22"/>
      <c r="KM284" s="20"/>
      <c r="KN284" s="22"/>
      <c r="KO284" s="20"/>
      <c r="KP284" s="22"/>
      <c r="KQ284" s="20"/>
      <c r="KR284" s="22"/>
      <c r="KS284" s="20"/>
      <c r="KT284" s="22"/>
      <c r="KU284" s="20"/>
      <c r="KV284" s="22"/>
      <c r="KW284" s="20"/>
      <c r="KX284" s="22"/>
      <c r="KY284" s="20"/>
      <c r="KZ284" s="22"/>
      <c r="LA284" s="20"/>
      <c r="LB284" s="22"/>
      <c r="LC284" s="20"/>
      <c r="LD284" s="22"/>
      <c r="LE284" s="20"/>
      <c r="LF284" s="22"/>
      <c r="LG284" s="20"/>
      <c r="LH284" s="22"/>
      <c r="LI284" s="20"/>
      <c r="LJ284" s="22"/>
      <c r="LK284" s="20"/>
      <c r="LL284" s="22"/>
      <c r="LM284" s="20"/>
      <c r="LN284" s="22"/>
      <c r="LO284" s="20"/>
      <c r="LP284" s="22"/>
      <c r="LQ284" s="20"/>
      <c r="LR284" s="22"/>
      <c r="LS284" s="20"/>
      <c r="LT284" s="22"/>
      <c r="LU284" s="20"/>
      <c r="LV284" s="22"/>
      <c r="LW284" s="20"/>
      <c r="LX284" s="22"/>
      <c r="LY284" s="20"/>
      <c r="LZ284" s="22"/>
      <c r="MA284" s="20"/>
      <c r="MB284" s="22"/>
      <c r="MC284" s="20"/>
      <c r="MD284" s="22"/>
      <c r="ME284" s="20"/>
      <c r="MF284" s="22"/>
      <c r="MG284" s="20"/>
      <c r="MH284" s="22"/>
      <c r="MI284" s="20"/>
      <c r="MJ284" s="22"/>
      <c r="MK284" s="20"/>
      <c r="ML284" s="22"/>
      <c r="MM284" s="20"/>
      <c r="MN284" s="22"/>
      <c r="MO284" s="20"/>
      <c r="MP284" s="22"/>
      <c r="MQ284" s="20"/>
      <c r="MR284" s="22"/>
      <c r="MS284" s="20"/>
      <c r="MT284" s="22"/>
      <c r="MU284" s="20"/>
      <c r="MV284" s="22"/>
      <c r="MW284" s="20"/>
      <c r="MX284" s="22"/>
      <c r="MY284" s="20"/>
      <c r="MZ284" s="22"/>
      <c r="NA284" s="20"/>
      <c r="NB284" s="22"/>
      <c r="NC284" s="20"/>
      <c r="ND284" s="22"/>
      <c r="NE284" s="20"/>
      <c r="NF284" s="73"/>
    </row>
    <row r="285">
      <c r="A285" s="237" t="str">
        <f t="shared" si="2"/>
        <v>-</v>
      </c>
      <c r="B285" s="267"/>
      <c r="C285" s="239"/>
      <c r="D285" s="290"/>
      <c r="E285" s="242" t="s">
        <v>12</v>
      </c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  <c r="CI285" s="73"/>
      <c r="CJ285" s="73"/>
      <c r="CK285" s="73"/>
      <c r="CL285" s="73"/>
      <c r="CM285" s="73"/>
      <c r="CN285" s="73"/>
      <c r="CO285" s="73"/>
      <c r="CP285" s="73"/>
      <c r="CQ285" s="73"/>
      <c r="CR285" s="73"/>
      <c r="CS285" s="73"/>
      <c r="CT285" s="73"/>
      <c r="CU285" s="73"/>
      <c r="CV285" s="73"/>
      <c r="CW285" s="73"/>
      <c r="CX285" s="73"/>
      <c r="CY285" s="73"/>
      <c r="CZ285" s="73"/>
      <c r="DA285" s="73"/>
      <c r="DB285" s="73"/>
      <c r="DC285" s="73"/>
      <c r="DD285" s="73"/>
      <c r="DE285" s="73"/>
      <c r="DF285" s="73"/>
      <c r="DG285" s="73"/>
      <c r="DH285" s="73"/>
      <c r="DI285" s="73"/>
      <c r="DJ285" s="73"/>
      <c r="DK285" s="73"/>
      <c r="DL285" s="73"/>
      <c r="DM285" s="73"/>
      <c r="DN285" s="73"/>
      <c r="DO285" s="73"/>
      <c r="DP285" s="73"/>
      <c r="DQ285" s="73"/>
      <c r="DR285" s="73"/>
      <c r="DS285" s="73"/>
      <c r="DT285" s="73"/>
      <c r="DU285" s="73"/>
      <c r="DV285" s="22"/>
      <c r="DW285" s="20"/>
      <c r="DX285" s="22"/>
      <c r="DY285" s="20"/>
      <c r="DZ285" s="22"/>
      <c r="EA285" s="20"/>
      <c r="EB285" s="22"/>
      <c r="EC285" s="20"/>
      <c r="ED285" s="22"/>
      <c r="EE285" s="20"/>
      <c r="EF285" s="22"/>
      <c r="EG285" s="20"/>
      <c r="EH285" s="22"/>
      <c r="EI285" s="20"/>
      <c r="EJ285" s="22"/>
      <c r="EK285" s="20"/>
      <c r="EL285" s="22"/>
      <c r="EM285" s="20"/>
      <c r="EN285" s="22"/>
      <c r="EO285" s="20"/>
      <c r="EP285" s="22"/>
      <c r="EQ285" s="20"/>
      <c r="ER285" s="22"/>
      <c r="ES285" s="20"/>
      <c r="ET285" s="22"/>
      <c r="EU285" s="20"/>
      <c r="EV285" s="22"/>
      <c r="EW285" s="20"/>
      <c r="EX285" s="22"/>
      <c r="EY285" s="20"/>
      <c r="EZ285" s="22"/>
      <c r="FA285" s="20"/>
      <c r="FB285" s="22"/>
      <c r="FC285" s="20"/>
      <c r="FD285" s="22"/>
      <c r="FE285" s="20"/>
      <c r="FF285" s="22"/>
      <c r="FG285" s="20"/>
      <c r="FH285" s="22"/>
      <c r="FI285" s="20"/>
      <c r="FJ285" s="22"/>
      <c r="FK285" s="20"/>
      <c r="FL285" s="22"/>
      <c r="FM285" s="20"/>
      <c r="FN285" s="22"/>
      <c r="FO285" s="20"/>
      <c r="FP285" s="22"/>
      <c r="FQ285" s="20"/>
      <c r="FR285" s="22"/>
      <c r="FS285" s="20"/>
      <c r="FT285" s="22"/>
      <c r="FU285" s="20"/>
      <c r="FV285" s="22"/>
      <c r="FW285" s="20"/>
      <c r="FX285" s="22"/>
      <c r="FY285" s="20"/>
      <c r="FZ285" s="22"/>
      <c r="GA285" s="20"/>
      <c r="GB285" s="22"/>
      <c r="GC285" s="20"/>
      <c r="GD285" s="22"/>
      <c r="GE285" s="20"/>
      <c r="GF285" s="22"/>
      <c r="GG285" s="20"/>
      <c r="GH285" s="22"/>
      <c r="GI285" s="20"/>
      <c r="GJ285" s="22"/>
      <c r="GK285" s="20"/>
      <c r="GL285" s="22"/>
      <c r="GM285" s="20"/>
      <c r="GN285" s="22"/>
      <c r="GO285" s="20"/>
      <c r="GP285" s="22"/>
      <c r="GQ285" s="20"/>
      <c r="GR285" s="22"/>
      <c r="GS285" s="20"/>
      <c r="GT285" s="22"/>
      <c r="GU285" s="20"/>
      <c r="GV285" s="22"/>
      <c r="GW285" s="20"/>
      <c r="GX285" s="22"/>
      <c r="GY285" s="20"/>
      <c r="GZ285" s="22"/>
      <c r="HA285" s="20"/>
      <c r="HB285" s="22"/>
      <c r="HC285" s="20"/>
      <c r="HD285" s="22"/>
      <c r="HE285" s="20"/>
      <c r="HF285" s="22"/>
      <c r="HG285" s="20"/>
      <c r="HH285" s="22"/>
      <c r="HI285" s="20"/>
      <c r="HJ285" s="22"/>
      <c r="HK285" s="20"/>
      <c r="HL285" s="22"/>
      <c r="HM285" s="20"/>
      <c r="HN285" s="22"/>
      <c r="HO285" s="20"/>
      <c r="HP285" s="22"/>
      <c r="HQ285" s="20"/>
      <c r="HR285" s="22"/>
      <c r="HS285" s="20"/>
      <c r="HT285" s="22"/>
      <c r="HU285" s="20"/>
      <c r="HV285" s="22"/>
      <c r="HW285" s="20"/>
      <c r="HX285" s="22"/>
      <c r="HY285" s="20"/>
      <c r="HZ285" s="22"/>
      <c r="IA285" s="20"/>
      <c r="IB285" s="22"/>
      <c r="IC285" s="20"/>
      <c r="ID285" s="22"/>
      <c r="IE285" s="20"/>
      <c r="IF285" s="22"/>
      <c r="IG285" s="20"/>
      <c r="IH285" s="22"/>
      <c r="II285" s="20"/>
      <c r="IJ285" s="22"/>
      <c r="IK285" s="20"/>
      <c r="IL285" s="22"/>
      <c r="IM285" s="20"/>
      <c r="IN285" s="22"/>
      <c r="IO285" s="20"/>
      <c r="IP285" s="22"/>
      <c r="IQ285" s="20"/>
      <c r="IR285" s="22"/>
      <c r="IS285" s="20"/>
      <c r="IT285" s="22"/>
      <c r="IU285" s="20"/>
      <c r="IV285" s="22"/>
      <c r="IW285" s="20"/>
      <c r="IX285" s="22"/>
      <c r="IY285" s="20"/>
      <c r="IZ285" s="22"/>
      <c r="JA285" s="20"/>
      <c r="JB285" s="22"/>
      <c r="JC285" s="20"/>
      <c r="JD285" s="22"/>
      <c r="JE285" s="20"/>
      <c r="JF285" s="22"/>
      <c r="JG285" s="20"/>
      <c r="JH285" s="22"/>
      <c r="JI285" s="20"/>
      <c r="JJ285" s="22"/>
      <c r="JK285" s="20"/>
      <c r="JL285" s="22"/>
      <c r="JM285" s="20"/>
      <c r="JN285" s="22"/>
      <c r="JO285" s="20"/>
      <c r="JP285" s="22"/>
      <c r="JQ285" s="20"/>
      <c r="JR285" s="22"/>
      <c r="JS285" s="20"/>
      <c r="JT285" s="22"/>
      <c r="JU285" s="20"/>
      <c r="JV285" s="22"/>
      <c r="JW285" s="20"/>
      <c r="JX285" s="22"/>
      <c r="JY285" s="20"/>
      <c r="JZ285" s="22"/>
      <c r="KA285" s="20"/>
      <c r="KB285" s="22"/>
      <c r="KC285" s="20"/>
      <c r="KD285" s="22"/>
      <c r="KE285" s="20"/>
      <c r="KF285" s="22"/>
      <c r="KG285" s="20"/>
      <c r="KH285" s="22"/>
      <c r="KI285" s="20"/>
      <c r="KJ285" s="22"/>
      <c r="KK285" s="20"/>
      <c r="KL285" s="22"/>
      <c r="KM285" s="20"/>
      <c r="KN285" s="22"/>
      <c r="KO285" s="20"/>
      <c r="KP285" s="22"/>
      <c r="KQ285" s="20"/>
      <c r="KR285" s="22"/>
      <c r="KS285" s="20"/>
      <c r="KT285" s="22"/>
      <c r="KU285" s="20"/>
      <c r="KV285" s="22"/>
      <c r="KW285" s="20"/>
      <c r="KX285" s="22"/>
      <c r="KY285" s="20"/>
      <c r="KZ285" s="22"/>
      <c r="LA285" s="20"/>
      <c r="LB285" s="22"/>
      <c r="LC285" s="20"/>
      <c r="LD285" s="22"/>
      <c r="LE285" s="20"/>
      <c r="LF285" s="22"/>
      <c r="LG285" s="20"/>
      <c r="LH285" s="22"/>
      <c r="LI285" s="20"/>
      <c r="LJ285" s="22"/>
      <c r="LK285" s="20"/>
      <c r="LL285" s="22"/>
      <c r="LM285" s="20"/>
      <c r="LN285" s="22"/>
      <c r="LO285" s="20"/>
      <c r="LP285" s="22"/>
      <c r="LQ285" s="20"/>
      <c r="LR285" s="22"/>
      <c r="LS285" s="20"/>
      <c r="LT285" s="22"/>
      <c r="LU285" s="20"/>
      <c r="LV285" s="22"/>
      <c r="LW285" s="20"/>
      <c r="LX285" s="22"/>
      <c r="LY285" s="20"/>
      <c r="LZ285" s="22"/>
      <c r="MA285" s="20"/>
      <c r="MB285" s="22"/>
      <c r="MC285" s="20"/>
      <c r="MD285" s="22"/>
      <c r="ME285" s="20"/>
      <c r="MF285" s="22"/>
      <c r="MG285" s="20"/>
      <c r="MH285" s="22"/>
      <c r="MI285" s="20"/>
      <c r="MJ285" s="22"/>
      <c r="MK285" s="20"/>
      <c r="ML285" s="22"/>
      <c r="MM285" s="20"/>
      <c r="MN285" s="22"/>
      <c r="MO285" s="20"/>
      <c r="MP285" s="22"/>
      <c r="MQ285" s="20"/>
      <c r="MR285" s="22"/>
      <c r="MS285" s="20"/>
      <c r="MT285" s="22"/>
      <c r="MU285" s="20"/>
      <c r="MV285" s="22"/>
      <c r="MW285" s="20"/>
      <c r="MX285" s="22"/>
      <c r="MY285" s="20"/>
      <c r="MZ285" s="22"/>
      <c r="NA285" s="20"/>
      <c r="NB285" s="22"/>
      <c r="NC285" s="20"/>
      <c r="ND285" s="22"/>
      <c r="NE285" s="20"/>
      <c r="NF285" s="73"/>
    </row>
    <row r="286">
      <c r="A286" s="237" t="str">
        <f t="shared" si="2"/>
        <v>-</v>
      </c>
      <c r="B286" s="267"/>
      <c r="C286" s="239"/>
      <c r="D286" s="290"/>
      <c r="E286" s="242" t="s">
        <v>12</v>
      </c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  <c r="CI286" s="73"/>
      <c r="CJ286" s="73"/>
      <c r="CK286" s="73"/>
      <c r="CL286" s="73"/>
      <c r="CM286" s="73"/>
      <c r="CN286" s="73"/>
      <c r="CO286" s="73"/>
      <c r="CP286" s="73"/>
      <c r="CQ286" s="73"/>
      <c r="CR286" s="73"/>
      <c r="CS286" s="73"/>
      <c r="CT286" s="73"/>
      <c r="CU286" s="73"/>
      <c r="CV286" s="73"/>
      <c r="CW286" s="73"/>
      <c r="CX286" s="73"/>
      <c r="CY286" s="73"/>
      <c r="CZ286" s="73"/>
      <c r="DA286" s="73"/>
      <c r="DB286" s="73"/>
      <c r="DC286" s="73"/>
      <c r="DD286" s="73"/>
      <c r="DE286" s="73"/>
      <c r="DF286" s="73"/>
      <c r="DG286" s="73"/>
      <c r="DH286" s="73"/>
      <c r="DI286" s="73"/>
      <c r="DJ286" s="73"/>
      <c r="DK286" s="73"/>
      <c r="DL286" s="73"/>
      <c r="DM286" s="73"/>
      <c r="DN286" s="73"/>
      <c r="DO286" s="73"/>
      <c r="DP286" s="73"/>
      <c r="DQ286" s="73"/>
      <c r="DR286" s="73"/>
      <c r="DS286" s="73"/>
      <c r="DT286" s="73"/>
      <c r="DU286" s="73"/>
      <c r="DV286" s="22"/>
      <c r="DW286" s="20"/>
      <c r="DX286" s="22"/>
      <c r="DY286" s="20"/>
      <c r="DZ286" s="22"/>
      <c r="EA286" s="20"/>
      <c r="EB286" s="22"/>
      <c r="EC286" s="20"/>
      <c r="ED286" s="22"/>
      <c r="EE286" s="20"/>
      <c r="EF286" s="22"/>
      <c r="EG286" s="20"/>
      <c r="EH286" s="22"/>
      <c r="EI286" s="20"/>
      <c r="EJ286" s="22"/>
      <c r="EK286" s="20"/>
      <c r="EL286" s="22"/>
      <c r="EM286" s="20"/>
      <c r="EN286" s="22"/>
      <c r="EO286" s="20"/>
      <c r="EP286" s="22"/>
      <c r="EQ286" s="20"/>
      <c r="ER286" s="22"/>
      <c r="ES286" s="20"/>
      <c r="ET286" s="22"/>
      <c r="EU286" s="20"/>
      <c r="EV286" s="22"/>
      <c r="EW286" s="20"/>
      <c r="EX286" s="22"/>
      <c r="EY286" s="20"/>
      <c r="EZ286" s="22"/>
      <c r="FA286" s="20"/>
      <c r="FB286" s="22"/>
      <c r="FC286" s="20"/>
      <c r="FD286" s="22"/>
      <c r="FE286" s="20"/>
      <c r="FF286" s="22"/>
      <c r="FG286" s="20"/>
      <c r="FH286" s="22"/>
      <c r="FI286" s="20"/>
      <c r="FJ286" s="22"/>
      <c r="FK286" s="20"/>
      <c r="FL286" s="22"/>
      <c r="FM286" s="20"/>
      <c r="FN286" s="22"/>
      <c r="FO286" s="20"/>
      <c r="FP286" s="22"/>
      <c r="FQ286" s="20"/>
      <c r="FR286" s="22"/>
      <c r="FS286" s="20"/>
      <c r="FT286" s="22"/>
      <c r="FU286" s="20"/>
      <c r="FV286" s="22"/>
      <c r="FW286" s="20"/>
      <c r="FX286" s="22"/>
      <c r="FY286" s="20"/>
      <c r="FZ286" s="22"/>
      <c r="GA286" s="20"/>
      <c r="GB286" s="22"/>
      <c r="GC286" s="20"/>
      <c r="GD286" s="22"/>
      <c r="GE286" s="20"/>
      <c r="GF286" s="22"/>
      <c r="GG286" s="20"/>
      <c r="GH286" s="22"/>
      <c r="GI286" s="20"/>
      <c r="GJ286" s="22"/>
      <c r="GK286" s="20"/>
      <c r="GL286" s="22"/>
      <c r="GM286" s="20"/>
      <c r="GN286" s="22"/>
      <c r="GO286" s="20"/>
      <c r="GP286" s="22"/>
      <c r="GQ286" s="20"/>
      <c r="GR286" s="22"/>
      <c r="GS286" s="20"/>
      <c r="GT286" s="22"/>
      <c r="GU286" s="20"/>
      <c r="GV286" s="22"/>
      <c r="GW286" s="20"/>
      <c r="GX286" s="22"/>
      <c r="GY286" s="20"/>
      <c r="GZ286" s="22"/>
      <c r="HA286" s="20"/>
      <c r="HB286" s="22"/>
      <c r="HC286" s="20"/>
      <c r="HD286" s="22"/>
      <c r="HE286" s="20"/>
      <c r="HF286" s="22"/>
      <c r="HG286" s="20"/>
      <c r="HH286" s="22"/>
      <c r="HI286" s="20"/>
      <c r="HJ286" s="22"/>
      <c r="HK286" s="20"/>
      <c r="HL286" s="22"/>
      <c r="HM286" s="20"/>
      <c r="HN286" s="22"/>
      <c r="HO286" s="20"/>
      <c r="HP286" s="22"/>
      <c r="HQ286" s="20"/>
      <c r="HR286" s="22"/>
      <c r="HS286" s="20"/>
      <c r="HT286" s="22"/>
      <c r="HU286" s="20"/>
      <c r="HV286" s="22"/>
      <c r="HW286" s="20"/>
      <c r="HX286" s="22"/>
      <c r="HY286" s="20"/>
      <c r="HZ286" s="22"/>
      <c r="IA286" s="20"/>
      <c r="IB286" s="22"/>
      <c r="IC286" s="20"/>
      <c r="ID286" s="22"/>
      <c r="IE286" s="20"/>
      <c r="IF286" s="22"/>
      <c r="IG286" s="20"/>
      <c r="IH286" s="22"/>
      <c r="II286" s="20"/>
      <c r="IJ286" s="22"/>
      <c r="IK286" s="20"/>
      <c r="IL286" s="22"/>
      <c r="IM286" s="20"/>
      <c r="IN286" s="22"/>
      <c r="IO286" s="20"/>
      <c r="IP286" s="22"/>
      <c r="IQ286" s="20"/>
      <c r="IR286" s="22"/>
      <c r="IS286" s="20"/>
      <c r="IT286" s="22"/>
      <c r="IU286" s="20"/>
      <c r="IV286" s="22"/>
      <c r="IW286" s="20"/>
      <c r="IX286" s="22"/>
      <c r="IY286" s="20"/>
      <c r="IZ286" s="22"/>
      <c r="JA286" s="20"/>
      <c r="JB286" s="22"/>
      <c r="JC286" s="20"/>
      <c r="JD286" s="22"/>
      <c r="JE286" s="20"/>
      <c r="JF286" s="22"/>
      <c r="JG286" s="20"/>
      <c r="JH286" s="22"/>
      <c r="JI286" s="20"/>
      <c r="JJ286" s="22"/>
      <c r="JK286" s="20"/>
      <c r="JL286" s="22"/>
      <c r="JM286" s="20"/>
      <c r="JN286" s="22"/>
      <c r="JO286" s="20"/>
      <c r="JP286" s="22"/>
      <c r="JQ286" s="20"/>
      <c r="JR286" s="22"/>
      <c r="JS286" s="20"/>
      <c r="JT286" s="22"/>
      <c r="JU286" s="20"/>
      <c r="JV286" s="22"/>
      <c r="JW286" s="20"/>
      <c r="JX286" s="22"/>
      <c r="JY286" s="20"/>
      <c r="JZ286" s="22"/>
      <c r="KA286" s="20"/>
      <c r="KB286" s="22"/>
      <c r="KC286" s="20"/>
      <c r="KD286" s="22"/>
      <c r="KE286" s="20"/>
      <c r="KF286" s="22"/>
      <c r="KG286" s="20"/>
      <c r="KH286" s="22"/>
      <c r="KI286" s="20"/>
      <c r="KJ286" s="22"/>
      <c r="KK286" s="20"/>
      <c r="KL286" s="22"/>
      <c r="KM286" s="20"/>
      <c r="KN286" s="22"/>
      <c r="KO286" s="20"/>
      <c r="KP286" s="22"/>
      <c r="KQ286" s="20"/>
      <c r="KR286" s="22"/>
      <c r="KS286" s="20"/>
      <c r="KT286" s="22"/>
      <c r="KU286" s="20"/>
      <c r="KV286" s="22"/>
      <c r="KW286" s="20"/>
      <c r="KX286" s="22"/>
      <c r="KY286" s="20"/>
      <c r="KZ286" s="22"/>
      <c r="LA286" s="20"/>
      <c r="LB286" s="22"/>
      <c r="LC286" s="20"/>
      <c r="LD286" s="22"/>
      <c r="LE286" s="20"/>
      <c r="LF286" s="22"/>
      <c r="LG286" s="20"/>
      <c r="LH286" s="22"/>
      <c r="LI286" s="20"/>
      <c r="LJ286" s="22"/>
      <c r="LK286" s="20"/>
      <c r="LL286" s="22"/>
      <c r="LM286" s="20"/>
      <c r="LN286" s="22"/>
      <c r="LO286" s="20"/>
      <c r="LP286" s="22"/>
      <c r="LQ286" s="20"/>
      <c r="LR286" s="22"/>
      <c r="LS286" s="20"/>
      <c r="LT286" s="22"/>
      <c r="LU286" s="20"/>
      <c r="LV286" s="22"/>
      <c r="LW286" s="20"/>
      <c r="LX286" s="22"/>
      <c r="LY286" s="20"/>
      <c r="LZ286" s="22"/>
      <c r="MA286" s="20"/>
      <c r="MB286" s="22"/>
      <c r="MC286" s="20"/>
      <c r="MD286" s="22"/>
      <c r="ME286" s="20"/>
      <c r="MF286" s="22"/>
      <c r="MG286" s="20"/>
      <c r="MH286" s="22"/>
      <c r="MI286" s="20"/>
      <c r="MJ286" s="22"/>
      <c r="MK286" s="20"/>
      <c r="ML286" s="22"/>
      <c r="MM286" s="20"/>
      <c r="MN286" s="22"/>
      <c r="MO286" s="20"/>
      <c r="MP286" s="22"/>
      <c r="MQ286" s="20"/>
      <c r="MR286" s="22"/>
      <c r="MS286" s="20"/>
      <c r="MT286" s="22"/>
      <c r="MU286" s="20"/>
      <c r="MV286" s="22"/>
      <c r="MW286" s="20"/>
      <c r="MX286" s="22"/>
      <c r="MY286" s="20"/>
      <c r="MZ286" s="22"/>
      <c r="NA286" s="20"/>
      <c r="NB286" s="22"/>
      <c r="NC286" s="20"/>
      <c r="ND286" s="22"/>
      <c r="NE286" s="20"/>
      <c r="NF286" s="73"/>
    </row>
    <row r="287">
      <c r="A287" s="237" t="str">
        <f t="shared" si="2"/>
        <v>-</v>
      </c>
      <c r="B287" s="267"/>
      <c r="C287" s="239"/>
      <c r="D287" s="290"/>
      <c r="E287" s="242" t="s">
        <v>12</v>
      </c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  <c r="CI287" s="73"/>
      <c r="CJ287" s="73"/>
      <c r="CK287" s="73"/>
      <c r="CL287" s="73"/>
      <c r="CM287" s="73"/>
      <c r="CN287" s="73"/>
      <c r="CO287" s="73"/>
      <c r="CP287" s="73"/>
      <c r="CQ287" s="73"/>
      <c r="CR287" s="73"/>
      <c r="CS287" s="73"/>
      <c r="CT287" s="73"/>
      <c r="CU287" s="73"/>
      <c r="CV287" s="73"/>
      <c r="CW287" s="73"/>
      <c r="CX287" s="73"/>
      <c r="CY287" s="73"/>
      <c r="CZ287" s="73"/>
      <c r="DA287" s="73"/>
      <c r="DB287" s="73"/>
      <c r="DC287" s="73"/>
      <c r="DD287" s="73"/>
      <c r="DE287" s="73"/>
      <c r="DF287" s="73"/>
      <c r="DG287" s="73"/>
      <c r="DH287" s="73"/>
      <c r="DI287" s="73"/>
      <c r="DJ287" s="73"/>
      <c r="DK287" s="73"/>
      <c r="DL287" s="73"/>
      <c r="DM287" s="73"/>
      <c r="DN287" s="73"/>
      <c r="DO287" s="73"/>
      <c r="DP287" s="73"/>
      <c r="DQ287" s="73"/>
      <c r="DR287" s="73"/>
      <c r="DS287" s="73"/>
      <c r="DT287" s="73"/>
      <c r="DU287" s="73"/>
      <c r="DV287" s="22"/>
      <c r="DW287" s="20"/>
      <c r="DX287" s="22"/>
      <c r="DY287" s="20"/>
      <c r="DZ287" s="22"/>
      <c r="EA287" s="20"/>
      <c r="EB287" s="22"/>
      <c r="EC287" s="20"/>
      <c r="ED287" s="22"/>
      <c r="EE287" s="20"/>
      <c r="EF287" s="22"/>
      <c r="EG287" s="20"/>
      <c r="EH287" s="22"/>
      <c r="EI287" s="20"/>
      <c r="EJ287" s="22"/>
      <c r="EK287" s="20"/>
      <c r="EL287" s="22"/>
      <c r="EM287" s="20"/>
      <c r="EN287" s="22"/>
      <c r="EO287" s="20"/>
      <c r="EP287" s="22"/>
      <c r="EQ287" s="20"/>
      <c r="ER287" s="22"/>
      <c r="ES287" s="20"/>
      <c r="ET287" s="22"/>
      <c r="EU287" s="20"/>
      <c r="EV287" s="22"/>
      <c r="EW287" s="20"/>
      <c r="EX287" s="22"/>
      <c r="EY287" s="20"/>
      <c r="EZ287" s="22"/>
      <c r="FA287" s="20"/>
      <c r="FB287" s="22"/>
      <c r="FC287" s="20"/>
      <c r="FD287" s="22"/>
      <c r="FE287" s="20"/>
      <c r="FF287" s="22"/>
      <c r="FG287" s="20"/>
      <c r="FH287" s="22"/>
      <c r="FI287" s="20"/>
      <c r="FJ287" s="22"/>
      <c r="FK287" s="20"/>
      <c r="FL287" s="22"/>
      <c r="FM287" s="20"/>
      <c r="FN287" s="22"/>
      <c r="FO287" s="20"/>
      <c r="FP287" s="22"/>
      <c r="FQ287" s="20"/>
      <c r="FR287" s="22"/>
      <c r="FS287" s="20"/>
      <c r="FT287" s="22"/>
      <c r="FU287" s="20"/>
      <c r="FV287" s="22"/>
      <c r="FW287" s="20"/>
      <c r="FX287" s="22"/>
      <c r="FY287" s="20"/>
      <c r="FZ287" s="22"/>
      <c r="GA287" s="20"/>
      <c r="GB287" s="22"/>
      <c r="GC287" s="20"/>
      <c r="GD287" s="22"/>
      <c r="GE287" s="20"/>
      <c r="GF287" s="22"/>
      <c r="GG287" s="20"/>
      <c r="GH287" s="22"/>
      <c r="GI287" s="20"/>
      <c r="GJ287" s="22"/>
      <c r="GK287" s="20"/>
      <c r="GL287" s="22"/>
      <c r="GM287" s="20"/>
      <c r="GN287" s="22"/>
      <c r="GO287" s="20"/>
      <c r="GP287" s="22"/>
      <c r="GQ287" s="20"/>
      <c r="GR287" s="22"/>
      <c r="GS287" s="20"/>
      <c r="GT287" s="22"/>
      <c r="GU287" s="20"/>
      <c r="GV287" s="22"/>
      <c r="GW287" s="20"/>
      <c r="GX287" s="22"/>
      <c r="GY287" s="20"/>
      <c r="GZ287" s="22"/>
      <c r="HA287" s="20"/>
      <c r="HB287" s="22"/>
      <c r="HC287" s="20"/>
      <c r="HD287" s="22"/>
      <c r="HE287" s="20"/>
      <c r="HF287" s="22"/>
      <c r="HG287" s="20"/>
      <c r="HH287" s="22"/>
      <c r="HI287" s="20"/>
      <c r="HJ287" s="22"/>
      <c r="HK287" s="20"/>
      <c r="HL287" s="22"/>
      <c r="HM287" s="20"/>
      <c r="HN287" s="22"/>
      <c r="HO287" s="20"/>
      <c r="HP287" s="22"/>
      <c r="HQ287" s="20"/>
      <c r="HR287" s="22"/>
      <c r="HS287" s="20"/>
      <c r="HT287" s="22"/>
      <c r="HU287" s="20"/>
      <c r="HV287" s="22"/>
      <c r="HW287" s="20"/>
      <c r="HX287" s="22"/>
      <c r="HY287" s="20"/>
      <c r="HZ287" s="22"/>
      <c r="IA287" s="20"/>
      <c r="IB287" s="22"/>
      <c r="IC287" s="20"/>
      <c r="ID287" s="22"/>
      <c r="IE287" s="20"/>
      <c r="IF287" s="22"/>
      <c r="IG287" s="20"/>
      <c r="IH287" s="22"/>
      <c r="II287" s="20"/>
      <c r="IJ287" s="22"/>
      <c r="IK287" s="20"/>
      <c r="IL287" s="22"/>
      <c r="IM287" s="20"/>
      <c r="IN287" s="22"/>
      <c r="IO287" s="20"/>
      <c r="IP287" s="22"/>
      <c r="IQ287" s="20"/>
      <c r="IR287" s="22"/>
      <c r="IS287" s="20"/>
      <c r="IT287" s="22"/>
      <c r="IU287" s="20"/>
      <c r="IV287" s="22"/>
      <c r="IW287" s="20"/>
      <c r="IX287" s="22"/>
      <c r="IY287" s="20"/>
      <c r="IZ287" s="22"/>
      <c r="JA287" s="20"/>
      <c r="JB287" s="22"/>
      <c r="JC287" s="20"/>
      <c r="JD287" s="22"/>
      <c r="JE287" s="20"/>
      <c r="JF287" s="22"/>
      <c r="JG287" s="20"/>
      <c r="JH287" s="22"/>
      <c r="JI287" s="20"/>
      <c r="JJ287" s="22"/>
      <c r="JK287" s="20"/>
      <c r="JL287" s="22"/>
      <c r="JM287" s="20"/>
      <c r="JN287" s="22"/>
      <c r="JO287" s="20"/>
      <c r="JP287" s="22"/>
      <c r="JQ287" s="20"/>
      <c r="JR287" s="22"/>
      <c r="JS287" s="20"/>
      <c r="JT287" s="22"/>
      <c r="JU287" s="20"/>
      <c r="JV287" s="22"/>
      <c r="JW287" s="20"/>
      <c r="JX287" s="22"/>
      <c r="JY287" s="20"/>
      <c r="JZ287" s="22"/>
      <c r="KA287" s="20"/>
      <c r="KB287" s="22"/>
      <c r="KC287" s="20"/>
      <c r="KD287" s="22"/>
      <c r="KE287" s="20"/>
      <c r="KF287" s="22"/>
      <c r="KG287" s="20"/>
      <c r="KH287" s="22"/>
      <c r="KI287" s="20"/>
      <c r="KJ287" s="22"/>
      <c r="KK287" s="20"/>
      <c r="KL287" s="22"/>
      <c r="KM287" s="20"/>
      <c r="KN287" s="22"/>
      <c r="KO287" s="20"/>
      <c r="KP287" s="22"/>
      <c r="KQ287" s="20"/>
      <c r="KR287" s="22"/>
      <c r="KS287" s="20"/>
      <c r="KT287" s="22"/>
      <c r="KU287" s="20"/>
      <c r="KV287" s="22"/>
      <c r="KW287" s="20"/>
      <c r="KX287" s="22"/>
      <c r="KY287" s="20"/>
      <c r="KZ287" s="22"/>
      <c r="LA287" s="20"/>
      <c r="LB287" s="22"/>
      <c r="LC287" s="20"/>
      <c r="LD287" s="22"/>
      <c r="LE287" s="20"/>
      <c r="LF287" s="22"/>
      <c r="LG287" s="20"/>
      <c r="LH287" s="22"/>
      <c r="LI287" s="20"/>
      <c r="LJ287" s="22"/>
      <c r="LK287" s="20"/>
      <c r="LL287" s="22"/>
      <c r="LM287" s="20"/>
      <c r="LN287" s="22"/>
      <c r="LO287" s="20"/>
      <c r="LP287" s="22"/>
      <c r="LQ287" s="20"/>
      <c r="LR287" s="22"/>
      <c r="LS287" s="20"/>
      <c r="LT287" s="22"/>
      <c r="LU287" s="20"/>
      <c r="LV287" s="22"/>
      <c r="LW287" s="20"/>
      <c r="LX287" s="22"/>
      <c r="LY287" s="20"/>
      <c r="LZ287" s="22"/>
      <c r="MA287" s="20"/>
      <c r="MB287" s="22"/>
      <c r="MC287" s="20"/>
      <c r="MD287" s="22"/>
      <c r="ME287" s="20"/>
      <c r="MF287" s="22"/>
      <c r="MG287" s="20"/>
      <c r="MH287" s="22"/>
      <c r="MI287" s="20"/>
      <c r="MJ287" s="22"/>
      <c r="MK287" s="20"/>
      <c r="ML287" s="22"/>
      <c r="MM287" s="20"/>
      <c r="MN287" s="22"/>
      <c r="MO287" s="20"/>
      <c r="MP287" s="22"/>
      <c r="MQ287" s="20"/>
      <c r="MR287" s="22"/>
      <c r="MS287" s="20"/>
      <c r="MT287" s="22"/>
      <c r="MU287" s="20"/>
      <c r="MV287" s="22"/>
      <c r="MW287" s="20"/>
      <c r="MX287" s="22"/>
      <c r="MY287" s="20"/>
      <c r="MZ287" s="22"/>
      <c r="NA287" s="20"/>
      <c r="NB287" s="22"/>
      <c r="NC287" s="20"/>
      <c r="ND287" s="22"/>
      <c r="NE287" s="20"/>
      <c r="NF287" s="73"/>
    </row>
    <row r="288">
      <c r="A288" s="237" t="str">
        <f t="shared" si="2"/>
        <v>-</v>
      </c>
      <c r="B288" s="267"/>
      <c r="C288" s="239"/>
      <c r="D288" s="290"/>
      <c r="E288" s="242" t="s">
        <v>12</v>
      </c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  <c r="CI288" s="73"/>
      <c r="CJ288" s="73"/>
      <c r="CK288" s="73"/>
      <c r="CL288" s="73"/>
      <c r="CM288" s="73"/>
      <c r="CN288" s="73"/>
      <c r="CO288" s="73"/>
      <c r="CP288" s="73"/>
      <c r="CQ288" s="73"/>
      <c r="CR288" s="73"/>
      <c r="CS288" s="73"/>
      <c r="CT288" s="73"/>
      <c r="CU288" s="73"/>
      <c r="CV288" s="73"/>
      <c r="CW288" s="73"/>
      <c r="CX288" s="73"/>
      <c r="CY288" s="73"/>
      <c r="CZ288" s="73"/>
      <c r="DA288" s="73"/>
      <c r="DB288" s="73"/>
      <c r="DC288" s="73"/>
      <c r="DD288" s="73"/>
      <c r="DE288" s="73"/>
      <c r="DF288" s="73"/>
      <c r="DG288" s="73"/>
      <c r="DH288" s="73"/>
      <c r="DI288" s="73"/>
      <c r="DJ288" s="73"/>
      <c r="DK288" s="73"/>
      <c r="DL288" s="73"/>
      <c r="DM288" s="73"/>
      <c r="DN288" s="73"/>
      <c r="DO288" s="73"/>
      <c r="DP288" s="73"/>
      <c r="DQ288" s="73"/>
      <c r="DR288" s="73"/>
      <c r="DS288" s="73"/>
      <c r="DT288" s="73"/>
      <c r="DU288" s="73"/>
      <c r="DV288" s="22"/>
      <c r="DW288" s="20"/>
      <c r="DX288" s="22"/>
      <c r="DY288" s="20"/>
      <c r="DZ288" s="22"/>
      <c r="EA288" s="20"/>
      <c r="EB288" s="22"/>
      <c r="EC288" s="20"/>
      <c r="ED288" s="22"/>
      <c r="EE288" s="20"/>
      <c r="EF288" s="22"/>
      <c r="EG288" s="20"/>
      <c r="EH288" s="22"/>
      <c r="EI288" s="20"/>
      <c r="EJ288" s="22"/>
      <c r="EK288" s="20"/>
      <c r="EL288" s="22"/>
      <c r="EM288" s="20"/>
      <c r="EN288" s="22"/>
      <c r="EO288" s="20"/>
      <c r="EP288" s="22"/>
      <c r="EQ288" s="20"/>
      <c r="ER288" s="22"/>
      <c r="ES288" s="20"/>
      <c r="ET288" s="22"/>
      <c r="EU288" s="20"/>
      <c r="EV288" s="22"/>
      <c r="EW288" s="20"/>
      <c r="EX288" s="22"/>
      <c r="EY288" s="20"/>
      <c r="EZ288" s="22"/>
      <c r="FA288" s="20"/>
      <c r="FB288" s="22"/>
      <c r="FC288" s="20"/>
      <c r="FD288" s="22"/>
      <c r="FE288" s="20"/>
      <c r="FF288" s="22"/>
      <c r="FG288" s="20"/>
      <c r="FH288" s="22"/>
      <c r="FI288" s="20"/>
      <c r="FJ288" s="22"/>
      <c r="FK288" s="20"/>
      <c r="FL288" s="22"/>
      <c r="FM288" s="20"/>
      <c r="FN288" s="22"/>
      <c r="FO288" s="20"/>
      <c r="FP288" s="22"/>
      <c r="FQ288" s="20"/>
      <c r="FR288" s="22"/>
      <c r="FS288" s="20"/>
      <c r="FT288" s="22"/>
      <c r="FU288" s="20"/>
      <c r="FV288" s="22"/>
      <c r="FW288" s="20"/>
      <c r="FX288" s="22"/>
      <c r="FY288" s="20"/>
      <c r="FZ288" s="22"/>
      <c r="GA288" s="20"/>
      <c r="GB288" s="22"/>
      <c r="GC288" s="20"/>
      <c r="GD288" s="22"/>
      <c r="GE288" s="20"/>
      <c r="GF288" s="22"/>
      <c r="GG288" s="20"/>
      <c r="GH288" s="22"/>
      <c r="GI288" s="20"/>
      <c r="GJ288" s="22"/>
      <c r="GK288" s="20"/>
      <c r="GL288" s="22"/>
      <c r="GM288" s="20"/>
      <c r="GN288" s="22"/>
      <c r="GO288" s="20"/>
      <c r="GP288" s="22"/>
      <c r="GQ288" s="20"/>
      <c r="GR288" s="22"/>
      <c r="GS288" s="20"/>
      <c r="GT288" s="22"/>
      <c r="GU288" s="20"/>
      <c r="GV288" s="22"/>
      <c r="GW288" s="20"/>
      <c r="GX288" s="22"/>
      <c r="GY288" s="20"/>
      <c r="GZ288" s="22"/>
      <c r="HA288" s="20"/>
      <c r="HB288" s="22"/>
      <c r="HC288" s="20"/>
      <c r="HD288" s="22"/>
      <c r="HE288" s="20"/>
      <c r="HF288" s="22"/>
      <c r="HG288" s="20"/>
      <c r="HH288" s="22"/>
      <c r="HI288" s="20"/>
      <c r="HJ288" s="22"/>
      <c r="HK288" s="20"/>
      <c r="HL288" s="22"/>
      <c r="HM288" s="20"/>
      <c r="HN288" s="22"/>
      <c r="HO288" s="20"/>
      <c r="HP288" s="22"/>
      <c r="HQ288" s="20"/>
      <c r="HR288" s="22"/>
      <c r="HS288" s="20"/>
      <c r="HT288" s="22"/>
      <c r="HU288" s="20"/>
      <c r="HV288" s="22"/>
      <c r="HW288" s="20"/>
      <c r="HX288" s="22"/>
      <c r="HY288" s="20"/>
      <c r="HZ288" s="22"/>
      <c r="IA288" s="20"/>
      <c r="IB288" s="22"/>
      <c r="IC288" s="20"/>
      <c r="ID288" s="22"/>
      <c r="IE288" s="20"/>
      <c r="IF288" s="22"/>
      <c r="IG288" s="20"/>
      <c r="IH288" s="22"/>
      <c r="II288" s="20"/>
      <c r="IJ288" s="22"/>
      <c r="IK288" s="20"/>
      <c r="IL288" s="22"/>
      <c r="IM288" s="20"/>
      <c r="IN288" s="22"/>
      <c r="IO288" s="20"/>
      <c r="IP288" s="22"/>
      <c r="IQ288" s="20"/>
      <c r="IR288" s="22"/>
      <c r="IS288" s="20"/>
      <c r="IT288" s="22"/>
      <c r="IU288" s="20"/>
      <c r="IV288" s="22"/>
      <c r="IW288" s="20"/>
      <c r="IX288" s="22"/>
      <c r="IY288" s="20"/>
      <c r="IZ288" s="22"/>
      <c r="JA288" s="20"/>
      <c r="JB288" s="22"/>
      <c r="JC288" s="20"/>
      <c r="JD288" s="22"/>
      <c r="JE288" s="20"/>
      <c r="JF288" s="22"/>
      <c r="JG288" s="20"/>
      <c r="JH288" s="22"/>
      <c r="JI288" s="20"/>
      <c r="JJ288" s="22"/>
      <c r="JK288" s="20"/>
      <c r="JL288" s="22"/>
      <c r="JM288" s="20"/>
      <c r="JN288" s="22"/>
      <c r="JO288" s="20"/>
      <c r="JP288" s="22"/>
      <c r="JQ288" s="20"/>
      <c r="JR288" s="22"/>
      <c r="JS288" s="20"/>
      <c r="JT288" s="22"/>
      <c r="JU288" s="20"/>
      <c r="JV288" s="22"/>
      <c r="JW288" s="20"/>
      <c r="JX288" s="22"/>
      <c r="JY288" s="20"/>
      <c r="JZ288" s="22"/>
      <c r="KA288" s="20"/>
      <c r="KB288" s="22"/>
      <c r="KC288" s="20"/>
      <c r="KD288" s="22"/>
      <c r="KE288" s="20"/>
      <c r="KF288" s="22"/>
      <c r="KG288" s="20"/>
      <c r="KH288" s="22"/>
      <c r="KI288" s="20"/>
      <c r="KJ288" s="22"/>
      <c r="KK288" s="20"/>
      <c r="KL288" s="22"/>
      <c r="KM288" s="20"/>
      <c r="KN288" s="22"/>
      <c r="KO288" s="20"/>
      <c r="KP288" s="22"/>
      <c r="KQ288" s="20"/>
      <c r="KR288" s="22"/>
      <c r="KS288" s="20"/>
      <c r="KT288" s="22"/>
      <c r="KU288" s="20"/>
      <c r="KV288" s="22"/>
      <c r="KW288" s="20"/>
      <c r="KX288" s="22"/>
      <c r="KY288" s="20"/>
      <c r="KZ288" s="22"/>
      <c r="LA288" s="20"/>
      <c r="LB288" s="22"/>
      <c r="LC288" s="20"/>
      <c r="LD288" s="22"/>
      <c r="LE288" s="20"/>
      <c r="LF288" s="22"/>
      <c r="LG288" s="20"/>
      <c r="LH288" s="22"/>
      <c r="LI288" s="20"/>
      <c r="LJ288" s="22"/>
      <c r="LK288" s="20"/>
      <c r="LL288" s="22"/>
      <c r="LM288" s="20"/>
      <c r="LN288" s="22"/>
      <c r="LO288" s="20"/>
      <c r="LP288" s="22"/>
      <c r="LQ288" s="20"/>
      <c r="LR288" s="22"/>
      <c r="LS288" s="20"/>
      <c r="LT288" s="22"/>
      <c r="LU288" s="20"/>
      <c r="LV288" s="22"/>
      <c r="LW288" s="20"/>
      <c r="LX288" s="22"/>
      <c r="LY288" s="20"/>
      <c r="LZ288" s="22"/>
      <c r="MA288" s="20"/>
      <c r="MB288" s="22"/>
      <c r="MC288" s="20"/>
      <c r="MD288" s="22"/>
      <c r="ME288" s="20"/>
      <c r="MF288" s="22"/>
      <c r="MG288" s="20"/>
      <c r="MH288" s="22"/>
      <c r="MI288" s="20"/>
      <c r="MJ288" s="22"/>
      <c r="MK288" s="20"/>
      <c r="ML288" s="22"/>
      <c r="MM288" s="20"/>
      <c r="MN288" s="22"/>
      <c r="MO288" s="20"/>
      <c r="MP288" s="22"/>
      <c r="MQ288" s="20"/>
      <c r="MR288" s="22"/>
      <c r="MS288" s="20"/>
      <c r="MT288" s="22"/>
      <c r="MU288" s="20"/>
      <c r="MV288" s="22"/>
      <c r="MW288" s="20"/>
      <c r="MX288" s="22"/>
      <c r="MY288" s="20"/>
      <c r="MZ288" s="22"/>
      <c r="NA288" s="20"/>
      <c r="NB288" s="22"/>
      <c r="NC288" s="20"/>
      <c r="ND288" s="22"/>
      <c r="NE288" s="20"/>
      <c r="NF288" s="73"/>
    </row>
    <row r="289">
      <c r="A289" s="237" t="str">
        <f t="shared" si="2"/>
        <v>-</v>
      </c>
      <c r="B289" s="267"/>
      <c r="C289" s="239"/>
      <c r="D289" s="290"/>
      <c r="E289" s="242" t="s">
        <v>12</v>
      </c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  <c r="CI289" s="73"/>
      <c r="CJ289" s="73"/>
      <c r="CK289" s="73"/>
      <c r="CL289" s="73"/>
      <c r="CM289" s="73"/>
      <c r="CN289" s="73"/>
      <c r="CO289" s="73"/>
      <c r="CP289" s="73"/>
      <c r="CQ289" s="73"/>
      <c r="CR289" s="73"/>
      <c r="CS289" s="73"/>
      <c r="CT289" s="73"/>
      <c r="CU289" s="73"/>
      <c r="CV289" s="73"/>
      <c r="CW289" s="73"/>
      <c r="CX289" s="73"/>
      <c r="CY289" s="73"/>
      <c r="CZ289" s="73"/>
      <c r="DA289" s="73"/>
      <c r="DB289" s="73"/>
      <c r="DC289" s="73"/>
      <c r="DD289" s="73"/>
      <c r="DE289" s="73"/>
      <c r="DF289" s="73"/>
      <c r="DG289" s="73"/>
      <c r="DH289" s="73"/>
      <c r="DI289" s="73"/>
      <c r="DJ289" s="73"/>
      <c r="DK289" s="73"/>
      <c r="DL289" s="73"/>
      <c r="DM289" s="73"/>
      <c r="DN289" s="73"/>
      <c r="DO289" s="73"/>
      <c r="DP289" s="73"/>
      <c r="DQ289" s="73"/>
      <c r="DR289" s="73"/>
      <c r="DS289" s="73"/>
      <c r="DT289" s="73"/>
      <c r="DU289" s="73"/>
      <c r="DV289" s="22"/>
      <c r="DW289" s="20"/>
      <c r="DX289" s="22"/>
      <c r="DY289" s="20"/>
      <c r="DZ289" s="22"/>
      <c r="EA289" s="20"/>
      <c r="EB289" s="22"/>
      <c r="EC289" s="20"/>
      <c r="ED289" s="22"/>
      <c r="EE289" s="20"/>
      <c r="EF289" s="22"/>
      <c r="EG289" s="20"/>
      <c r="EH289" s="22"/>
      <c r="EI289" s="20"/>
      <c r="EJ289" s="22"/>
      <c r="EK289" s="20"/>
      <c r="EL289" s="22"/>
      <c r="EM289" s="20"/>
      <c r="EN289" s="22"/>
      <c r="EO289" s="20"/>
      <c r="EP289" s="22"/>
      <c r="EQ289" s="20"/>
      <c r="ER289" s="22"/>
      <c r="ES289" s="20"/>
      <c r="ET289" s="22"/>
      <c r="EU289" s="20"/>
      <c r="EV289" s="22"/>
      <c r="EW289" s="20"/>
      <c r="EX289" s="22"/>
      <c r="EY289" s="20"/>
      <c r="EZ289" s="22"/>
      <c r="FA289" s="20"/>
      <c r="FB289" s="22"/>
      <c r="FC289" s="20"/>
      <c r="FD289" s="22"/>
      <c r="FE289" s="20"/>
      <c r="FF289" s="22"/>
      <c r="FG289" s="20"/>
      <c r="FH289" s="22"/>
      <c r="FI289" s="20"/>
      <c r="FJ289" s="22"/>
      <c r="FK289" s="20"/>
      <c r="FL289" s="22"/>
      <c r="FM289" s="20"/>
      <c r="FN289" s="22"/>
      <c r="FO289" s="20"/>
      <c r="FP289" s="22"/>
      <c r="FQ289" s="20"/>
      <c r="FR289" s="22"/>
      <c r="FS289" s="20"/>
      <c r="FT289" s="22"/>
      <c r="FU289" s="20"/>
      <c r="FV289" s="22"/>
      <c r="FW289" s="20"/>
      <c r="FX289" s="22"/>
      <c r="FY289" s="20"/>
      <c r="FZ289" s="22"/>
      <c r="GA289" s="20"/>
      <c r="GB289" s="22"/>
      <c r="GC289" s="20"/>
      <c r="GD289" s="22"/>
      <c r="GE289" s="20"/>
      <c r="GF289" s="22"/>
      <c r="GG289" s="20"/>
      <c r="GH289" s="22"/>
      <c r="GI289" s="20"/>
      <c r="GJ289" s="22"/>
      <c r="GK289" s="20"/>
      <c r="GL289" s="22"/>
      <c r="GM289" s="20"/>
      <c r="GN289" s="22"/>
      <c r="GO289" s="20"/>
      <c r="GP289" s="22"/>
      <c r="GQ289" s="20"/>
      <c r="GR289" s="22"/>
      <c r="GS289" s="20"/>
      <c r="GT289" s="22"/>
      <c r="GU289" s="20"/>
      <c r="GV289" s="22"/>
      <c r="GW289" s="20"/>
      <c r="GX289" s="22"/>
      <c r="GY289" s="20"/>
      <c r="GZ289" s="22"/>
      <c r="HA289" s="20"/>
      <c r="HB289" s="22"/>
      <c r="HC289" s="20"/>
      <c r="HD289" s="22"/>
      <c r="HE289" s="20"/>
      <c r="HF289" s="22"/>
      <c r="HG289" s="20"/>
      <c r="HH289" s="22"/>
      <c r="HI289" s="20"/>
      <c r="HJ289" s="22"/>
      <c r="HK289" s="20"/>
      <c r="HL289" s="22"/>
      <c r="HM289" s="20"/>
      <c r="HN289" s="22"/>
      <c r="HO289" s="20"/>
      <c r="HP289" s="22"/>
      <c r="HQ289" s="20"/>
      <c r="HR289" s="22"/>
      <c r="HS289" s="20"/>
      <c r="HT289" s="22"/>
      <c r="HU289" s="20"/>
      <c r="HV289" s="22"/>
      <c r="HW289" s="20"/>
      <c r="HX289" s="22"/>
      <c r="HY289" s="20"/>
      <c r="HZ289" s="22"/>
      <c r="IA289" s="20"/>
      <c r="IB289" s="22"/>
      <c r="IC289" s="20"/>
      <c r="ID289" s="22"/>
      <c r="IE289" s="20"/>
      <c r="IF289" s="22"/>
      <c r="IG289" s="20"/>
      <c r="IH289" s="22"/>
      <c r="II289" s="20"/>
      <c r="IJ289" s="22"/>
      <c r="IK289" s="20"/>
      <c r="IL289" s="22"/>
      <c r="IM289" s="20"/>
      <c r="IN289" s="22"/>
      <c r="IO289" s="20"/>
      <c r="IP289" s="22"/>
      <c r="IQ289" s="20"/>
      <c r="IR289" s="22"/>
      <c r="IS289" s="20"/>
      <c r="IT289" s="22"/>
      <c r="IU289" s="20"/>
      <c r="IV289" s="22"/>
      <c r="IW289" s="20"/>
      <c r="IX289" s="22"/>
      <c r="IY289" s="20"/>
      <c r="IZ289" s="22"/>
      <c r="JA289" s="20"/>
      <c r="JB289" s="22"/>
      <c r="JC289" s="20"/>
      <c r="JD289" s="22"/>
      <c r="JE289" s="20"/>
      <c r="JF289" s="22"/>
      <c r="JG289" s="20"/>
      <c r="JH289" s="22"/>
      <c r="JI289" s="20"/>
      <c r="JJ289" s="22"/>
      <c r="JK289" s="20"/>
      <c r="JL289" s="22"/>
      <c r="JM289" s="20"/>
      <c r="JN289" s="22"/>
      <c r="JO289" s="20"/>
      <c r="JP289" s="22"/>
      <c r="JQ289" s="20"/>
      <c r="JR289" s="22"/>
      <c r="JS289" s="20"/>
      <c r="JT289" s="22"/>
      <c r="JU289" s="20"/>
      <c r="JV289" s="22"/>
      <c r="JW289" s="20"/>
      <c r="JX289" s="22"/>
      <c r="JY289" s="20"/>
      <c r="JZ289" s="22"/>
      <c r="KA289" s="20"/>
      <c r="KB289" s="22"/>
      <c r="KC289" s="20"/>
      <c r="KD289" s="22"/>
      <c r="KE289" s="20"/>
      <c r="KF289" s="22"/>
      <c r="KG289" s="20"/>
      <c r="KH289" s="22"/>
      <c r="KI289" s="20"/>
      <c r="KJ289" s="22"/>
      <c r="KK289" s="20"/>
      <c r="KL289" s="22"/>
      <c r="KM289" s="20"/>
      <c r="KN289" s="22"/>
      <c r="KO289" s="20"/>
      <c r="KP289" s="22"/>
      <c r="KQ289" s="20"/>
      <c r="KR289" s="22"/>
      <c r="KS289" s="20"/>
      <c r="KT289" s="22"/>
      <c r="KU289" s="20"/>
      <c r="KV289" s="22"/>
      <c r="KW289" s="20"/>
      <c r="KX289" s="22"/>
      <c r="KY289" s="20"/>
      <c r="KZ289" s="22"/>
      <c r="LA289" s="20"/>
      <c r="LB289" s="22"/>
      <c r="LC289" s="20"/>
      <c r="LD289" s="22"/>
      <c r="LE289" s="20"/>
      <c r="LF289" s="22"/>
      <c r="LG289" s="20"/>
      <c r="LH289" s="22"/>
      <c r="LI289" s="20"/>
      <c r="LJ289" s="22"/>
      <c r="LK289" s="20"/>
      <c r="LL289" s="22"/>
      <c r="LM289" s="20"/>
      <c r="LN289" s="22"/>
      <c r="LO289" s="20"/>
      <c r="LP289" s="22"/>
      <c r="LQ289" s="20"/>
      <c r="LR289" s="22"/>
      <c r="LS289" s="20"/>
      <c r="LT289" s="22"/>
      <c r="LU289" s="20"/>
      <c r="LV289" s="22"/>
      <c r="LW289" s="20"/>
      <c r="LX289" s="22"/>
      <c r="LY289" s="20"/>
      <c r="LZ289" s="22"/>
      <c r="MA289" s="20"/>
      <c r="MB289" s="22"/>
      <c r="MC289" s="20"/>
      <c r="MD289" s="22"/>
      <c r="ME289" s="20"/>
      <c r="MF289" s="22"/>
      <c r="MG289" s="20"/>
      <c r="MH289" s="22"/>
      <c r="MI289" s="20"/>
      <c r="MJ289" s="22"/>
      <c r="MK289" s="20"/>
      <c r="ML289" s="22"/>
      <c r="MM289" s="20"/>
      <c r="MN289" s="22"/>
      <c r="MO289" s="20"/>
      <c r="MP289" s="22"/>
      <c r="MQ289" s="20"/>
      <c r="MR289" s="22"/>
      <c r="MS289" s="20"/>
      <c r="MT289" s="22"/>
      <c r="MU289" s="20"/>
      <c r="MV289" s="22"/>
      <c r="MW289" s="20"/>
      <c r="MX289" s="22"/>
      <c r="MY289" s="20"/>
      <c r="MZ289" s="22"/>
      <c r="NA289" s="20"/>
      <c r="NB289" s="22"/>
      <c r="NC289" s="20"/>
      <c r="ND289" s="22"/>
      <c r="NE289" s="20"/>
      <c r="NF289" s="73"/>
    </row>
    <row r="290">
      <c r="A290" s="237" t="str">
        <f t="shared" si="2"/>
        <v>-</v>
      </c>
      <c r="B290" s="267"/>
      <c r="C290" s="239"/>
      <c r="D290" s="290"/>
      <c r="E290" s="242" t="s">
        <v>12</v>
      </c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  <c r="CI290" s="73"/>
      <c r="CJ290" s="73"/>
      <c r="CK290" s="73"/>
      <c r="CL290" s="73"/>
      <c r="CM290" s="73"/>
      <c r="CN290" s="73"/>
      <c r="CO290" s="73"/>
      <c r="CP290" s="73"/>
      <c r="CQ290" s="73"/>
      <c r="CR290" s="73"/>
      <c r="CS290" s="73"/>
      <c r="CT290" s="73"/>
      <c r="CU290" s="73"/>
      <c r="CV290" s="73"/>
      <c r="CW290" s="73"/>
      <c r="CX290" s="73"/>
      <c r="CY290" s="73"/>
      <c r="CZ290" s="73"/>
      <c r="DA290" s="73"/>
      <c r="DB290" s="73"/>
      <c r="DC290" s="73"/>
      <c r="DD290" s="73"/>
      <c r="DE290" s="73"/>
      <c r="DF290" s="73"/>
      <c r="DG290" s="73"/>
      <c r="DH290" s="73"/>
      <c r="DI290" s="73"/>
      <c r="DJ290" s="73"/>
      <c r="DK290" s="73"/>
      <c r="DL290" s="73"/>
      <c r="DM290" s="73"/>
      <c r="DN290" s="73"/>
      <c r="DO290" s="73"/>
      <c r="DP290" s="73"/>
      <c r="DQ290" s="73"/>
      <c r="DR290" s="73"/>
      <c r="DS290" s="73"/>
      <c r="DT290" s="73"/>
      <c r="DU290" s="73"/>
      <c r="DV290" s="22"/>
      <c r="DW290" s="20"/>
      <c r="DX290" s="22"/>
      <c r="DY290" s="20"/>
      <c r="DZ290" s="22"/>
      <c r="EA290" s="20"/>
      <c r="EB290" s="22"/>
      <c r="EC290" s="20"/>
      <c r="ED290" s="22"/>
      <c r="EE290" s="20"/>
      <c r="EF290" s="22"/>
      <c r="EG290" s="20"/>
      <c r="EH290" s="22"/>
      <c r="EI290" s="20"/>
      <c r="EJ290" s="22"/>
      <c r="EK290" s="20"/>
      <c r="EL290" s="22"/>
      <c r="EM290" s="20"/>
      <c r="EN290" s="22"/>
      <c r="EO290" s="20"/>
      <c r="EP290" s="22"/>
      <c r="EQ290" s="20"/>
      <c r="ER290" s="22"/>
      <c r="ES290" s="20"/>
      <c r="ET290" s="22"/>
      <c r="EU290" s="20"/>
      <c r="EV290" s="22"/>
      <c r="EW290" s="20"/>
      <c r="EX290" s="22"/>
      <c r="EY290" s="20"/>
      <c r="EZ290" s="22"/>
      <c r="FA290" s="20"/>
      <c r="FB290" s="22"/>
      <c r="FC290" s="20"/>
      <c r="FD290" s="22"/>
      <c r="FE290" s="20"/>
      <c r="FF290" s="22"/>
      <c r="FG290" s="20"/>
      <c r="FH290" s="22"/>
      <c r="FI290" s="20"/>
      <c r="FJ290" s="22"/>
      <c r="FK290" s="20"/>
      <c r="FL290" s="22"/>
      <c r="FM290" s="20"/>
      <c r="FN290" s="22"/>
      <c r="FO290" s="20"/>
      <c r="FP290" s="22"/>
      <c r="FQ290" s="20"/>
      <c r="FR290" s="22"/>
      <c r="FS290" s="20"/>
      <c r="FT290" s="22"/>
      <c r="FU290" s="20"/>
      <c r="FV290" s="22"/>
      <c r="FW290" s="20"/>
      <c r="FX290" s="22"/>
      <c r="FY290" s="20"/>
      <c r="FZ290" s="22"/>
      <c r="GA290" s="20"/>
      <c r="GB290" s="22"/>
      <c r="GC290" s="20"/>
      <c r="GD290" s="22"/>
      <c r="GE290" s="20"/>
      <c r="GF290" s="22"/>
      <c r="GG290" s="20"/>
      <c r="GH290" s="22"/>
      <c r="GI290" s="20"/>
      <c r="GJ290" s="22"/>
      <c r="GK290" s="20"/>
      <c r="GL290" s="22"/>
      <c r="GM290" s="20"/>
      <c r="GN290" s="22"/>
      <c r="GO290" s="20"/>
      <c r="GP290" s="22"/>
      <c r="GQ290" s="20"/>
      <c r="GR290" s="22"/>
      <c r="GS290" s="20"/>
      <c r="GT290" s="22"/>
      <c r="GU290" s="20"/>
      <c r="GV290" s="22"/>
      <c r="GW290" s="20"/>
      <c r="GX290" s="22"/>
      <c r="GY290" s="20"/>
      <c r="GZ290" s="22"/>
      <c r="HA290" s="20"/>
      <c r="HB290" s="22"/>
      <c r="HC290" s="20"/>
      <c r="HD290" s="22"/>
      <c r="HE290" s="20"/>
      <c r="HF290" s="22"/>
      <c r="HG290" s="20"/>
      <c r="HH290" s="22"/>
      <c r="HI290" s="20"/>
      <c r="HJ290" s="22"/>
      <c r="HK290" s="20"/>
      <c r="HL290" s="22"/>
      <c r="HM290" s="20"/>
      <c r="HN290" s="22"/>
      <c r="HO290" s="20"/>
      <c r="HP290" s="22"/>
      <c r="HQ290" s="20"/>
      <c r="HR290" s="22"/>
      <c r="HS290" s="20"/>
      <c r="HT290" s="22"/>
      <c r="HU290" s="20"/>
      <c r="HV290" s="22"/>
      <c r="HW290" s="20"/>
      <c r="HX290" s="22"/>
      <c r="HY290" s="20"/>
      <c r="HZ290" s="22"/>
      <c r="IA290" s="20"/>
      <c r="IB290" s="22"/>
      <c r="IC290" s="20"/>
      <c r="ID290" s="22"/>
      <c r="IE290" s="20"/>
      <c r="IF290" s="22"/>
      <c r="IG290" s="20"/>
      <c r="IH290" s="22"/>
      <c r="II290" s="20"/>
      <c r="IJ290" s="22"/>
      <c r="IK290" s="20"/>
      <c r="IL290" s="22"/>
      <c r="IM290" s="20"/>
      <c r="IN290" s="22"/>
      <c r="IO290" s="20"/>
      <c r="IP290" s="22"/>
      <c r="IQ290" s="20"/>
      <c r="IR290" s="22"/>
      <c r="IS290" s="20"/>
      <c r="IT290" s="22"/>
      <c r="IU290" s="20"/>
      <c r="IV290" s="22"/>
      <c r="IW290" s="20"/>
      <c r="IX290" s="22"/>
      <c r="IY290" s="20"/>
      <c r="IZ290" s="22"/>
      <c r="JA290" s="20"/>
      <c r="JB290" s="22"/>
      <c r="JC290" s="20"/>
      <c r="JD290" s="22"/>
      <c r="JE290" s="20"/>
      <c r="JF290" s="22"/>
      <c r="JG290" s="20"/>
      <c r="JH290" s="22"/>
      <c r="JI290" s="20"/>
      <c r="JJ290" s="22"/>
      <c r="JK290" s="20"/>
      <c r="JL290" s="22"/>
      <c r="JM290" s="20"/>
      <c r="JN290" s="22"/>
      <c r="JO290" s="20"/>
      <c r="JP290" s="22"/>
      <c r="JQ290" s="20"/>
      <c r="JR290" s="22"/>
      <c r="JS290" s="20"/>
      <c r="JT290" s="22"/>
      <c r="JU290" s="20"/>
      <c r="JV290" s="22"/>
      <c r="JW290" s="20"/>
      <c r="JX290" s="22"/>
      <c r="JY290" s="20"/>
      <c r="JZ290" s="22"/>
      <c r="KA290" s="20"/>
      <c r="KB290" s="22"/>
      <c r="KC290" s="20"/>
      <c r="KD290" s="22"/>
      <c r="KE290" s="20"/>
      <c r="KF290" s="22"/>
      <c r="KG290" s="20"/>
      <c r="KH290" s="22"/>
      <c r="KI290" s="20"/>
      <c r="KJ290" s="22"/>
      <c r="KK290" s="20"/>
      <c r="KL290" s="22"/>
      <c r="KM290" s="20"/>
      <c r="KN290" s="22"/>
      <c r="KO290" s="20"/>
      <c r="KP290" s="22"/>
      <c r="KQ290" s="20"/>
      <c r="KR290" s="22"/>
      <c r="KS290" s="20"/>
      <c r="KT290" s="22"/>
      <c r="KU290" s="20"/>
      <c r="KV290" s="22"/>
      <c r="KW290" s="20"/>
      <c r="KX290" s="22"/>
      <c r="KY290" s="20"/>
      <c r="KZ290" s="22"/>
      <c r="LA290" s="20"/>
      <c r="LB290" s="22"/>
      <c r="LC290" s="20"/>
      <c r="LD290" s="22"/>
      <c r="LE290" s="20"/>
      <c r="LF290" s="22"/>
      <c r="LG290" s="20"/>
      <c r="LH290" s="22"/>
      <c r="LI290" s="20"/>
      <c r="LJ290" s="22"/>
      <c r="LK290" s="20"/>
      <c r="LL290" s="22"/>
      <c r="LM290" s="20"/>
      <c r="LN290" s="22"/>
      <c r="LO290" s="20"/>
      <c r="LP290" s="22"/>
      <c r="LQ290" s="20"/>
      <c r="LR290" s="22"/>
      <c r="LS290" s="20"/>
      <c r="LT290" s="22"/>
      <c r="LU290" s="20"/>
      <c r="LV290" s="22"/>
      <c r="LW290" s="20"/>
      <c r="LX290" s="22"/>
      <c r="LY290" s="20"/>
      <c r="LZ290" s="22"/>
      <c r="MA290" s="20"/>
      <c r="MB290" s="22"/>
      <c r="MC290" s="20"/>
      <c r="MD290" s="22"/>
      <c r="ME290" s="20"/>
      <c r="MF290" s="22"/>
      <c r="MG290" s="20"/>
      <c r="MH290" s="22"/>
      <c r="MI290" s="20"/>
      <c r="MJ290" s="22"/>
      <c r="MK290" s="20"/>
      <c r="ML290" s="22"/>
      <c r="MM290" s="20"/>
      <c r="MN290" s="22"/>
      <c r="MO290" s="20"/>
      <c r="MP290" s="22"/>
      <c r="MQ290" s="20"/>
      <c r="MR290" s="22"/>
      <c r="MS290" s="20"/>
      <c r="MT290" s="22"/>
      <c r="MU290" s="20"/>
      <c r="MV290" s="22"/>
      <c r="MW290" s="20"/>
      <c r="MX290" s="22"/>
      <c r="MY290" s="20"/>
      <c r="MZ290" s="22"/>
      <c r="NA290" s="20"/>
      <c r="NB290" s="22"/>
      <c r="NC290" s="20"/>
      <c r="ND290" s="22"/>
      <c r="NE290" s="20"/>
      <c r="NF290" s="73"/>
    </row>
    <row r="291" ht="15.75" customHeight="1">
      <c r="A291" s="237" t="str">
        <f t="shared" si="2"/>
        <v>-</v>
      </c>
      <c r="B291" s="267"/>
      <c r="C291" s="239"/>
      <c r="D291" s="290"/>
      <c r="E291" s="242" t="s">
        <v>12</v>
      </c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0"/>
      <c r="AJ291" s="20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0"/>
      <c r="AW291" s="20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0"/>
      <c r="BJ291" s="20"/>
      <c r="BK291" s="20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  <c r="EB291" s="22"/>
      <c r="EC291" s="22"/>
      <c r="ED291" s="22"/>
      <c r="EE291" s="22"/>
      <c r="EF291" s="22"/>
      <c r="EG291" s="22"/>
      <c r="EH291" s="22"/>
      <c r="EI291" s="22"/>
      <c r="EJ291" s="22"/>
      <c r="EK291" s="22"/>
      <c r="EL291" s="22"/>
      <c r="EM291" s="22"/>
      <c r="EN291" s="22"/>
      <c r="EO291" s="22"/>
      <c r="EP291" s="22"/>
      <c r="EQ291" s="22"/>
      <c r="ER291" s="22"/>
      <c r="ES291" s="22"/>
      <c r="ET291" s="22"/>
      <c r="EU291" s="22"/>
      <c r="EV291" s="22"/>
      <c r="EW291" s="22"/>
      <c r="EX291" s="22"/>
      <c r="EY291" s="22"/>
      <c r="EZ291" s="22"/>
      <c r="FA291" s="22"/>
      <c r="FB291" s="22"/>
      <c r="FC291" s="22"/>
      <c r="FD291" s="22"/>
      <c r="FE291" s="22"/>
      <c r="FF291" s="22"/>
      <c r="FG291" s="22"/>
      <c r="FH291" s="22"/>
      <c r="FI291" s="22"/>
      <c r="FJ291" s="22"/>
      <c r="FK291" s="22"/>
      <c r="FL291" s="22"/>
      <c r="FM291" s="22"/>
      <c r="FN291" s="22"/>
      <c r="FO291" s="22"/>
      <c r="FP291" s="22"/>
      <c r="FQ291" s="22"/>
      <c r="FR291" s="22"/>
      <c r="FS291" s="22"/>
      <c r="FT291" s="22"/>
      <c r="FU291" s="22"/>
      <c r="FV291" s="22"/>
      <c r="FW291" s="22"/>
      <c r="FX291" s="22"/>
      <c r="FY291" s="22"/>
      <c r="FZ291" s="22"/>
      <c r="GA291" s="22"/>
      <c r="GB291" s="22"/>
      <c r="GC291" s="22"/>
      <c r="GD291" s="22"/>
      <c r="GE291" s="22"/>
      <c r="GF291" s="22"/>
      <c r="GG291" s="22"/>
      <c r="GH291" s="22"/>
      <c r="GI291" s="22"/>
      <c r="GJ291" s="22"/>
      <c r="GK291" s="22"/>
      <c r="GL291" s="22"/>
      <c r="GM291" s="22"/>
      <c r="GN291" s="22"/>
      <c r="GO291" s="22"/>
      <c r="GP291" s="22"/>
      <c r="GQ291" s="22"/>
      <c r="GR291" s="22"/>
      <c r="GS291" s="22"/>
      <c r="GT291" s="22"/>
      <c r="GU291" s="22"/>
      <c r="GV291" s="22"/>
      <c r="GW291" s="22"/>
      <c r="GX291" s="22"/>
      <c r="GY291" s="22"/>
      <c r="GZ291" s="22"/>
      <c r="HA291" s="22"/>
      <c r="HB291" s="22"/>
      <c r="HC291" s="22"/>
      <c r="HD291" s="22"/>
      <c r="HE291" s="22"/>
      <c r="HF291" s="22"/>
      <c r="HG291" s="22"/>
      <c r="HH291" s="22"/>
      <c r="HI291" s="22"/>
      <c r="HJ291" s="22"/>
      <c r="HK291" s="22"/>
      <c r="HL291" s="22"/>
      <c r="HM291" s="22"/>
      <c r="HN291" s="22"/>
      <c r="HO291" s="22"/>
      <c r="HP291" s="22"/>
      <c r="HQ291" s="22"/>
      <c r="HR291" s="22"/>
      <c r="HS291" s="22"/>
      <c r="HT291" s="22"/>
      <c r="HU291" s="22"/>
      <c r="HV291" s="22"/>
      <c r="HW291" s="22"/>
      <c r="HX291" s="22"/>
      <c r="HY291" s="22"/>
      <c r="HZ291" s="22"/>
      <c r="IA291" s="22"/>
      <c r="IB291" s="22"/>
      <c r="IC291" s="22"/>
      <c r="ID291" s="22"/>
      <c r="IE291" s="22"/>
      <c r="IF291" s="22"/>
      <c r="IG291" s="22"/>
      <c r="IH291" s="22"/>
      <c r="II291" s="22"/>
      <c r="IJ291" s="22"/>
      <c r="IK291" s="22"/>
      <c r="IL291" s="22"/>
      <c r="IM291" s="22"/>
      <c r="IN291" s="22"/>
      <c r="IO291" s="22"/>
      <c r="IP291" s="22"/>
      <c r="IQ291" s="22"/>
      <c r="IR291" s="22"/>
      <c r="IS291" s="22"/>
      <c r="IT291" s="22"/>
      <c r="IU291" s="22"/>
      <c r="IV291" s="22"/>
      <c r="IW291" s="22"/>
      <c r="IX291" s="22"/>
      <c r="IY291" s="22"/>
      <c r="IZ291" s="22"/>
      <c r="JA291" s="22"/>
      <c r="JB291" s="22"/>
      <c r="JC291" s="22"/>
      <c r="JD291" s="22"/>
      <c r="JE291" s="22"/>
      <c r="JF291" s="22"/>
      <c r="JG291" s="22"/>
      <c r="JH291" s="22"/>
      <c r="JI291" s="22"/>
      <c r="JJ291" s="22"/>
      <c r="JK291" s="22"/>
      <c r="JL291" s="22"/>
      <c r="JM291" s="22"/>
      <c r="JN291" s="22"/>
      <c r="JO291" s="22"/>
      <c r="JP291" s="22"/>
      <c r="JQ291" s="22"/>
      <c r="JR291" s="22"/>
      <c r="JS291" s="22"/>
      <c r="JT291" s="22"/>
      <c r="JU291" s="22"/>
      <c r="JV291" s="22"/>
      <c r="JW291" s="22"/>
      <c r="JX291" s="22"/>
      <c r="JY291" s="22"/>
      <c r="JZ291" s="22"/>
      <c r="KA291" s="22"/>
      <c r="KB291" s="22"/>
      <c r="KC291" s="22"/>
      <c r="KD291" s="22"/>
      <c r="KE291" s="22"/>
      <c r="KF291" s="22"/>
      <c r="KG291" s="22"/>
      <c r="KH291" s="22"/>
      <c r="KI291" s="22"/>
      <c r="KJ291" s="22"/>
      <c r="KK291" s="22"/>
      <c r="KL291" s="22"/>
      <c r="KM291" s="22"/>
      <c r="KN291" s="22"/>
      <c r="KO291" s="22"/>
      <c r="KP291" s="22"/>
      <c r="KQ291" s="22"/>
      <c r="KR291" s="22"/>
      <c r="KS291" s="22"/>
      <c r="KT291" s="22"/>
      <c r="KU291" s="22"/>
      <c r="KV291" s="22"/>
      <c r="KW291" s="22"/>
      <c r="KX291" s="22"/>
      <c r="KY291" s="22"/>
      <c r="KZ291" s="22"/>
      <c r="LA291" s="22"/>
      <c r="LB291" s="22"/>
      <c r="LC291" s="22"/>
      <c r="LD291" s="22"/>
      <c r="LE291" s="22"/>
      <c r="LF291" s="22"/>
      <c r="LG291" s="22"/>
      <c r="LH291" s="22"/>
      <c r="LI291" s="22"/>
      <c r="LJ291" s="22"/>
      <c r="LK291" s="22"/>
      <c r="LL291" s="22"/>
      <c r="LM291" s="22"/>
      <c r="LN291" s="22"/>
      <c r="LO291" s="22"/>
      <c r="LP291" s="22"/>
      <c r="LQ291" s="22"/>
      <c r="LR291" s="22"/>
      <c r="LS291" s="22"/>
      <c r="LT291" s="22"/>
      <c r="LU291" s="22"/>
      <c r="LV291" s="22"/>
      <c r="LW291" s="22"/>
      <c r="LX291" s="22"/>
      <c r="LY291" s="22"/>
      <c r="LZ291" s="22"/>
      <c r="MA291" s="22"/>
      <c r="MB291" s="22"/>
      <c r="MC291" s="22"/>
      <c r="MD291" s="22"/>
      <c r="ME291" s="22"/>
      <c r="MF291" s="22"/>
      <c r="MG291" s="22"/>
      <c r="MH291" s="22"/>
      <c r="MI291" s="22"/>
      <c r="MJ291" s="22"/>
      <c r="MK291" s="22"/>
      <c r="ML291" s="22"/>
      <c r="MM291" s="22"/>
      <c r="MN291" s="22"/>
      <c r="MO291" s="22"/>
      <c r="MP291" s="22"/>
      <c r="MQ291" s="22"/>
      <c r="MR291" s="22"/>
      <c r="MS291" s="22"/>
      <c r="MT291" s="22"/>
      <c r="MU291" s="22"/>
      <c r="MV291" s="22"/>
      <c r="MW291" s="22"/>
      <c r="MX291" s="22"/>
      <c r="MY291" s="22"/>
      <c r="MZ291" s="22"/>
      <c r="NA291" s="22"/>
      <c r="NB291" s="22"/>
      <c r="NC291" s="22"/>
      <c r="ND291" s="22"/>
      <c r="NE291" s="22"/>
      <c r="NF291" s="22"/>
    </row>
    <row r="292">
      <c r="A292" s="140"/>
      <c r="B292" s="140"/>
      <c r="C292" s="291"/>
      <c r="D292" s="292"/>
      <c r="E292" s="140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/>
      <c r="DY292" s="22"/>
      <c r="DZ292" s="22"/>
      <c r="EA292" s="22"/>
      <c r="EB292" s="22"/>
      <c r="EC292" s="22"/>
      <c r="ED292" s="22"/>
      <c r="EE292" s="22"/>
      <c r="EF292" s="22"/>
      <c r="EG292" s="22"/>
      <c r="EH292" s="22"/>
      <c r="EI292" s="22"/>
      <c r="EJ292" s="22"/>
      <c r="EK292" s="22"/>
      <c r="EL292" s="22"/>
      <c r="EM292" s="22"/>
      <c r="EN292" s="22"/>
      <c r="EO292" s="22"/>
      <c r="EP292" s="22"/>
      <c r="EQ292" s="22"/>
      <c r="ER292" s="22"/>
      <c r="ES292" s="22"/>
      <c r="ET292" s="22"/>
      <c r="EU292" s="22"/>
      <c r="EV292" s="22"/>
      <c r="EW292" s="22"/>
      <c r="EX292" s="22"/>
      <c r="EY292" s="22"/>
      <c r="EZ292" s="22"/>
      <c r="FA292" s="22"/>
      <c r="FB292" s="22"/>
      <c r="FC292" s="22"/>
      <c r="FD292" s="22"/>
      <c r="FE292" s="22"/>
      <c r="FF292" s="22"/>
      <c r="FG292" s="22"/>
      <c r="FH292" s="22"/>
      <c r="FI292" s="22"/>
      <c r="FJ292" s="22"/>
      <c r="FK292" s="22"/>
      <c r="FL292" s="22"/>
      <c r="FM292" s="22"/>
      <c r="FN292" s="22"/>
      <c r="FO292" s="22"/>
      <c r="FP292" s="22"/>
      <c r="FQ292" s="22"/>
      <c r="FR292" s="22"/>
      <c r="FS292" s="22"/>
      <c r="FT292" s="22"/>
      <c r="FU292" s="22"/>
      <c r="FV292" s="22"/>
      <c r="FW292" s="22"/>
      <c r="FX292" s="22"/>
      <c r="FY292" s="22"/>
      <c r="FZ292" s="22"/>
      <c r="GA292" s="22"/>
      <c r="GB292" s="22"/>
      <c r="GC292" s="22"/>
      <c r="GD292" s="22"/>
      <c r="GE292" s="22"/>
      <c r="GF292" s="22"/>
      <c r="GG292" s="22"/>
      <c r="GH292" s="22"/>
      <c r="GI292" s="22"/>
      <c r="GJ292" s="22"/>
      <c r="GK292" s="22"/>
      <c r="GL292" s="22"/>
      <c r="GM292" s="22"/>
      <c r="GN292" s="22"/>
      <c r="GO292" s="22"/>
      <c r="GP292" s="22"/>
      <c r="GQ292" s="22"/>
      <c r="GR292" s="22"/>
      <c r="GS292" s="22"/>
      <c r="GT292" s="22"/>
      <c r="GU292" s="22"/>
      <c r="GV292" s="22"/>
      <c r="GW292" s="22"/>
      <c r="GX292" s="22"/>
      <c r="GY292" s="22"/>
      <c r="GZ292" s="22"/>
      <c r="HA292" s="22"/>
      <c r="HB292" s="22"/>
      <c r="HC292" s="22"/>
      <c r="HD292" s="22"/>
      <c r="HE292" s="22"/>
      <c r="HF292" s="22"/>
      <c r="HG292" s="22"/>
      <c r="HH292" s="22"/>
      <c r="HI292" s="22"/>
      <c r="HJ292" s="22"/>
      <c r="HK292" s="22"/>
      <c r="HL292" s="22"/>
      <c r="HM292" s="22"/>
      <c r="HN292" s="22"/>
      <c r="HO292" s="22"/>
      <c r="HP292" s="22"/>
      <c r="HQ292" s="22"/>
      <c r="HR292" s="22"/>
      <c r="HS292" s="22"/>
      <c r="HT292" s="22"/>
      <c r="HU292" s="22"/>
      <c r="HV292" s="22"/>
      <c r="HW292" s="22"/>
      <c r="HX292" s="22"/>
      <c r="HY292" s="22"/>
      <c r="HZ292" s="22"/>
      <c r="IA292" s="22"/>
      <c r="IB292" s="22"/>
      <c r="IC292" s="22"/>
      <c r="ID292" s="22"/>
      <c r="IE292" s="22"/>
      <c r="IF292" s="22"/>
      <c r="IG292" s="22"/>
      <c r="IH292" s="22"/>
      <c r="II292" s="22"/>
      <c r="IJ292" s="22"/>
      <c r="IK292" s="22"/>
      <c r="IL292" s="22"/>
      <c r="IM292" s="22"/>
      <c r="IN292" s="22"/>
      <c r="IO292" s="22"/>
      <c r="IP292" s="22"/>
      <c r="IQ292" s="22"/>
      <c r="IR292" s="22"/>
      <c r="IS292" s="22"/>
      <c r="IT292" s="22"/>
      <c r="IU292" s="22"/>
      <c r="IV292" s="22"/>
      <c r="IW292" s="22"/>
      <c r="IX292" s="22"/>
      <c r="IY292" s="22"/>
      <c r="IZ292" s="22"/>
      <c r="JA292" s="22"/>
      <c r="JB292" s="22"/>
      <c r="JC292" s="22"/>
      <c r="JD292" s="22"/>
      <c r="JE292" s="22"/>
      <c r="JF292" s="22"/>
      <c r="JG292" s="22"/>
      <c r="JH292" s="22"/>
      <c r="JI292" s="22"/>
      <c r="JJ292" s="22"/>
      <c r="JK292" s="22"/>
      <c r="JL292" s="22"/>
      <c r="JM292" s="22"/>
      <c r="JN292" s="22"/>
      <c r="JO292" s="22"/>
      <c r="JP292" s="22"/>
      <c r="JQ292" s="22"/>
      <c r="JR292" s="22"/>
      <c r="JS292" s="22"/>
      <c r="JT292" s="22"/>
      <c r="JU292" s="22"/>
      <c r="JV292" s="22"/>
      <c r="JW292" s="22"/>
      <c r="JX292" s="22"/>
      <c r="JY292" s="22"/>
      <c r="JZ292" s="22"/>
      <c r="KA292" s="22"/>
      <c r="KB292" s="22"/>
      <c r="KC292" s="22"/>
      <c r="KD292" s="22"/>
      <c r="KE292" s="22"/>
      <c r="KF292" s="22"/>
      <c r="KG292" s="22"/>
      <c r="KH292" s="22"/>
      <c r="KI292" s="22"/>
      <c r="KJ292" s="22"/>
      <c r="KK292" s="22"/>
      <c r="KL292" s="22"/>
      <c r="KM292" s="22"/>
      <c r="KN292" s="22"/>
      <c r="KO292" s="22"/>
      <c r="KP292" s="22"/>
      <c r="KQ292" s="22"/>
      <c r="KR292" s="22"/>
      <c r="KS292" s="22"/>
      <c r="KT292" s="22"/>
      <c r="KU292" s="22"/>
      <c r="KV292" s="22"/>
      <c r="KW292" s="22"/>
      <c r="KX292" s="22"/>
      <c r="KY292" s="22"/>
      <c r="KZ292" s="22"/>
      <c r="LA292" s="22"/>
      <c r="LB292" s="22"/>
      <c r="LC292" s="22"/>
      <c r="LD292" s="22"/>
      <c r="LE292" s="22"/>
      <c r="LF292" s="22"/>
      <c r="LG292" s="22"/>
      <c r="LH292" s="22"/>
      <c r="LI292" s="22"/>
      <c r="LJ292" s="22"/>
      <c r="LK292" s="22"/>
      <c r="LL292" s="22"/>
      <c r="LM292" s="22"/>
      <c r="LN292" s="22"/>
      <c r="LO292" s="22"/>
      <c r="LP292" s="22"/>
      <c r="LQ292" s="22"/>
      <c r="LR292" s="22"/>
      <c r="LS292" s="22"/>
      <c r="LT292" s="22"/>
      <c r="LU292" s="22"/>
      <c r="LV292" s="22"/>
      <c r="LW292" s="22"/>
      <c r="LX292" s="22"/>
      <c r="LY292" s="22"/>
      <c r="LZ292" s="22"/>
      <c r="MA292" s="22"/>
      <c r="MB292" s="22"/>
      <c r="MC292" s="22"/>
      <c r="MD292" s="22"/>
      <c r="ME292" s="22"/>
      <c r="MF292" s="22"/>
      <c r="MG292" s="22"/>
      <c r="MH292" s="22"/>
      <c r="MI292" s="22"/>
      <c r="MJ292" s="22"/>
      <c r="MK292" s="22"/>
      <c r="ML292" s="22"/>
      <c r="MM292" s="22"/>
      <c r="MN292" s="22"/>
      <c r="MO292" s="22"/>
      <c r="MP292" s="22"/>
      <c r="MQ292" s="22"/>
      <c r="MR292" s="22"/>
      <c r="MS292" s="22"/>
      <c r="MT292" s="22"/>
      <c r="MU292" s="22"/>
      <c r="MV292" s="22"/>
      <c r="MW292" s="22"/>
      <c r="MX292" s="22"/>
      <c r="MY292" s="22"/>
      <c r="MZ292" s="22"/>
      <c r="NA292" s="22"/>
      <c r="NB292" s="22"/>
      <c r="NC292" s="22"/>
      <c r="ND292" s="22"/>
      <c r="NE292" s="22"/>
      <c r="NF292" s="22"/>
    </row>
    <row r="293">
      <c r="A293" s="293">
        <f>SUBTOTAL(109,A32:A291)</f>
        <v>44</v>
      </c>
      <c r="B293" s="143"/>
      <c r="C293" s="140"/>
      <c r="D293" s="292"/>
      <c r="E293" s="140"/>
      <c r="F293" s="294" t="str">
        <f t="shared" ref="F293:CQ293" si="3">IF(ISBLANK(F32:F127),"",IF(SUM(F32:F127)=0,"-",SUM(F32:F127)))</f>
        <v>-</v>
      </c>
      <c r="G293" s="294">
        <f t="shared" si="3"/>
        <v>8</v>
      </c>
      <c r="H293" s="294" t="str">
        <f t="shared" si="3"/>
        <v>-</v>
      </c>
      <c r="I293" s="294" t="str">
        <f t="shared" si="3"/>
        <v>-</v>
      </c>
      <c r="J293" s="294">
        <f t="shared" si="3"/>
        <v>8</v>
      </c>
      <c r="K293" s="294">
        <f t="shared" si="3"/>
        <v>8</v>
      </c>
      <c r="L293" s="294" t="str">
        <f t="shared" si="3"/>
        <v>-</v>
      </c>
      <c r="M293" s="294" t="str">
        <f t="shared" si="3"/>
        <v>-</v>
      </c>
      <c r="N293" s="294" t="str">
        <f t="shared" si="3"/>
        <v>-</v>
      </c>
      <c r="O293" s="294" t="str">
        <f t="shared" si="3"/>
        <v>-</v>
      </c>
      <c r="P293" s="294" t="str">
        <f t="shared" si="3"/>
        <v>-</v>
      </c>
      <c r="Q293" s="294">
        <f t="shared" si="3"/>
        <v>7</v>
      </c>
      <c r="R293" s="294">
        <f t="shared" si="3"/>
        <v>7</v>
      </c>
      <c r="S293" s="294">
        <f t="shared" si="3"/>
        <v>8</v>
      </c>
      <c r="T293" s="294">
        <f t="shared" si="3"/>
        <v>8</v>
      </c>
      <c r="U293" s="294">
        <f t="shared" si="3"/>
        <v>7</v>
      </c>
      <c r="V293" s="294" t="str">
        <f t="shared" si="3"/>
        <v>-</v>
      </c>
      <c r="W293" s="294" t="str">
        <f t="shared" si="3"/>
        <v>-</v>
      </c>
      <c r="X293" s="294">
        <f t="shared" si="3"/>
        <v>8</v>
      </c>
      <c r="Y293" s="294">
        <f t="shared" si="3"/>
        <v>8</v>
      </c>
      <c r="Z293" s="294">
        <f t="shared" si="3"/>
        <v>7</v>
      </c>
      <c r="AA293" s="294">
        <f t="shared" si="3"/>
        <v>8</v>
      </c>
      <c r="AB293" s="294">
        <f t="shared" si="3"/>
        <v>8</v>
      </c>
      <c r="AC293" s="294" t="str">
        <f t="shared" si="3"/>
        <v>-</v>
      </c>
      <c r="AD293" s="294" t="str">
        <f t="shared" si="3"/>
        <v>-</v>
      </c>
      <c r="AE293" s="294">
        <f t="shared" si="3"/>
        <v>8</v>
      </c>
      <c r="AF293" s="294">
        <f t="shared" si="3"/>
        <v>7</v>
      </c>
      <c r="AG293" s="294">
        <f t="shared" si="3"/>
        <v>7</v>
      </c>
      <c r="AH293" s="294">
        <f t="shared" si="3"/>
        <v>12</v>
      </c>
      <c r="AI293" s="294">
        <f t="shared" si="3"/>
        <v>10</v>
      </c>
      <c r="AJ293" s="294" t="str">
        <f t="shared" si="3"/>
        <v>-</v>
      </c>
      <c r="AK293" s="294" t="str">
        <f t="shared" si="3"/>
        <v>-</v>
      </c>
      <c r="AL293" s="294">
        <f t="shared" si="3"/>
        <v>8</v>
      </c>
      <c r="AM293" s="294">
        <f t="shared" si="3"/>
        <v>8</v>
      </c>
      <c r="AN293" s="294">
        <f t="shared" si="3"/>
        <v>7</v>
      </c>
      <c r="AO293" s="294">
        <f t="shared" si="3"/>
        <v>6</v>
      </c>
      <c r="AP293" s="294">
        <f t="shared" si="3"/>
        <v>4</v>
      </c>
      <c r="AQ293" s="294" t="str">
        <f t="shared" si="3"/>
        <v>-</v>
      </c>
      <c r="AR293" s="294" t="str">
        <f t="shared" si="3"/>
        <v>-</v>
      </c>
      <c r="AS293" s="294">
        <f t="shared" si="3"/>
        <v>13</v>
      </c>
      <c r="AT293" s="294">
        <f t="shared" si="3"/>
        <v>12</v>
      </c>
      <c r="AU293" s="294">
        <f t="shared" si="3"/>
        <v>9</v>
      </c>
      <c r="AV293" s="294">
        <f t="shared" si="3"/>
        <v>8</v>
      </c>
      <c r="AW293" s="294">
        <f t="shared" si="3"/>
        <v>9</v>
      </c>
      <c r="AX293" s="294" t="str">
        <f t="shared" si="3"/>
        <v>-</v>
      </c>
      <c r="AY293" s="294" t="str">
        <f t="shared" si="3"/>
        <v>-</v>
      </c>
      <c r="AZ293" s="294" t="str">
        <f t="shared" si="3"/>
        <v>-</v>
      </c>
      <c r="BA293" s="294" t="str">
        <f t="shared" si="3"/>
        <v>-</v>
      </c>
      <c r="BB293" s="294" t="str">
        <f t="shared" si="3"/>
        <v>-</v>
      </c>
      <c r="BC293" s="294" t="str">
        <f t="shared" si="3"/>
        <v>-</v>
      </c>
      <c r="BD293" s="294">
        <f t="shared" si="3"/>
        <v>10</v>
      </c>
      <c r="BE293" s="294" t="str">
        <f t="shared" si="3"/>
        <v>-</v>
      </c>
      <c r="BF293" s="294" t="str">
        <f t="shared" si="3"/>
        <v>-</v>
      </c>
      <c r="BG293" s="294">
        <f t="shared" si="3"/>
        <v>7</v>
      </c>
      <c r="BH293" s="294">
        <f t="shared" si="3"/>
        <v>8</v>
      </c>
      <c r="BI293" s="294">
        <f t="shared" si="3"/>
        <v>10</v>
      </c>
      <c r="BJ293" s="294">
        <f t="shared" si="3"/>
        <v>8</v>
      </c>
      <c r="BK293" s="294">
        <f t="shared" si="3"/>
        <v>8</v>
      </c>
      <c r="BL293" s="294" t="str">
        <f t="shared" si="3"/>
        <v>-</v>
      </c>
      <c r="BM293" s="294" t="str">
        <f t="shared" si="3"/>
        <v>-</v>
      </c>
      <c r="BN293" s="294" t="str">
        <f t="shared" si="3"/>
        <v>-</v>
      </c>
      <c r="BO293" s="294">
        <f t="shared" si="3"/>
        <v>9</v>
      </c>
      <c r="BP293" s="294">
        <f t="shared" si="3"/>
        <v>7</v>
      </c>
      <c r="BQ293" s="294">
        <f t="shared" si="3"/>
        <v>7</v>
      </c>
      <c r="BR293" s="294">
        <f t="shared" si="3"/>
        <v>7</v>
      </c>
      <c r="BS293" s="294" t="str">
        <f t="shared" si="3"/>
        <v>-</v>
      </c>
      <c r="BT293" s="294" t="str">
        <f t="shared" si="3"/>
        <v>-</v>
      </c>
      <c r="BU293" s="294">
        <f t="shared" si="3"/>
        <v>6</v>
      </c>
      <c r="BV293" s="294">
        <f t="shared" si="3"/>
        <v>7</v>
      </c>
      <c r="BW293" s="294">
        <f t="shared" si="3"/>
        <v>7</v>
      </c>
      <c r="BX293" s="294">
        <f t="shared" si="3"/>
        <v>10</v>
      </c>
      <c r="BY293" s="294">
        <f t="shared" si="3"/>
        <v>7</v>
      </c>
      <c r="BZ293" s="294" t="str">
        <f t="shared" si="3"/>
        <v>-</v>
      </c>
      <c r="CA293" s="294" t="str">
        <f t="shared" si="3"/>
        <v>-</v>
      </c>
      <c r="CB293" s="294">
        <f t="shared" si="3"/>
        <v>8</v>
      </c>
      <c r="CC293" s="294">
        <f t="shared" si="3"/>
        <v>8</v>
      </c>
      <c r="CD293" s="294">
        <f t="shared" si="3"/>
        <v>7</v>
      </c>
      <c r="CE293" s="294">
        <f t="shared" si="3"/>
        <v>8</v>
      </c>
      <c r="CF293" s="294">
        <f t="shared" si="3"/>
        <v>7</v>
      </c>
      <c r="CG293" s="294" t="str">
        <f t="shared" si="3"/>
        <v>-</v>
      </c>
      <c r="CH293" s="294" t="str">
        <f t="shared" si="3"/>
        <v>-</v>
      </c>
      <c r="CI293" s="294">
        <f t="shared" si="3"/>
        <v>7</v>
      </c>
      <c r="CJ293" s="294">
        <f t="shared" si="3"/>
        <v>7</v>
      </c>
      <c r="CK293" s="294">
        <f t="shared" si="3"/>
        <v>8</v>
      </c>
      <c r="CL293" s="294">
        <f t="shared" si="3"/>
        <v>7</v>
      </c>
      <c r="CM293" s="294">
        <f t="shared" si="3"/>
        <v>4</v>
      </c>
      <c r="CN293" s="294" t="str">
        <f t="shared" si="3"/>
        <v>-</v>
      </c>
      <c r="CO293" s="294" t="str">
        <f t="shared" si="3"/>
        <v>-</v>
      </c>
      <c r="CP293" s="294">
        <f t="shared" si="3"/>
        <v>10</v>
      </c>
      <c r="CQ293" s="294">
        <f t="shared" si="3"/>
        <v>9</v>
      </c>
      <c r="CR293" s="294">
        <f t="shared" ref="CR293:NF293" si="4">IF(ISBLANK(CR32:CR291),"",IF(SUM(CR32:CR291)=0,"-",SUM(CR32:CR291)))</f>
        <v>8</v>
      </c>
      <c r="CS293" s="294">
        <f t="shared" si="4"/>
        <v>7</v>
      </c>
      <c r="CT293" s="294">
        <f t="shared" si="4"/>
        <v>8</v>
      </c>
      <c r="CU293" s="294" t="str">
        <f t="shared" si="4"/>
        <v>-</v>
      </c>
      <c r="CV293" s="294" t="str">
        <f t="shared" si="4"/>
        <v>-</v>
      </c>
      <c r="CW293" s="294">
        <f t="shared" si="4"/>
        <v>8</v>
      </c>
      <c r="CX293" s="294">
        <f t="shared" si="4"/>
        <v>8</v>
      </c>
      <c r="CY293" s="294">
        <f t="shared" si="4"/>
        <v>7</v>
      </c>
      <c r="CZ293" s="294">
        <f t="shared" si="4"/>
        <v>8</v>
      </c>
      <c r="DA293" s="294" t="str">
        <f t="shared" si="4"/>
        <v>-</v>
      </c>
      <c r="DB293" s="294" t="str">
        <f t="shared" si="4"/>
        <v>-</v>
      </c>
      <c r="DC293" s="294" t="str">
        <f t="shared" si="4"/>
        <v>-</v>
      </c>
      <c r="DD293" s="294">
        <f t="shared" si="4"/>
        <v>8</v>
      </c>
      <c r="DE293" s="294">
        <f t="shared" si="4"/>
        <v>8</v>
      </c>
      <c r="DF293" s="294">
        <f t="shared" si="4"/>
        <v>8</v>
      </c>
      <c r="DG293" s="294">
        <f t="shared" si="4"/>
        <v>7</v>
      </c>
      <c r="DH293" s="294">
        <f t="shared" si="4"/>
        <v>8</v>
      </c>
      <c r="DI293" s="294" t="str">
        <f t="shared" si="4"/>
        <v>-</v>
      </c>
      <c r="DJ293" s="294" t="str">
        <f t="shared" si="4"/>
        <v>-</v>
      </c>
      <c r="DK293" s="294" t="str">
        <f t="shared" si="4"/>
        <v>-</v>
      </c>
      <c r="DL293" s="294">
        <f t="shared" si="4"/>
        <v>8</v>
      </c>
      <c r="DM293" s="294">
        <f t="shared" si="4"/>
        <v>8</v>
      </c>
      <c r="DN293" s="294">
        <f t="shared" si="4"/>
        <v>9</v>
      </c>
      <c r="DO293" s="294">
        <f t="shared" si="4"/>
        <v>8</v>
      </c>
      <c r="DP293" s="294" t="str">
        <f t="shared" si="4"/>
        <v>-</v>
      </c>
      <c r="DQ293" s="294" t="str">
        <f t="shared" si="4"/>
        <v>-</v>
      </c>
      <c r="DR293" s="294">
        <f t="shared" si="4"/>
        <v>8</v>
      </c>
      <c r="DS293" s="294">
        <f t="shared" si="4"/>
        <v>9</v>
      </c>
      <c r="DT293" s="294" t="str">
        <f t="shared" si="4"/>
        <v>-</v>
      </c>
      <c r="DU293" s="294">
        <f t="shared" si="4"/>
        <v>10</v>
      </c>
      <c r="DV293" s="294" t="str">
        <f t="shared" si="4"/>
        <v>-</v>
      </c>
      <c r="DW293" s="294" t="str">
        <f t="shared" si="4"/>
        <v>-</v>
      </c>
      <c r="DX293" s="294" t="str">
        <f t="shared" si="4"/>
        <v>-</v>
      </c>
      <c r="DY293" s="294">
        <f t="shared" si="4"/>
        <v>8</v>
      </c>
      <c r="DZ293" s="294" t="str">
        <f t="shared" si="4"/>
        <v>-</v>
      </c>
      <c r="EA293" s="294">
        <f t="shared" si="4"/>
        <v>9</v>
      </c>
      <c r="EB293" s="294">
        <f t="shared" si="4"/>
        <v>8</v>
      </c>
      <c r="EC293" s="294">
        <f t="shared" si="4"/>
        <v>7</v>
      </c>
      <c r="ED293" s="294" t="str">
        <f t="shared" si="4"/>
        <v>-</v>
      </c>
      <c r="EE293" s="294" t="str">
        <f t="shared" si="4"/>
        <v>-</v>
      </c>
      <c r="EF293" s="294">
        <f t="shared" si="4"/>
        <v>8</v>
      </c>
      <c r="EG293" s="294">
        <f t="shared" si="4"/>
        <v>8</v>
      </c>
      <c r="EH293" s="294">
        <f t="shared" si="4"/>
        <v>8</v>
      </c>
      <c r="EI293" s="294">
        <f t="shared" si="4"/>
        <v>8</v>
      </c>
      <c r="EJ293" s="294">
        <f t="shared" si="4"/>
        <v>12</v>
      </c>
      <c r="EK293" s="294" t="str">
        <f t="shared" si="4"/>
        <v>-</v>
      </c>
      <c r="EL293" s="294" t="str">
        <f t="shared" si="4"/>
        <v>-</v>
      </c>
      <c r="EM293" s="294">
        <f t="shared" si="4"/>
        <v>9</v>
      </c>
      <c r="EN293" s="294">
        <f t="shared" si="4"/>
        <v>9</v>
      </c>
      <c r="EO293" s="294">
        <f t="shared" si="4"/>
        <v>12</v>
      </c>
      <c r="EP293" s="294">
        <f t="shared" si="4"/>
        <v>12</v>
      </c>
      <c r="EQ293" s="294" t="str">
        <f t="shared" si="4"/>
        <v>-</v>
      </c>
      <c r="ER293" s="294" t="str">
        <f t="shared" si="4"/>
        <v>-</v>
      </c>
      <c r="ES293" s="294" t="str">
        <f t="shared" si="4"/>
        <v>-</v>
      </c>
      <c r="ET293" s="294" t="str">
        <f t="shared" si="4"/>
        <v>-</v>
      </c>
      <c r="EU293" s="294">
        <f t="shared" si="4"/>
        <v>8</v>
      </c>
      <c r="EV293" s="294">
        <f t="shared" si="4"/>
        <v>9</v>
      </c>
      <c r="EW293" s="294">
        <f t="shared" si="4"/>
        <v>8</v>
      </c>
      <c r="EX293" s="294">
        <f t="shared" si="4"/>
        <v>7</v>
      </c>
      <c r="EY293" s="294" t="str">
        <f t="shared" si="4"/>
        <v>-</v>
      </c>
      <c r="EZ293" s="294" t="str">
        <f t="shared" si="4"/>
        <v>-</v>
      </c>
      <c r="FA293" s="294">
        <f t="shared" si="4"/>
        <v>8</v>
      </c>
      <c r="FB293" s="294">
        <f t="shared" si="4"/>
        <v>8</v>
      </c>
      <c r="FC293" s="294" t="str">
        <f t="shared" si="4"/>
        <v>-</v>
      </c>
      <c r="FD293" s="294">
        <f t="shared" si="4"/>
        <v>8</v>
      </c>
      <c r="FE293" s="294">
        <f t="shared" si="4"/>
        <v>8</v>
      </c>
      <c r="FF293" s="294" t="str">
        <f t="shared" si="4"/>
        <v>-</v>
      </c>
      <c r="FG293" s="294" t="str">
        <f t="shared" si="4"/>
        <v>-</v>
      </c>
      <c r="FH293" s="294">
        <f t="shared" si="4"/>
        <v>8</v>
      </c>
      <c r="FI293" s="294">
        <f t="shared" si="4"/>
        <v>9</v>
      </c>
      <c r="FJ293" s="294">
        <f t="shared" si="4"/>
        <v>7</v>
      </c>
      <c r="FK293" s="294">
        <f t="shared" si="4"/>
        <v>8</v>
      </c>
      <c r="FL293" s="294">
        <f t="shared" si="4"/>
        <v>7</v>
      </c>
      <c r="FM293" s="294" t="str">
        <f t="shared" si="4"/>
        <v>-</v>
      </c>
      <c r="FN293" s="294" t="str">
        <f t="shared" si="4"/>
        <v>-</v>
      </c>
      <c r="FO293" s="294">
        <f t="shared" si="4"/>
        <v>8</v>
      </c>
      <c r="FP293" s="294">
        <f t="shared" si="4"/>
        <v>7</v>
      </c>
      <c r="FQ293" s="294">
        <f t="shared" si="4"/>
        <v>7</v>
      </c>
      <c r="FR293" s="294">
        <f t="shared" si="4"/>
        <v>7</v>
      </c>
      <c r="FS293" s="294">
        <f t="shared" si="4"/>
        <v>7</v>
      </c>
      <c r="FT293" s="294" t="str">
        <f t="shared" si="4"/>
        <v>-</v>
      </c>
      <c r="FU293" s="294" t="str">
        <f t="shared" si="4"/>
        <v>-</v>
      </c>
      <c r="FV293" s="294">
        <f t="shared" si="4"/>
        <v>7</v>
      </c>
      <c r="FW293" s="294">
        <f t="shared" si="4"/>
        <v>7</v>
      </c>
      <c r="FX293" s="294">
        <f t="shared" si="4"/>
        <v>7</v>
      </c>
      <c r="FY293" s="294">
        <f t="shared" si="4"/>
        <v>7</v>
      </c>
      <c r="FZ293" s="294">
        <f t="shared" si="4"/>
        <v>8</v>
      </c>
      <c r="GA293" s="294" t="str">
        <f t="shared" si="4"/>
        <v>-</v>
      </c>
      <c r="GB293" s="294" t="str">
        <f t="shared" si="4"/>
        <v>-</v>
      </c>
      <c r="GC293" s="294">
        <f t="shared" si="4"/>
        <v>7</v>
      </c>
      <c r="GD293" s="294">
        <f t="shared" si="4"/>
        <v>7</v>
      </c>
      <c r="GE293" s="294">
        <f t="shared" si="4"/>
        <v>7</v>
      </c>
      <c r="GF293" s="294">
        <f t="shared" si="4"/>
        <v>8</v>
      </c>
      <c r="GG293" s="294">
        <f t="shared" si="4"/>
        <v>8</v>
      </c>
      <c r="GH293" s="294" t="str">
        <f t="shared" si="4"/>
        <v>-</v>
      </c>
      <c r="GI293" s="294" t="str">
        <f t="shared" si="4"/>
        <v>-</v>
      </c>
      <c r="GJ293" s="294">
        <f t="shared" si="4"/>
        <v>7</v>
      </c>
      <c r="GK293" s="294">
        <f t="shared" si="4"/>
        <v>8</v>
      </c>
      <c r="GL293" s="294">
        <f t="shared" si="4"/>
        <v>8</v>
      </c>
      <c r="GM293" s="294">
        <f t="shared" si="4"/>
        <v>7</v>
      </c>
      <c r="GN293" s="294">
        <f t="shared" si="4"/>
        <v>6</v>
      </c>
      <c r="GO293" s="294" t="str">
        <f t="shared" si="4"/>
        <v>-</v>
      </c>
      <c r="GP293" s="294" t="str">
        <f t="shared" si="4"/>
        <v>-</v>
      </c>
      <c r="GQ293" s="294">
        <f t="shared" si="4"/>
        <v>8</v>
      </c>
      <c r="GR293" s="294">
        <f t="shared" si="4"/>
        <v>8</v>
      </c>
      <c r="GS293" s="294">
        <f t="shared" si="4"/>
        <v>7</v>
      </c>
      <c r="GT293" s="294">
        <f t="shared" si="4"/>
        <v>8</v>
      </c>
      <c r="GU293" s="294" t="str">
        <f t="shared" si="4"/>
        <v>-</v>
      </c>
      <c r="GV293" s="294" t="str">
        <f t="shared" si="4"/>
        <v>-</v>
      </c>
      <c r="GW293" s="294" t="str">
        <f t="shared" si="4"/>
        <v>-</v>
      </c>
      <c r="GX293" s="294">
        <f t="shared" si="4"/>
        <v>7</v>
      </c>
      <c r="GY293" s="294">
        <f t="shared" si="4"/>
        <v>7</v>
      </c>
      <c r="GZ293" s="294">
        <f t="shared" si="4"/>
        <v>9</v>
      </c>
      <c r="HA293" s="294">
        <f t="shared" si="4"/>
        <v>8</v>
      </c>
      <c r="HB293" s="294">
        <f t="shared" si="4"/>
        <v>9</v>
      </c>
      <c r="HC293" s="294" t="str">
        <f t="shared" si="4"/>
        <v>-</v>
      </c>
      <c r="HD293" s="294" t="str">
        <f t="shared" si="4"/>
        <v>-</v>
      </c>
      <c r="HE293" s="294">
        <f t="shared" si="4"/>
        <v>7</v>
      </c>
      <c r="HF293" s="294">
        <f t="shared" si="4"/>
        <v>7</v>
      </c>
      <c r="HG293" s="294">
        <f t="shared" si="4"/>
        <v>7</v>
      </c>
      <c r="HH293" s="294">
        <f t="shared" si="4"/>
        <v>7</v>
      </c>
      <c r="HI293" s="294">
        <f t="shared" si="4"/>
        <v>8</v>
      </c>
      <c r="HJ293" s="294" t="str">
        <f t="shared" si="4"/>
        <v>-</v>
      </c>
      <c r="HK293" s="294" t="str">
        <f t="shared" si="4"/>
        <v>-</v>
      </c>
      <c r="HL293" s="294">
        <f t="shared" si="4"/>
        <v>7</v>
      </c>
      <c r="HM293" s="294">
        <f t="shared" si="4"/>
        <v>8</v>
      </c>
      <c r="HN293" s="294">
        <f t="shared" si="4"/>
        <v>7</v>
      </c>
      <c r="HO293" s="294">
        <f t="shared" si="4"/>
        <v>7</v>
      </c>
      <c r="HP293" s="294">
        <f t="shared" si="4"/>
        <v>8</v>
      </c>
      <c r="HQ293" s="294" t="str">
        <f t="shared" si="4"/>
        <v>-</v>
      </c>
      <c r="HR293" s="294" t="str">
        <f t="shared" si="4"/>
        <v>-</v>
      </c>
      <c r="HS293" s="294">
        <f t="shared" si="4"/>
        <v>8</v>
      </c>
      <c r="HT293" s="294" t="str">
        <f t="shared" si="4"/>
        <v>-</v>
      </c>
      <c r="HU293" s="294">
        <f t="shared" si="4"/>
        <v>7</v>
      </c>
      <c r="HV293" s="294">
        <f t="shared" si="4"/>
        <v>9</v>
      </c>
      <c r="HW293" s="294">
        <f t="shared" si="4"/>
        <v>6</v>
      </c>
      <c r="HX293" s="294" t="str">
        <f t="shared" si="4"/>
        <v>-</v>
      </c>
      <c r="HY293" s="294" t="str">
        <f t="shared" si="4"/>
        <v>-</v>
      </c>
      <c r="HZ293" s="294" t="str">
        <f t="shared" si="4"/>
        <v>-</v>
      </c>
      <c r="IA293" s="294">
        <f t="shared" si="4"/>
        <v>7</v>
      </c>
      <c r="IB293" s="294">
        <f t="shared" si="4"/>
        <v>7</v>
      </c>
      <c r="IC293" s="294">
        <f t="shared" si="4"/>
        <v>7</v>
      </c>
      <c r="ID293" s="294">
        <f t="shared" si="4"/>
        <v>4</v>
      </c>
      <c r="IE293" s="294" t="str">
        <f t="shared" si="4"/>
        <v>-</v>
      </c>
      <c r="IF293" s="294" t="str">
        <f t="shared" si="4"/>
        <v>-</v>
      </c>
      <c r="IG293" s="294">
        <f t="shared" si="4"/>
        <v>8</v>
      </c>
      <c r="IH293" s="294">
        <f t="shared" si="4"/>
        <v>8</v>
      </c>
      <c r="II293" s="294">
        <f t="shared" si="4"/>
        <v>7</v>
      </c>
      <c r="IJ293" s="294">
        <f t="shared" si="4"/>
        <v>8</v>
      </c>
      <c r="IK293" s="294">
        <f t="shared" si="4"/>
        <v>8</v>
      </c>
      <c r="IL293" s="294" t="str">
        <f t="shared" si="4"/>
        <v>-</v>
      </c>
      <c r="IM293" s="294" t="str">
        <f t="shared" si="4"/>
        <v>-</v>
      </c>
      <c r="IN293" s="294">
        <f t="shared" si="4"/>
        <v>8</v>
      </c>
      <c r="IO293" s="294">
        <f t="shared" si="4"/>
        <v>8</v>
      </c>
      <c r="IP293" s="294">
        <f t="shared" si="4"/>
        <v>9</v>
      </c>
      <c r="IQ293" s="294">
        <f t="shared" si="4"/>
        <v>12</v>
      </c>
      <c r="IR293" s="294">
        <f t="shared" si="4"/>
        <v>8</v>
      </c>
      <c r="IS293" s="294" t="str">
        <f t="shared" si="4"/>
        <v>-</v>
      </c>
      <c r="IT293" s="294" t="str">
        <f t="shared" si="4"/>
        <v>-</v>
      </c>
      <c r="IU293" s="294">
        <f t="shared" si="4"/>
        <v>7</v>
      </c>
      <c r="IV293" s="294" t="str">
        <f t="shared" si="4"/>
        <v>-</v>
      </c>
      <c r="IW293" s="294" t="str">
        <f t="shared" si="4"/>
        <v>-</v>
      </c>
      <c r="IX293" s="294" t="str">
        <f t="shared" si="4"/>
        <v>-</v>
      </c>
      <c r="IY293" s="294" t="str">
        <f t="shared" si="4"/>
        <v>-</v>
      </c>
      <c r="IZ293" s="294" t="str">
        <f t="shared" si="4"/>
        <v>-</v>
      </c>
      <c r="JA293" s="294" t="str">
        <f t="shared" si="4"/>
        <v>-</v>
      </c>
      <c r="JB293" s="294" t="str">
        <f t="shared" si="4"/>
        <v>-</v>
      </c>
      <c r="JC293" s="294" t="str">
        <f t="shared" si="4"/>
        <v>-</v>
      </c>
      <c r="JD293" s="294" t="str">
        <f t="shared" si="4"/>
        <v>-</v>
      </c>
      <c r="JE293" s="294" t="str">
        <f t="shared" si="4"/>
        <v>-</v>
      </c>
      <c r="JF293" s="294" t="str">
        <f t="shared" si="4"/>
        <v>-</v>
      </c>
      <c r="JG293" s="294" t="str">
        <f t="shared" si="4"/>
        <v>-</v>
      </c>
      <c r="JH293" s="294" t="str">
        <f t="shared" si="4"/>
        <v>-</v>
      </c>
      <c r="JI293" s="294" t="str">
        <f t="shared" si="4"/>
        <v>-</v>
      </c>
      <c r="JJ293" s="294" t="str">
        <f t="shared" si="4"/>
        <v>-</v>
      </c>
      <c r="JK293" s="294" t="str">
        <f t="shared" si="4"/>
        <v>-</v>
      </c>
      <c r="JL293" s="294" t="str">
        <f t="shared" si="4"/>
        <v>-</v>
      </c>
      <c r="JM293" s="294" t="str">
        <f t="shared" si="4"/>
        <v>-</v>
      </c>
      <c r="JN293" s="294" t="str">
        <f t="shared" si="4"/>
        <v>-</v>
      </c>
      <c r="JO293" s="294" t="str">
        <f t="shared" si="4"/>
        <v>-</v>
      </c>
      <c r="JP293" s="294" t="str">
        <f t="shared" si="4"/>
        <v>-</v>
      </c>
      <c r="JQ293" s="294" t="str">
        <f t="shared" si="4"/>
        <v>-</v>
      </c>
      <c r="JR293" s="294" t="str">
        <f t="shared" si="4"/>
        <v>-</v>
      </c>
      <c r="JS293" s="294" t="str">
        <f t="shared" si="4"/>
        <v>-</v>
      </c>
      <c r="JT293" s="294" t="str">
        <f t="shared" si="4"/>
        <v>-</v>
      </c>
      <c r="JU293" s="294" t="str">
        <f t="shared" si="4"/>
        <v>-</v>
      </c>
      <c r="JV293" s="294" t="str">
        <f t="shared" si="4"/>
        <v>-</v>
      </c>
      <c r="JW293" s="294" t="str">
        <f t="shared" si="4"/>
        <v>-</v>
      </c>
      <c r="JX293" s="294" t="str">
        <f t="shared" si="4"/>
        <v>-</v>
      </c>
      <c r="JY293" s="294" t="str">
        <f t="shared" si="4"/>
        <v>-</v>
      </c>
      <c r="JZ293" s="294" t="str">
        <f t="shared" si="4"/>
        <v>-</v>
      </c>
      <c r="KA293" s="294" t="str">
        <f t="shared" si="4"/>
        <v>-</v>
      </c>
      <c r="KB293" s="294" t="str">
        <f t="shared" si="4"/>
        <v>-</v>
      </c>
      <c r="KC293" s="294" t="str">
        <f t="shared" si="4"/>
        <v>-</v>
      </c>
      <c r="KD293" s="294" t="str">
        <f t="shared" si="4"/>
        <v>-</v>
      </c>
      <c r="KE293" s="294" t="str">
        <f t="shared" si="4"/>
        <v>-</v>
      </c>
      <c r="KF293" s="294" t="str">
        <f t="shared" si="4"/>
        <v>-</v>
      </c>
      <c r="KG293" s="294" t="str">
        <f t="shared" si="4"/>
        <v>-</v>
      </c>
      <c r="KH293" s="294" t="str">
        <f t="shared" si="4"/>
        <v>-</v>
      </c>
      <c r="KI293" s="294" t="str">
        <f t="shared" si="4"/>
        <v>-</v>
      </c>
      <c r="KJ293" s="294" t="str">
        <f t="shared" si="4"/>
        <v>-</v>
      </c>
      <c r="KK293" s="294" t="str">
        <f t="shared" si="4"/>
        <v>-</v>
      </c>
      <c r="KL293" s="294" t="str">
        <f t="shared" si="4"/>
        <v>-</v>
      </c>
      <c r="KM293" s="294" t="str">
        <f t="shared" si="4"/>
        <v>-</v>
      </c>
      <c r="KN293" s="294" t="str">
        <f t="shared" si="4"/>
        <v>-</v>
      </c>
      <c r="KO293" s="294" t="str">
        <f t="shared" si="4"/>
        <v>-</v>
      </c>
      <c r="KP293" s="294" t="str">
        <f t="shared" si="4"/>
        <v>-</v>
      </c>
      <c r="KQ293" s="294" t="str">
        <f t="shared" si="4"/>
        <v>-</v>
      </c>
      <c r="KR293" s="294" t="str">
        <f t="shared" si="4"/>
        <v>-</v>
      </c>
      <c r="KS293" s="294" t="str">
        <f t="shared" si="4"/>
        <v>-</v>
      </c>
      <c r="KT293" s="294" t="str">
        <f t="shared" si="4"/>
        <v>-</v>
      </c>
      <c r="KU293" s="294" t="str">
        <f t="shared" si="4"/>
        <v>-</v>
      </c>
      <c r="KV293" s="294" t="str">
        <f t="shared" si="4"/>
        <v>-</v>
      </c>
      <c r="KW293" s="294" t="str">
        <f t="shared" si="4"/>
        <v>-</v>
      </c>
      <c r="KX293" s="294" t="str">
        <f t="shared" si="4"/>
        <v>-</v>
      </c>
      <c r="KY293" s="294" t="str">
        <f t="shared" si="4"/>
        <v>-</v>
      </c>
      <c r="KZ293" s="294" t="str">
        <f t="shared" si="4"/>
        <v>-</v>
      </c>
      <c r="LA293" s="294" t="str">
        <f t="shared" si="4"/>
        <v>-</v>
      </c>
      <c r="LB293" s="294" t="str">
        <f t="shared" si="4"/>
        <v>-</v>
      </c>
      <c r="LC293" s="294" t="str">
        <f t="shared" si="4"/>
        <v>-</v>
      </c>
      <c r="LD293" s="294" t="str">
        <f t="shared" si="4"/>
        <v>-</v>
      </c>
      <c r="LE293" s="294" t="str">
        <f t="shared" si="4"/>
        <v>-</v>
      </c>
      <c r="LF293" s="294" t="str">
        <f t="shared" si="4"/>
        <v>-</v>
      </c>
      <c r="LG293" s="294" t="str">
        <f t="shared" si="4"/>
        <v>-</v>
      </c>
      <c r="LH293" s="294" t="str">
        <f t="shared" si="4"/>
        <v>-</v>
      </c>
      <c r="LI293" s="294" t="str">
        <f t="shared" si="4"/>
        <v>-</v>
      </c>
      <c r="LJ293" s="294" t="str">
        <f t="shared" si="4"/>
        <v>-</v>
      </c>
      <c r="LK293" s="294" t="str">
        <f t="shared" si="4"/>
        <v>-</v>
      </c>
      <c r="LL293" s="294" t="str">
        <f t="shared" si="4"/>
        <v>-</v>
      </c>
      <c r="LM293" s="294" t="str">
        <f t="shared" si="4"/>
        <v>-</v>
      </c>
      <c r="LN293" s="294" t="str">
        <f t="shared" si="4"/>
        <v>-</v>
      </c>
      <c r="LO293" s="294" t="str">
        <f t="shared" si="4"/>
        <v>-</v>
      </c>
      <c r="LP293" s="294" t="str">
        <f t="shared" si="4"/>
        <v>-</v>
      </c>
      <c r="LQ293" s="294" t="str">
        <f t="shared" si="4"/>
        <v>-</v>
      </c>
      <c r="LR293" s="294" t="str">
        <f t="shared" si="4"/>
        <v>-</v>
      </c>
      <c r="LS293" s="294" t="str">
        <f t="shared" si="4"/>
        <v>-</v>
      </c>
      <c r="LT293" s="294" t="str">
        <f t="shared" si="4"/>
        <v>-</v>
      </c>
      <c r="LU293" s="294" t="str">
        <f t="shared" si="4"/>
        <v>-</v>
      </c>
      <c r="LV293" s="294" t="str">
        <f t="shared" si="4"/>
        <v>-</v>
      </c>
      <c r="LW293" s="294" t="str">
        <f t="shared" si="4"/>
        <v>-</v>
      </c>
      <c r="LX293" s="294" t="str">
        <f t="shared" si="4"/>
        <v>-</v>
      </c>
      <c r="LY293" s="294" t="str">
        <f t="shared" si="4"/>
        <v>-</v>
      </c>
      <c r="LZ293" s="294" t="str">
        <f t="shared" si="4"/>
        <v>-</v>
      </c>
      <c r="MA293" s="294" t="str">
        <f t="shared" si="4"/>
        <v>-</v>
      </c>
      <c r="MB293" s="294" t="str">
        <f t="shared" si="4"/>
        <v>-</v>
      </c>
      <c r="MC293" s="294" t="str">
        <f t="shared" si="4"/>
        <v>-</v>
      </c>
      <c r="MD293" s="294" t="str">
        <f t="shared" si="4"/>
        <v>-</v>
      </c>
      <c r="ME293" s="294" t="str">
        <f t="shared" si="4"/>
        <v>-</v>
      </c>
      <c r="MF293" s="294" t="str">
        <f t="shared" si="4"/>
        <v>-</v>
      </c>
      <c r="MG293" s="294" t="str">
        <f t="shared" si="4"/>
        <v>-</v>
      </c>
      <c r="MH293" s="294" t="str">
        <f t="shared" si="4"/>
        <v>-</v>
      </c>
      <c r="MI293" s="294" t="str">
        <f t="shared" si="4"/>
        <v>-</v>
      </c>
      <c r="MJ293" s="294" t="str">
        <f t="shared" si="4"/>
        <v>-</v>
      </c>
      <c r="MK293" s="294" t="str">
        <f t="shared" si="4"/>
        <v>-</v>
      </c>
      <c r="ML293" s="294" t="str">
        <f t="shared" si="4"/>
        <v>-</v>
      </c>
      <c r="MM293" s="294" t="str">
        <f t="shared" si="4"/>
        <v>-</v>
      </c>
      <c r="MN293" s="294" t="str">
        <f t="shared" si="4"/>
        <v>-</v>
      </c>
      <c r="MO293" s="294" t="str">
        <f t="shared" si="4"/>
        <v>-</v>
      </c>
      <c r="MP293" s="294" t="str">
        <f t="shared" si="4"/>
        <v>-</v>
      </c>
      <c r="MQ293" s="294" t="str">
        <f t="shared" si="4"/>
        <v>-</v>
      </c>
      <c r="MR293" s="294" t="str">
        <f t="shared" si="4"/>
        <v>-</v>
      </c>
      <c r="MS293" s="294" t="str">
        <f t="shared" si="4"/>
        <v>-</v>
      </c>
      <c r="MT293" s="294" t="str">
        <f t="shared" si="4"/>
        <v>-</v>
      </c>
      <c r="MU293" s="294" t="str">
        <f t="shared" si="4"/>
        <v>-</v>
      </c>
      <c r="MV293" s="294" t="str">
        <f t="shared" si="4"/>
        <v>-</v>
      </c>
      <c r="MW293" s="294" t="str">
        <f t="shared" si="4"/>
        <v>-</v>
      </c>
      <c r="MX293" s="294" t="str">
        <f t="shared" si="4"/>
        <v>-</v>
      </c>
      <c r="MY293" s="294" t="str">
        <f t="shared" si="4"/>
        <v>-</v>
      </c>
      <c r="MZ293" s="294" t="str">
        <f t="shared" si="4"/>
        <v>-</v>
      </c>
      <c r="NA293" s="294" t="str">
        <f t="shared" si="4"/>
        <v>-</v>
      </c>
      <c r="NB293" s="294" t="str">
        <f t="shared" si="4"/>
        <v>-</v>
      </c>
      <c r="NC293" s="294" t="str">
        <f t="shared" si="4"/>
        <v>-</v>
      </c>
      <c r="ND293" s="294" t="str">
        <f t="shared" si="4"/>
        <v>-</v>
      </c>
      <c r="NE293" s="294" t="str">
        <f t="shared" si="4"/>
        <v>-</v>
      </c>
      <c r="NF293" s="294" t="str">
        <f t="shared" si="4"/>
        <v>-</v>
      </c>
    </row>
    <row r="294">
      <c r="A294" s="295" t="s">
        <v>450</v>
      </c>
      <c r="B294" s="296">
        <f>SUM(1*COUNTA(A300:A314),0.5*COUNTA(B300:B314),0.25*COUNTA(C300:C314))</f>
        <v>10.75</v>
      </c>
      <c r="C294" s="296"/>
      <c r="D294" s="292"/>
      <c r="E294" s="140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  <c r="EB294" s="22"/>
      <c r="EC294" s="22"/>
      <c r="ED294" s="22"/>
      <c r="EE294" s="22"/>
      <c r="EF294" s="22"/>
      <c r="EG294" s="22"/>
      <c r="EH294" s="22"/>
      <c r="EI294" s="22"/>
      <c r="EJ294" s="22"/>
      <c r="EK294" s="22"/>
      <c r="EL294" s="22"/>
      <c r="EM294" s="22"/>
      <c r="EN294" s="22"/>
      <c r="EO294" s="22"/>
      <c r="EP294" s="22"/>
      <c r="EQ294" s="22"/>
      <c r="ER294" s="22"/>
      <c r="ES294" s="22"/>
      <c r="ET294" s="22"/>
      <c r="EU294" s="22"/>
      <c r="EV294" s="22"/>
      <c r="EW294" s="22"/>
      <c r="EX294" s="22"/>
      <c r="EY294" s="22"/>
      <c r="EZ294" s="22"/>
      <c r="FA294" s="22"/>
      <c r="FB294" s="22"/>
      <c r="FC294" s="22"/>
      <c r="FD294" s="22"/>
      <c r="FE294" s="22"/>
      <c r="FF294" s="22"/>
      <c r="FG294" s="22"/>
      <c r="FH294" s="22"/>
      <c r="FI294" s="22"/>
      <c r="FJ294" s="22"/>
      <c r="FK294" s="22"/>
      <c r="FL294" s="22"/>
      <c r="FM294" s="22"/>
      <c r="FN294" s="22"/>
      <c r="FO294" s="22"/>
      <c r="FP294" s="22"/>
      <c r="FQ294" s="22"/>
      <c r="FR294" s="22"/>
      <c r="FS294" s="22"/>
      <c r="FT294" s="22"/>
      <c r="FU294" s="22"/>
      <c r="FV294" s="22"/>
      <c r="FW294" s="22"/>
      <c r="FX294" s="22"/>
      <c r="FY294" s="22"/>
      <c r="FZ294" s="22"/>
      <c r="GA294" s="22"/>
      <c r="GB294" s="22"/>
      <c r="GC294" s="22"/>
      <c r="GD294" s="22"/>
      <c r="GE294" s="22"/>
      <c r="GF294" s="22"/>
      <c r="GG294" s="22"/>
      <c r="GH294" s="22"/>
      <c r="GI294" s="22"/>
      <c r="GJ294" s="22"/>
      <c r="GK294" s="22"/>
      <c r="GL294" s="22"/>
      <c r="GM294" s="22"/>
      <c r="GN294" s="22"/>
      <c r="GO294" s="22"/>
      <c r="GP294" s="22"/>
      <c r="GQ294" s="22"/>
      <c r="GR294" s="22"/>
      <c r="GS294" s="22"/>
      <c r="GT294" s="22"/>
      <c r="GU294" s="22"/>
      <c r="GV294" s="22"/>
      <c r="GW294" s="22"/>
      <c r="GX294" s="22"/>
      <c r="GY294" s="22"/>
      <c r="GZ294" s="22"/>
      <c r="HA294" s="22"/>
      <c r="HB294" s="22"/>
      <c r="HC294" s="22"/>
      <c r="HD294" s="22"/>
      <c r="HE294" s="22"/>
      <c r="HF294" s="22"/>
      <c r="HG294" s="22"/>
      <c r="HH294" s="22"/>
      <c r="HI294" s="22"/>
      <c r="HJ294" s="22"/>
      <c r="HK294" s="22"/>
      <c r="HL294" s="22"/>
      <c r="HM294" s="22"/>
      <c r="HN294" s="22"/>
      <c r="HO294" s="22"/>
      <c r="HP294" s="22"/>
      <c r="HQ294" s="22"/>
      <c r="HR294" s="22"/>
      <c r="HS294" s="22"/>
      <c r="HT294" s="22"/>
      <c r="HU294" s="22"/>
      <c r="HV294" s="22"/>
      <c r="HW294" s="22"/>
      <c r="HX294" s="22"/>
      <c r="HY294" s="22"/>
      <c r="HZ294" s="22"/>
      <c r="IA294" s="22"/>
      <c r="IB294" s="22"/>
      <c r="IC294" s="22"/>
      <c r="ID294" s="22"/>
      <c r="IE294" s="22"/>
      <c r="IF294" s="22"/>
      <c r="IG294" s="22"/>
      <c r="IH294" s="22"/>
      <c r="II294" s="22"/>
      <c r="IJ294" s="22"/>
      <c r="IK294" s="22"/>
      <c r="IL294" s="22"/>
      <c r="IM294" s="22"/>
      <c r="IN294" s="22"/>
      <c r="IO294" s="22"/>
      <c r="IP294" s="22"/>
      <c r="IQ294" s="22"/>
      <c r="IR294" s="22"/>
      <c r="IS294" s="22"/>
      <c r="IT294" s="22"/>
      <c r="IU294" s="22"/>
      <c r="IV294" s="22"/>
      <c r="IW294" s="22"/>
      <c r="IX294" s="22"/>
      <c r="IY294" s="22"/>
      <c r="IZ294" s="22"/>
      <c r="JA294" s="22"/>
      <c r="JB294" s="22"/>
      <c r="JC294" s="22"/>
      <c r="JD294" s="22"/>
      <c r="JE294" s="22"/>
      <c r="JF294" s="22"/>
      <c r="JG294" s="22"/>
      <c r="JH294" s="22"/>
      <c r="JI294" s="22"/>
      <c r="JJ294" s="22"/>
      <c r="JK294" s="22"/>
      <c r="JL294" s="22"/>
      <c r="JM294" s="22"/>
      <c r="JN294" s="22"/>
      <c r="JO294" s="22"/>
      <c r="JP294" s="22"/>
      <c r="JQ294" s="22"/>
      <c r="JR294" s="22"/>
      <c r="JS294" s="22"/>
      <c r="JT294" s="22"/>
      <c r="JU294" s="22"/>
      <c r="JV294" s="22"/>
      <c r="JW294" s="22"/>
      <c r="JX294" s="22"/>
      <c r="JY294" s="22"/>
      <c r="JZ294" s="22"/>
      <c r="KA294" s="22"/>
      <c r="KB294" s="22"/>
      <c r="KC294" s="22"/>
      <c r="KD294" s="22"/>
      <c r="KE294" s="22"/>
      <c r="KF294" s="22"/>
      <c r="KG294" s="22"/>
      <c r="KH294" s="22"/>
      <c r="KI294" s="22"/>
      <c r="KJ294" s="22"/>
      <c r="KK294" s="22"/>
      <c r="KL294" s="22"/>
      <c r="KM294" s="22"/>
      <c r="KN294" s="22"/>
      <c r="KO294" s="22"/>
      <c r="KP294" s="22"/>
      <c r="KQ294" s="22"/>
      <c r="KR294" s="22"/>
      <c r="KS294" s="22"/>
      <c r="KT294" s="22"/>
      <c r="KU294" s="22"/>
      <c r="KV294" s="22"/>
      <c r="KW294" s="22"/>
      <c r="KX294" s="22"/>
      <c r="KY294" s="22"/>
      <c r="KZ294" s="22"/>
      <c r="LA294" s="22"/>
      <c r="LB294" s="22"/>
      <c r="LC294" s="22"/>
      <c r="LD294" s="22"/>
      <c r="LE294" s="22"/>
      <c r="LF294" s="22"/>
      <c r="LG294" s="22"/>
      <c r="LH294" s="22"/>
      <c r="LI294" s="22"/>
      <c r="LJ294" s="22"/>
      <c r="LK294" s="22"/>
      <c r="LL294" s="22"/>
      <c r="LM294" s="22"/>
      <c r="LN294" s="22"/>
      <c r="LO294" s="22"/>
      <c r="LP294" s="22"/>
      <c r="LQ294" s="22"/>
      <c r="LR294" s="22"/>
      <c r="LS294" s="22"/>
      <c r="LT294" s="22"/>
      <c r="LU294" s="22"/>
      <c r="LV294" s="22"/>
      <c r="LW294" s="22"/>
      <c r="LX294" s="22"/>
      <c r="LY294" s="22"/>
      <c r="LZ294" s="22"/>
      <c r="MA294" s="22"/>
      <c r="MB294" s="22"/>
      <c r="MC294" s="22"/>
      <c r="MD294" s="22"/>
      <c r="ME294" s="22"/>
      <c r="MF294" s="22"/>
      <c r="MG294" s="22"/>
      <c r="MH294" s="22"/>
      <c r="MI294" s="22"/>
      <c r="MJ294" s="22"/>
      <c r="MK294" s="22"/>
      <c r="ML294" s="22"/>
      <c r="MM294" s="22"/>
      <c r="MN294" s="22"/>
      <c r="MO294" s="22"/>
      <c r="MP294" s="22"/>
      <c r="MQ294" s="22"/>
      <c r="MR294" s="22"/>
      <c r="MS294" s="22"/>
      <c r="MT294" s="22"/>
      <c r="MU294" s="22"/>
      <c r="MV294" s="22"/>
      <c r="MW294" s="22"/>
      <c r="MX294" s="22"/>
      <c r="MY294" s="22"/>
      <c r="MZ294" s="22"/>
      <c r="NA294" s="22"/>
      <c r="NB294" s="22"/>
      <c r="NC294" s="22"/>
      <c r="ND294" s="22"/>
      <c r="NE294" s="22"/>
      <c r="NF294" s="22"/>
    </row>
    <row r="295">
      <c r="A295" s="295" t="s">
        <v>451</v>
      </c>
      <c r="B295" s="296">
        <v>9.0</v>
      </c>
      <c r="C295" s="296"/>
      <c r="D295" s="292"/>
      <c r="E295" s="140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/>
      <c r="DY295" s="22"/>
      <c r="DZ295" s="22"/>
      <c r="EA295" s="22"/>
      <c r="EB295" s="22"/>
      <c r="EC295" s="22"/>
      <c r="ED295" s="22"/>
      <c r="EE295" s="22"/>
      <c r="EF295" s="22"/>
      <c r="EG295" s="22"/>
      <c r="EH295" s="22"/>
      <c r="EI295" s="22"/>
      <c r="EJ295" s="22"/>
      <c r="EK295" s="22"/>
      <c r="EL295" s="22"/>
      <c r="EM295" s="22"/>
      <c r="EN295" s="22"/>
      <c r="EO295" s="22"/>
      <c r="EP295" s="22"/>
      <c r="EQ295" s="22"/>
      <c r="ER295" s="22"/>
      <c r="ES295" s="22"/>
      <c r="ET295" s="22"/>
      <c r="EU295" s="22"/>
      <c r="EV295" s="22"/>
      <c r="EW295" s="22"/>
      <c r="EX295" s="22"/>
      <c r="EY295" s="22"/>
      <c r="EZ295" s="22"/>
      <c r="FA295" s="22"/>
      <c r="FB295" s="22"/>
      <c r="FC295" s="22"/>
      <c r="FD295" s="22"/>
      <c r="FE295" s="22"/>
      <c r="FF295" s="22"/>
      <c r="FG295" s="22"/>
      <c r="FH295" s="22"/>
      <c r="FI295" s="22"/>
      <c r="FJ295" s="22"/>
      <c r="FK295" s="22"/>
      <c r="FL295" s="22"/>
      <c r="FM295" s="22"/>
      <c r="FN295" s="22"/>
      <c r="FO295" s="22"/>
      <c r="FP295" s="22"/>
      <c r="FQ295" s="22"/>
      <c r="FR295" s="22"/>
      <c r="FS295" s="22"/>
      <c r="FT295" s="22"/>
      <c r="FU295" s="22"/>
      <c r="FV295" s="22"/>
      <c r="FW295" s="22"/>
      <c r="FX295" s="22"/>
      <c r="FY295" s="22"/>
      <c r="FZ295" s="22"/>
      <c r="GA295" s="22"/>
      <c r="GB295" s="22"/>
      <c r="GC295" s="22"/>
      <c r="GD295" s="22"/>
      <c r="GE295" s="22"/>
      <c r="GF295" s="22"/>
      <c r="GG295" s="22"/>
      <c r="GH295" s="22"/>
      <c r="GI295" s="22"/>
      <c r="GJ295" s="22"/>
      <c r="GK295" s="22"/>
      <c r="GL295" s="22"/>
      <c r="GM295" s="22"/>
      <c r="GN295" s="22"/>
      <c r="GO295" s="22"/>
      <c r="GP295" s="22"/>
      <c r="GQ295" s="22"/>
      <c r="GR295" s="22"/>
      <c r="GS295" s="22"/>
      <c r="GT295" s="22"/>
      <c r="GU295" s="22"/>
      <c r="GV295" s="22"/>
      <c r="GW295" s="22"/>
      <c r="GX295" s="22"/>
      <c r="GY295" s="22"/>
      <c r="GZ295" s="22"/>
      <c r="HA295" s="22"/>
      <c r="HB295" s="22"/>
      <c r="HC295" s="22"/>
      <c r="HD295" s="22"/>
      <c r="HE295" s="22"/>
      <c r="HF295" s="22"/>
      <c r="HG295" s="22"/>
      <c r="HH295" s="22"/>
      <c r="HI295" s="22"/>
      <c r="HJ295" s="22"/>
      <c r="HK295" s="22"/>
      <c r="HL295" s="22"/>
      <c r="HM295" s="22"/>
      <c r="HN295" s="22"/>
      <c r="HO295" s="22"/>
      <c r="HP295" s="22"/>
      <c r="HQ295" s="22"/>
      <c r="HR295" s="22"/>
      <c r="HS295" s="22"/>
      <c r="HT295" s="22"/>
      <c r="HU295" s="22"/>
      <c r="HV295" s="22"/>
      <c r="HW295" s="22"/>
      <c r="HX295" s="22"/>
      <c r="HY295" s="22"/>
      <c r="HZ295" s="22"/>
      <c r="IA295" s="22"/>
      <c r="IB295" s="22"/>
      <c r="IC295" s="22"/>
      <c r="ID295" s="22"/>
      <c r="IE295" s="22"/>
      <c r="IF295" s="22"/>
      <c r="IG295" s="22"/>
      <c r="IH295" s="22"/>
      <c r="II295" s="22"/>
      <c r="IJ295" s="22"/>
      <c r="IK295" s="22"/>
      <c r="IL295" s="22"/>
      <c r="IM295" s="22"/>
      <c r="IN295" s="22"/>
      <c r="IO295" s="22"/>
      <c r="IP295" s="22"/>
      <c r="IQ295" s="22"/>
      <c r="IR295" s="22"/>
      <c r="IS295" s="22"/>
      <c r="IT295" s="22"/>
      <c r="IU295" s="22"/>
      <c r="IV295" s="22"/>
      <c r="IW295" s="22"/>
      <c r="IX295" s="22"/>
      <c r="IY295" s="22"/>
      <c r="IZ295" s="22"/>
      <c r="JA295" s="22"/>
      <c r="JB295" s="22"/>
      <c r="JC295" s="22"/>
      <c r="JD295" s="22"/>
      <c r="JE295" s="22"/>
      <c r="JF295" s="22"/>
      <c r="JG295" s="22"/>
      <c r="JH295" s="22"/>
      <c r="JI295" s="22"/>
      <c r="JJ295" s="22"/>
      <c r="JK295" s="22"/>
      <c r="JL295" s="22"/>
      <c r="JM295" s="22"/>
      <c r="JN295" s="22"/>
      <c r="JO295" s="22"/>
      <c r="JP295" s="22"/>
      <c r="JQ295" s="22"/>
      <c r="JR295" s="22"/>
      <c r="JS295" s="22"/>
      <c r="JT295" s="22"/>
      <c r="JU295" s="22"/>
      <c r="JV295" s="22"/>
      <c r="JW295" s="22"/>
      <c r="JX295" s="22"/>
      <c r="JY295" s="22"/>
      <c r="JZ295" s="22"/>
      <c r="KA295" s="22"/>
      <c r="KB295" s="22"/>
      <c r="KC295" s="22"/>
      <c r="KD295" s="22"/>
      <c r="KE295" s="22"/>
      <c r="KF295" s="22"/>
      <c r="KG295" s="22"/>
      <c r="KH295" s="22"/>
      <c r="KI295" s="22"/>
      <c r="KJ295" s="22"/>
      <c r="KK295" s="22"/>
      <c r="KL295" s="22"/>
      <c r="KM295" s="22"/>
      <c r="KN295" s="22"/>
      <c r="KO295" s="22"/>
      <c r="KP295" s="22"/>
      <c r="KQ295" s="22"/>
      <c r="KR295" s="22"/>
      <c r="KS295" s="22"/>
      <c r="KT295" s="22"/>
      <c r="KU295" s="22"/>
      <c r="KV295" s="22"/>
      <c r="KW295" s="22"/>
      <c r="KX295" s="22"/>
      <c r="KY295" s="22"/>
      <c r="KZ295" s="22"/>
      <c r="LA295" s="22"/>
      <c r="LB295" s="22"/>
      <c r="LC295" s="22"/>
      <c r="LD295" s="22"/>
      <c r="LE295" s="22"/>
      <c r="LF295" s="22"/>
      <c r="LG295" s="22"/>
      <c r="LH295" s="22"/>
      <c r="LI295" s="22"/>
      <c r="LJ295" s="22"/>
      <c r="LK295" s="22"/>
      <c r="LL295" s="22"/>
      <c r="LM295" s="22"/>
      <c r="LN295" s="22"/>
      <c r="LO295" s="22"/>
      <c r="LP295" s="22"/>
      <c r="LQ295" s="22"/>
      <c r="LR295" s="22"/>
      <c r="LS295" s="22"/>
      <c r="LT295" s="22"/>
      <c r="LU295" s="22"/>
      <c r="LV295" s="22"/>
      <c r="LW295" s="22"/>
      <c r="LX295" s="22"/>
      <c r="LY295" s="22"/>
      <c r="LZ295" s="22"/>
      <c r="MA295" s="22"/>
      <c r="MB295" s="22"/>
      <c r="MC295" s="22"/>
      <c r="MD295" s="22"/>
      <c r="ME295" s="22"/>
      <c r="MF295" s="22"/>
      <c r="MG295" s="22"/>
      <c r="MH295" s="22"/>
      <c r="MI295" s="22"/>
      <c r="MJ295" s="22"/>
      <c r="MK295" s="22"/>
      <c r="ML295" s="22"/>
      <c r="MM295" s="22"/>
      <c r="MN295" s="22"/>
      <c r="MO295" s="22"/>
      <c r="MP295" s="22"/>
      <c r="MQ295" s="22"/>
      <c r="MR295" s="22"/>
      <c r="MS295" s="22"/>
      <c r="MT295" s="22"/>
      <c r="MU295" s="22"/>
      <c r="MV295" s="22"/>
      <c r="MW295" s="22"/>
      <c r="MX295" s="22"/>
      <c r="MY295" s="22"/>
      <c r="MZ295" s="22"/>
      <c r="NA295" s="22"/>
      <c r="NB295" s="22"/>
      <c r="NC295" s="22"/>
      <c r="ND295" s="22"/>
      <c r="NE295" s="22"/>
      <c r="NF295" s="22"/>
    </row>
    <row r="296">
      <c r="A296" s="295" t="s">
        <v>452</v>
      </c>
      <c r="B296" s="297">
        <f>ROUNDUP((B295*8)*0.9,0)</f>
        <v>65</v>
      </c>
      <c r="C296" s="297"/>
      <c r="D296" s="292"/>
      <c r="E296" s="140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  <c r="EB296" s="22"/>
      <c r="EC296" s="22"/>
      <c r="ED296" s="22"/>
      <c r="EE296" s="22"/>
      <c r="EF296" s="22"/>
      <c r="EG296" s="22"/>
      <c r="EH296" s="22"/>
      <c r="EI296" s="22"/>
      <c r="EJ296" s="22"/>
      <c r="EK296" s="22"/>
      <c r="EL296" s="22"/>
      <c r="EM296" s="22"/>
      <c r="EN296" s="22"/>
      <c r="EO296" s="22"/>
      <c r="EP296" s="22"/>
      <c r="EQ296" s="22"/>
      <c r="ER296" s="22"/>
      <c r="ES296" s="22"/>
      <c r="ET296" s="22"/>
      <c r="EU296" s="22"/>
      <c r="EV296" s="22"/>
      <c r="EW296" s="22"/>
      <c r="EX296" s="22"/>
      <c r="EY296" s="22"/>
      <c r="EZ296" s="22"/>
      <c r="FA296" s="22"/>
      <c r="FB296" s="22"/>
      <c r="FC296" s="22"/>
      <c r="FD296" s="22"/>
      <c r="FE296" s="22"/>
      <c r="FF296" s="22"/>
      <c r="FG296" s="22"/>
      <c r="FH296" s="22"/>
      <c r="FI296" s="22"/>
      <c r="FJ296" s="22"/>
      <c r="FK296" s="22"/>
      <c r="FL296" s="22"/>
      <c r="FM296" s="22"/>
      <c r="FN296" s="22"/>
      <c r="FO296" s="22"/>
      <c r="FP296" s="22"/>
      <c r="FQ296" s="22"/>
      <c r="FR296" s="22"/>
      <c r="FS296" s="22"/>
      <c r="FT296" s="22"/>
      <c r="FU296" s="22"/>
      <c r="FV296" s="22"/>
      <c r="FW296" s="22"/>
      <c r="FX296" s="22"/>
      <c r="FY296" s="22"/>
      <c r="FZ296" s="22"/>
      <c r="GA296" s="22"/>
      <c r="GB296" s="22"/>
      <c r="GC296" s="22"/>
      <c r="GD296" s="22"/>
      <c r="GE296" s="22"/>
      <c r="GF296" s="22"/>
      <c r="GG296" s="22"/>
      <c r="GH296" s="22"/>
      <c r="GI296" s="22"/>
      <c r="GJ296" s="22"/>
      <c r="GK296" s="22"/>
      <c r="GL296" s="22"/>
      <c r="GM296" s="22"/>
      <c r="GN296" s="22"/>
      <c r="GO296" s="22"/>
      <c r="GP296" s="22"/>
      <c r="GQ296" s="22"/>
      <c r="GR296" s="22"/>
      <c r="GS296" s="22"/>
      <c r="GT296" s="22"/>
      <c r="GU296" s="22"/>
      <c r="GV296" s="22"/>
      <c r="GW296" s="22"/>
      <c r="GX296" s="22"/>
      <c r="GY296" s="22"/>
      <c r="GZ296" s="22"/>
      <c r="HA296" s="22"/>
      <c r="HB296" s="22"/>
      <c r="HC296" s="22"/>
      <c r="HD296" s="22"/>
      <c r="HE296" s="22"/>
      <c r="HF296" s="22"/>
      <c r="HG296" s="22"/>
      <c r="HH296" s="22"/>
      <c r="HI296" s="22"/>
      <c r="HJ296" s="22"/>
      <c r="HK296" s="22"/>
      <c r="HL296" s="22"/>
      <c r="HM296" s="22"/>
      <c r="HN296" s="22"/>
      <c r="HO296" s="22"/>
      <c r="HP296" s="22"/>
      <c r="HQ296" s="22"/>
      <c r="HR296" s="22"/>
      <c r="HS296" s="22"/>
      <c r="HT296" s="22"/>
      <c r="HU296" s="22"/>
      <c r="HV296" s="22"/>
      <c r="HW296" s="22"/>
      <c r="HX296" s="22"/>
      <c r="HY296" s="22"/>
      <c r="HZ296" s="22"/>
      <c r="IA296" s="22"/>
      <c r="IB296" s="22"/>
      <c r="IC296" s="22"/>
      <c r="ID296" s="22"/>
      <c r="IE296" s="22"/>
      <c r="IF296" s="22"/>
      <c r="IG296" s="22"/>
      <c r="IH296" s="22"/>
      <c r="II296" s="22"/>
      <c r="IJ296" s="22"/>
      <c r="IK296" s="22"/>
      <c r="IL296" s="22"/>
      <c r="IM296" s="22"/>
      <c r="IN296" s="22"/>
      <c r="IO296" s="22"/>
      <c r="IP296" s="22"/>
      <c r="IQ296" s="22"/>
      <c r="IR296" s="22"/>
      <c r="IS296" s="22"/>
      <c r="IT296" s="22"/>
      <c r="IU296" s="22"/>
      <c r="IV296" s="22"/>
      <c r="IW296" s="22"/>
      <c r="IX296" s="22"/>
      <c r="IY296" s="22"/>
      <c r="IZ296" s="22"/>
      <c r="JA296" s="22"/>
      <c r="JB296" s="22"/>
      <c r="JC296" s="22"/>
      <c r="JD296" s="22"/>
      <c r="JE296" s="22"/>
      <c r="JF296" s="22"/>
      <c r="JG296" s="22"/>
      <c r="JH296" s="22"/>
      <c r="JI296" s="22"/>
      <c r="JJ296" s="22"/>
      <c r="JK296" s="22"/>
      <c r="JL296" s="22"/>
      <c r="JM296" s="22"/>
      <c r="JN296" s="22"/>
      <c r="JO296" s="22"/>
      <c r="JP296" s="22"/>
      <c r="JQ296" s="22"/>
      <c r="JR296" s="22"/>
      <c r="JS296" s="22"/>
      <c r="JT296" s="22"/>
      <c r="JU296" s="22"/>
      <c r="JV296" s="22"/>
      <c r="JW296" s="22"/>
      <c r="JX296" s="22"/>
      <c r="JY296" s="22"/>
      <c r="JZ296" s="22"/>
      <c r="KA296" s="22"/>
      <c r="KB296" s="22"/>
      <c r="KC296" s="22"/>
      <c r="KD296" s="22"/>
      <c r="KE296" s="22"/>
      <c r="KF296" s="22"/>
      <c r="KG296" s="22"/>
      <c r="KH296" s="22"/>
      <c r="KI296" s="22"/>
      <c r="KJ296" s="22"/>
      <c r="KK296" s="22"/>
      <c r="KL296" s="22"/>
      <c r="KM296" s="22"/>
      <c r="KN296" s="22"/>
      <c r="KO296" s="22"/>
      <c r="KP296" s="22"/>
      <c r="KQ296" s="22"/>
      <c r="KR296" s="22"/>
      <c r="KS296" s="22"/>
      <c r="KT296" s="22"/>
      <c r="KU296" s="22"/>
      <c r="KV296" s="22"/>
      <c r="KW296" s="22"/>
      <c r="KX296" s="22"/>
      <c r="KY296" s="22"/>
      <c r="KZ296" s="22"/>
      <c r="LA296" s="22"/>
      <c r="LB296" s="22"/>
      <c r="LC296" s="22"/>
      <c r="LD296" s="22"/>
      <c r="LE296" s="22"/>
      <c r="LF296" s="22"/>
      <c r="LG296" s="22"/>
      <c r="LH296" s="22"/>
      <c r="LI296" s="22"/>
      <c r="LJ296" s="22"/>
      <c r="LK296" s="22"/>
      <c r="LL296" s="22"/>
      <c r="LM296" s="22"/>
      <c r="LN296" s="22"/>
      <c r="LO296" s="22"/>
      <c r="LP296" s="22"/>
      <c r="LQ296" s="22"/>
      <c r="LR296" s="22"/>
      <c r="LS296" s="22"/>
      <c r="LT296" s="22"/>
      <c r="LU296" s="22"/>
      <c r="LV296" s="22"/>
      <c r="LW296" s="22"/>
      <c r="LX296" s="22"/>
      <c r="LY296" s="22"/>
      <c r="LZ296" s="22"/>
      <c r="MA296" s="22"/>
      <c r="MB296" s="22"/>
      <c r="MC296" s="22"/>
      <c r="MD296" s="22"/>
      <c r="ME296" s="22"/>
      <c r="MF296" s="22"/>
      <c r="MG296" s="22"/>
      <c r="MH296" s="22"/>
      <c r="MI296" s="22"/>
      <c r="MJ296" s="22"/>
      <c r="MK296" s="22"/>
      <c r="ML296" s="22"/>
      <c r="MM296" s="22"/>
      <c r="MN296" s="22"/>
      <c r="MO296" s="22"/>
      <c r="MP296" s="22"/>
      <c r="MQ296" s="22"/>
      <c r="MR296" s="22"/>
      <c r="MS296" s="22"/>
      <c r="MT296" s="22"/>
      <c r="MU296" s="22"/>
      <c r="MV296" s="22"/>
      <c r="MW296" s="22"/>
      <c r="MX296" s="22"/>
      <c r="MY296" s="22"/>
      <c r="MZ296" s="22"/>
      <c r="NA296" s="22"/>
      <c r="NB296" s="22"/>
      <c r="NC296" s="22"/>
      <c r="ND296" s="22"/>
      <c r="NE296" s="22"/>
      <c r="NF296" s="22"/>
    </row>
    <row r="297">
      <c r="A297" s="295" t="s">
        <v>453</v>
      </c>
      <c r="B297" s="298">
        <f>ROUNDUP(B295*8,0)</f>
        <v>72</v>
      </c>
      <c r="C297" s="298"/>
      <c r="D297" s="292"/>
      <c r="E297" s="140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  <c r="EB297" s="22"/>
      <c r="EC297" s="22"/>
      <c r="ED297" s="22"/>
      <c r="EE297" s="22"/>
      <c r="EF297" s="22"/>
      <c r="EG297" s="22"/>
      <c r="EH297" s="22"/>
      <c r="EI297" s="22"/>
      <c r="EJ297" s="22"/>
      <c r="EK297" s="22"/>
      <c r="EL297" s="22"/>
      <c r="EM297" s="22"/>
      <c r="EN297" s="22"/>
      <c r="EO297" s="22"/>
      <c r="EP297" s="22"/>
      <c r="EQ297" s="22"/>
      <c r="ER297" s="22"/>
      <c r="ES297" s="22"/>
      <c r="ET297" s="22"/>
      <c r="EU297" s="22"/>
      <c r="EV297" s="22"/>
      <c r="EW297" s="22"/>
      <c r="EX297" s="22"/>
      <c r="EY297" s="22"/>
      <c r="EZ297" s="22"/>
      <c r="FA297" s="22"/>
      <c r="FB297" s="22"/>
      <c r="FC297" s="22"/>
      <c r="FD297" s="22"/>
      <c r="FE297" s="22"/>
      <c r="FF297" s="22"/>
      <c r="FG297" s="22"/>
      <c r="FH297" s="22"/>
      <c r="FI297" s="22"/>
      <c r="FJ297" s="22"/>
      <c r="FK297" s="22"/>
      <c r="FL297" s="22"/>
      <c r="FM297" s="22"/>
      <c r="FN297" s="22"/>
      <c r="FO297" s="22"/>
      <c r="FP297" s="22"/>
      <c r="FQ297" s="22"/>
      <c r="FR297" s="22"/>
      <c r="FS297" s="22"/>
      <c r="FT297" s="22"/>
      <c r="FU297" s="22"/>
      <c r="FV297" s="22"/>
      <c r="FW297" s="22"/>
      <c r="FX297" s="22"/>
      <c r="FY297" s="22"/>
      <c r="FZ297" s="22"/>
      <c r="GA297" s="22"/>
      <c r="GB297" s="22"/>
      <c r="GC297" s="22"/>
      <c r="GD297" s="22"/>
      <c r="GE297" s="22"/>
      <c r="GF297" s="22"/>
      <c r="GG297" s="22"/>
      <c r="GH297" s="22"/>
      <c r="GI297" s="22"/>
      <c r="GJ297" s="22"/>
      <c r="GK297" s="22"/>
      <c r="GL297" s="22"/>
      <c r="GM297" s="22"/>
      <c r="GN297" s="22"/>
      <c r="GO297" s="22"/>
      <c r="GP297" s="22"/>
      <c r="GQ297" s="22"/>
      <c r="GR297" s="22"/>
      <c r="GS297" s="22"/>
      <c r="GT297" s="22"/>
      <c r="GU297" s="22"/>
      <c r="GV297" s="22"/>
      <c r="GW297" s="22"/>
      <c r="GX297" s="22"/>
      <c r="GY297" s="22"/>
      <c r="GZ297" s="22"/>
      <c r="HA297" s="22"/>
      <c r="HB297" s="22"/>
      <c r="HC297" s="22"/>
      <c r="HD297" s="22"/>
      <c r="HE297" s="22"/>
      <c r="HF297" s="22"/>
      <c r="HG297" s="22"/>
      <c r="HH297" s="22"/>
      <c r="HI297" s="22"/>
      <c r="HJ297" s="22"/>
      <c r="HK297" s="22"/>
      <c r="HL297" s="22"/>
      <c r="HM297" s="22"/>
      <c r="HN297" s="22"/>
      <c r="HO297" s="22"/>
      <c r="HP297" s="22"/>
      <c r="HQ297" s="22"/>
      <c r="HR297" s="22"/>
      <c r="HS297" s="22"/>
      <c r="HT297" s="22"/>
      <c r="HU297" s="22"/>
      <c r="HV297" s="22"/>
      <c r="HW297" s="22"/>
      <c r="HX297" s="22"/>
      <c r="HY297" s="22"/>
      <c r="HZ297" s="22"/>
      <c r="IA297" s="22"/>
      <c r="IB297" s="22"/>
      <c r="IC297" s="22"/>
      <c r="ID297" s="22"/>
      <c r="IE297" s="22"/>
      <c r="IF297" s="22"/>
      <c r="IG297" s="22"/>
      <c r="IH297" s="22"/>
      <c r="II297" s="22"/>
      <c r="IJ297" s="22"/>
      <c r="IK297" s="22"/>
      <c r="IL297" s="22"/>
      <c r="IM297" s="22"/>
      <c r="IN297" s="22"/>
      <c r="IO297" s="22"/>
      <c r="IP297" s="22"/>
      <c r="IQ297" s="22"/>
      <c r="IR297" s="22"/>
      <c r="IS297" s="22"/>
      <c r="IT297" s="22"/>
      <c r="IU297" s="22"/>
      <c r="IV297" s="22"/>
      <c r="IW297" s="22"/>
      <c r="IX297" s="22"/>
      <c r="IY297" s="22"/>
      <c r="IZ297" s="22"/>
      <c r="JA297" s="22"/>
      <c r="JB297" s="22"/>
      <c r="JC297" s="22"/>
      <c r="JD297" s="22"/>
      <c r="JE297" s="22"/>
      <c r="JF297" s="22"/>
      <c r="JG297" s="22"/>
      <c r="JH297" s="22"/>
      <c r="JI297" s="22"/>
      <c r="JJ297" s="22"/>
      <c r="JK297" s="22"/>
      <c r="JL297" s="22"/>
      <c r="JM297" s="22"/>
      <c r="JN297" s="22"/>
      <c r="JO297" s="22"/>
      <c r="JP297" s="22"/>
      <c r="JQ297" s="22"/>
      <c r="JR297" s="22"/>
      <c r="JS297" s="22"/>
      <c r="JT297" s="22"/>
      <c r="JU297" s="22"/>
      <c r="JV297" s="22"/>
      <c r="JW297" s="22"/>
      <c r="JX297" s="22"/>
      <c r="JY297" s="22"/>
      <c r="JZ297" s="22"/>
      <c r="KA297" s="22"/>
      <c r="KB297" s="22"/>
      <c r="KC297" s="22"/>
      <c r="KD297" s="22"/>
      <c r="KE297" s="22"/>
      <c r="KF297" s="22"/>
      <c r="KG297" s="22"/>
      <c r="KH297" s="22"/>
      <c r="KI297" s="22"/>
      <c r="KJ297" s="22"/>
      <c r="KK297" s="22"/>
      <c r="KL297" s="22"/>
      <c r="KM297" s="22"/>
      <c r="KN297" s="22"/>
      <c r="KO297" s="22"/>
      <c r="KP297" s="22"/>
      <c r="KQ297" s="22"/>
      <c r="KR297" s="22"/>
      <c r="KS297" s="22"/>
      <c r="KT297" s="22"/>
      <c r="KU297" s="22"/>
      <c r="KV297" s="22"/>
      <c r="KW297" s="22"/>
      <c r="KX297" s="22"/>
      <c r="KY297" s="22"/>
      <c r="KZ297" s="22"/>
      <c r="LA297" s="22"/>
      <c r="LB297" s="22"/>
      <c r="LC297" s="22"/>
      <c r="LD297" s="22"/>
      <c r="LE297" s="22"/>
      <c r="LF297" s="22"/>
      <c r="LG297" s="22"/>
      <c r="LH297" s="22"/>
      <c r="LI297" s="22"/>
      <c r="LJ297" s="22"/>
      <c r="LK297" s="22"/>
      <c r="LL297" s="22"/>
      <c r="LM297" s="22"/>
      <c r="LN297" s="22"/>
      <c r="LO297" s="22"/>
      <c r="LP297" s="22"/>
      <c r="LQ297" s="22"/>
      <c r="LR297" s="22"/>
      <c r="LS297" s="22"/>
      <c r="LT297" s="22"/>
      <c r="LU297" s="22"/>
      <c r="LV297" s="22"/>
      <c r="LW297" s="22"/>
      <c r="LX297" s="22"/>
      <c r="LY297" s="22"/>
      <c r="LZ297" s="22"/>
      <c r="MA297" s="22"/>
      <c r="MB297" s="22"/>
      <c r="MC297" s="22"/>
      <c r="MD297" s="22"/>
      <c r="ME297" s="22"/>
      <c r="MF297" s="22"/>
      <c r="MG297" s="22"/>
      <c r="MH297" s="22"/>
      <c r="MI297" s="22"/>
      <c r="MJ297" s="22"/>
      <c r="MK297" s="22"/>
      <c r="ML297" s="22"/>
      <c r="MM297" s="22"/>
      <c r="MN297" s="22"/>
      <c r="MO297" s="22"/>
      <c r="MP297" s="22"/>
      <c r="MQ297" s="22"/>
      <c r="MR297" s="22"/>
      <c r="MS297" s="22"/>
      <c r="MT297" s="22"/>
      <c r="MU297" s="22"/>
      <c r="MV297" s="22"/>
      <c r="MW297" s="22"/>
      <c r="MX297" s="22"/>
      <c r="MY297" s="22"/>
      <c r="MZ297" s="22"/>
      <c r="NA297" s="22"/>
      <c r="NB297" s="22"/>
      <c r="NC297" s="22"/>
      <c r="ND297" s="22"/>
      <c r="NE297" s="22"/>
      <c r="NF297" s="22"/>
    </row>
    <row r="298">
      <c r="A298" s="143"/>
      <c r="B298" s="143"/>
      <c r="C298" s="140"/>
      <c r="D298" s="292"/>
      <c r="E298" s="140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/>
      <c r="DW298" s="22"/>
      <c r="DX298" s="22"/>
      <c r="DY298" s="22"/>
      <c r="DZ298" s="22"/>
      <c r="EA298" s="22"/>
      <c r="EB298" s="22"/>
      <c r="EC298" s="22"/>
      <c r="ED298" s="22"/>
      <c r="EE298" s="22"/>
      <c r="EF298" s="22"/>
      <c r="EG298" s="22"/>
      <c r="EH298" s="22"/>
      <c r="EI298" s="22"/>
      <c r="EJ298" s="22"/>
      <c r="EK298" s="22"/>
      <c r="EL298" s="22"/>
      <c r="EM298" s="22"/>
      <c r="EN298" s="22"/>
      <c r="EO298" s="22"/>
      <c r="EP298" s="22"/>
      <c r="EQ298" s="22"/>
      <c r="ER298" s="22"/>
      <c r="ES298" s="22"/>
      <c r="ET298" s="22"/>
      <c r="EU298" s="22"/>
      <c r="EV298" s="22"/>
      <c r="EW298" s="22"/>
      <c r="EX298" s="22"/>
      <c r="EY298" s="22"/>
      <c r="EZ298" s="22"/>
      <c r="FA298" s="22"/>
      <c r="FB298" s="22"/>
      <c r="FC298" s="22"/>
      <c r="FD298" s="22"/>
      <c r="FE298" s="22"/>
      <c r="FF298" s="22"/>
      <c r="FG298" s="22"/>
      <c r="FH298" s="22"/>
      <c r="FI298" s="22"/>
      <c r="FJ298" s="22"/>
      <c r="FK298" s="22"/>
      <c r="FL298" s="22"/>
      <c r="FM298" s="22"/>
      <c r="FN298" s="22"/>
      <c r="FO298" s="22"/>
      <c r="FP298" s="22"/>
      <c r="FQ298" s="22"/>
      <c r="FR298" s="22"/>
      <c r="FS298" s="22"/>
      <c r="FT298" s="22"/>
      <c r="FU298" s="22"/>
      <c r="FV298" s="22"/>
      <c r="FW298" s="22"/>
      <c r="FX298" s="22"/>
      <c r="FY298" s="22"/>
      <c r="FZ298" s="22"/>
      <c r="GA298" s="22"/>
      <c r="GB298" s="22"/>
      <c r="GC298" s="22"/>
      <c r="GD298" s="22"/>
      <c r="GE298" s="22"/>
      <c r="GF298" s="22"/>
      <c r="GG298" s="22"/>
      <c r="GH298" s="22"/>
      <c r="GI298" s="22"/>
      <c r="GJ298" s="22"/>
      <c r="GK298" s="22"/>
      <c r="GL298" s="22"/>
      <c r="GM298" s="22"/>
      <c r="GN298" s="22"/>
      <c r="GO298" s="22"/>
      <c r="GP298" s="22"/>
      <c r="GQ298" s="22"/>
      <c r="GR298" s="22"/>
      <c r="GS298" s="22"/>
      <c r="GT298" s="22"/>
      <c r="GU298" s="22"/>
      <c r="GV298" s="22"/>
      <c r="GW298" s="22"/>
      <c r="GX298" s="22"/>
      <c r="GY298" s="22"/>
      <c r="GZ298" s="22"/>
      <c r="HA298" s="22"/>
      <c r="HB298" s="22"/>
      <c r="HC298" s="22"/>
      <c r="HD298" s="22"/>
      <c r="HE298" s="22"/>
      <c r="HF298" s="22"/>
      <c r="HG298" s="22"/>
      <c r="HH298" s="22"/>
      <c r="HI298" s="22"/>
      <c r="HJ298" s="22"/>
      <c r="HK298" s="22"/>
      <c r="HL298" s="22"/>
      <c r="HM298" s="22"/>
      <c r="HN298" s="22"/>
      <c r="HO298" s="22"/>
      <c r="HP298" s="22"/>
      <c r="HQ298" s="22"/>
      <c r="HR298" s="22"/>
      <c r="HS298" s="22"/>
      <c r="HT298" s="22"/>
      <c r="HU298" s="22"/>
      <c r="HV298" s="22"/>
      <c r="HW298" s="22"/>
      <c r="HX298" s="22"/>
      <c r="HY298" s="22"/>
      <c r="HZ298" s="22"/>
      <c r="IA298" s="22"/>
      <c r="IB298" s="22"/>
      <c r="IC298" s="22"/>
      <c r="ID298" s="22"/>
      <c r="IE298" s="22"/>
      <c r="IF298" s="22"/>
      <c r="IG298" s="22"/>
      <c r="IH298" s="22"/>
      <c r="II298" s="22"/>
      <c r="IJ298" s="22"/>
      <c r="IK298" s="22"/>
      <c r="IL298" s="22"/>
      <c r="IM298" s="22"/>
      <c r="IN298" s="22"/>
      <c r="IO298" s="22"/>
      <c r="IP298" s="22"/>
      <c r="IQ298" s="22"/>
      <c r="IR298" s="22"/>
      <c r="IS298" s="22"/>
      <c r="IT298" s="22"/>
      <c r="IU298" s="22"/>
      <c r="IV298" s="22"/>
      <c r="IW298" s="22"/>
      <c r="IX298" s="22"/>
      <c r="IY298" s="22"/>
      <c r="IZ298" s="22"/>
      <c r="JA298" s="22"/>
      <c r="JB298" s="22"/>
      <c r="JC298" s="22"/>
      <c r="JD298" s="22"/>
      <c r="JE298" s="22"/>
      <c r="JF298" s="22"/>
      <c r="JG298" s="22"/>
      <c r="JH298" s="22"/>
      <c r="JI298" s="22"/>
      <c r="JJ298" s="22"/>
      <c r="JK298" s="22"/>
      <c r="JL298" s="22"/>
      <c r="JM298" s="22"/>
      <c r="JN298" s="22"/>
      <c r="JO298" s="22"/>
      <c r="JP298" s="22"/>
      <c r="JQ298" s="22"/>
      <c r="JR298" s="22"/>
      <c r="JS298" s="22"/>
      <c r="JT298" s="22"/>
      <c r="JU298" s="22"/>
      <c r="JV298" s="22"/>
      <c r="JW298" s="22"/>
      <c r="JX298" s="22"/>
      <c r="JY298" s="22"/>
      <c r="JZ298" s="22"/>
      <c r="KA298" s="22"/>
      <c r="KB298" s="22"/>
      <c r="KC298" s="22"/>
      <c r="KD298" s="22"/>
      <c r="KE298" s="22"/>
      <c r="KF298" s="22"/>
      <c r="KG298" s="22"/>
      <c r="KH298" s="22"/>
      <c r="KI298" s="22"/>
      <c r="KJ298" s="22"/>
      <c r="KK298" s="22"/>
      <c r="KL298" s="22"/>
      <c r="KM298" s="22"/>
      <c r="KN298" s="22"/>
      <c r="KO298" s="22"/>
      <c r="KP298" s="22"/>
      <c r="KQ298" s="22"/>
      <c r="KR298" s="22"/>
      <c r="KS298" s="22"/>
      <c r="KT298" s="22"/>
      <c r="KU298" s="22"/>
      <c r="KV298" s="22"/>
      <c r="KW298" s="22"/>
      <c r="KX298" s="22"/>
      <c r="KY298" s="22"/>
      <c r="KZ298" s="22"/>
      <c r="LA298" s="22"/>
      <c r="LB298" s="22"/>
      <c r="LC298" s="22"/>
      <c r="LD298" s="22"/>
      <c r="LE298" s="22"/>
      <c r="LF298" s="22"/>
      <c r="LG298" s="22"/>
      <c r="LH298" s="22"/>
      <c r="LI298" s="22"/>
      <c r="LJ298" s="22"/>
      <c r="LK298" s="22"/>
      <c r="LL298" s="22"/>
      <c r="LM298" s="22"/>
      <c r="LN298" s="22"/>
      <c r="LO298" s="22"/>
      <c r="LP298" s="22"/>
      <c r="LQ298" s="22"/>
      <c r="LR298" s="22"/>
      <c r="LS298" s="22"/>
      <c r="LT298" s="22"/>
      <c r="LU298" s="22"/>
      <c r="LV298" s="22"/>
      <c r="LW298" s="22"/>
      <c r="LX298" s="22"/>
      <c r="LY298" s="22"/>
      <c r="LZ298" s="22"/>
      <c r="MA298" s="22"/>
      <c r="MB298" s="22"/>
      <c r="MC298" s="22"/>
      <c r="MD298" s="22"/>
      <c r="ME298" s="22"/>
      <c r="MF298" s="22"/>
      <c r="MG298" s="22"/>
      <c r="MH298" s="22"/>
      <c r="MI298" s="22"/>
      <c r="MJ298" s="22"/>
      <c r="MK298" s="22"/>
      <c r="ML298" s="22"/>
      <c r="MM298" s="22"/>
      <c r="MN298" s="22"/>
      <c r="MO298" s="22"/>
      <c r="MP298" s="22"/>
      <c r="MQ298" s="22"/>
      <c r="MR298" s="22"/>
      <c r="MS298" s="22"/>
      <c r="MT298" s="22"/>
      <c r="MU298" s="22"/>
      <c r="MV298" s="22"/>
      <c r="MW298" s="22"/>
      <c r="MX298" s="22"/>
      <c r="MY298" s="22"/>
      <c r="MZ298" s="22"/>
      <c r="NA298" s="22"/>
      <c r="NB298" s="22"/>
      <c r="NC298" s="22"/>
      <c r="ND298" s="22"/>
      <c r="NE298" s="22"/>
      <c r="NF298" s="22"/>
    </row>
    <row r="299" collapsed="1">
      <c r="A299" s="143" t="s">
        <v>454</v>
      </c>
      <c r="B299" s="143" t="s">
        <v>455</v>
      </c>
      <c r="C299" s="143" t="s">
        <v>456</v>
      </c>
      <c r="D299" s="292"/>
      <c r="E299" s="140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/>
      <c r="DY299" s="22"/>
      <c r="DZ299" s="22"/>
      <c r="EA299" s="22"/>
      <c r="EB299" s="22"/>
      <c r="EC299" s="22"/>
      <c r="ED299" s="22"/>
      <c r="EE299" s="22"/>
      <c r="EF299" s="22"/>
      <c r="EG299" s="22"/>
      <c r="EH299" s="22"/>
      <c r="EI299" s="22"/>
      <c r="EJ299" s="22"/>
      <c r="EK299" s="22"/>
      <c r="EL299" s="22"/>
      <c r="EM299" s="22"/>
      <c r="EN299" s="22"/>
      <c r="EO299" s="22"/>
      <c r="EP299" s="22"/>
      <c r="EQ299" s="22"/>
      <c r="ER299" s="22"/>
      <c r="ES299" s="22"/>
      <c r="ET299" s="22"/>
      <c r="EU299" s="22"/>
      <c r="EV299" s="22"/>
      <c r="EW299" s="22"/>
      <c r="EX299" s="22"/>
      <c r="EY299" s="22"/>
      <c r="EZ299" s="22"/>
      <c r="FA299" s="22"/>
      <c r="FB299" s="22"/>
      <c r="FC299" s="22"/>
      <c r="FD299" s="22"/>
      <c r="FE299" s="22"/>
      <c r="FF299" s="22"/>
      <c r="FG299" s="22"/>
      <c r="FH299" s="22"/>
      <c r="FI299" s="22"/>
      <c r="FJ299" s="22"/>
      <c r="FK299" s="22"/>
      <c r="FL299" s="22"/>
      <c r="FM299" s="22"/>
      <c r="FN299" s="22"/>
      <c r="FO299" s="22"/>
      <c r="FP299" s="22"/>
      <c r="FQ299" s="22"/>
      <c r="FR299" s="22"/>
      <c r="FS299" s="22"/>
      <c r="FT299" s="22"/>
      <c r="FU299" s="22"/>
      <c r="FV299" s="22"/>
      <c r="FW299" s="22"/>
      <c r="FX299" s="22"/>
      <c r="FY299" s="22"/>
      <c r="FZ299" s="22"/>
      <c r="GA299" s="22"/>
      <c r="GB299" s="22"/>
      <c r="GC299" s="22"/>
      <c r="GD299" s="22"/>
      <c r="GE299" s="22"/>
      <c r="GF299" s="22"/>
      <c r="GG299" s="22"/>
      <c r="GH299" s="22"/>
      <c r="GI299" s="22"/>
      <c r="GJ299" s="22"/>
      <c r="GK299" s="22"/>
      <c r="GL299" s="22"/>
      <c r="GM299" s="22"/>
      <c r="GN299" s="22"/>
      <c r="GO299" s="22"/>
      <c r="GP299" s="22"/>
      <c r="GQ299" s="22"/>
      <c r="GR299" s="22"/>
      <c r="GS299" s="22"/>
      <c r="GT299" s="22"/>
      <c r="GU299" s="22"/>
      <c r="GV299" s="22"/>
      <c r="GW299" s="22"/>
      <c r="GX299" s="22"/>
      <c r="GY299" s="22"/>
      <c r="GZ299" s="22"/>
      <c r="HA299" s="22"/>
      <c r="HB299" s="22"/>
      <c r="HC299" s="22"/>
      <c r="HD299" s="22"/>
      <c r="HE299" s="22"/>
      <c r="HF299" s="22"/>
      <c r="HG299" s="22"/>
      <c r="HH299" s="22"/>
      <c r="HI299" s="22"/>
      <c r="HJ299" s="22"/>
      <c r="HK299" s="22"/>
      <c r="HL299" s="22"/>
      <c r="HM299" s="22"/>
      <c r="HN299" s="22"/>
      <c r="HO299" s="22"/>
      <c r="HP299" s="22"/>
      <c r="HQ299" s="22"/>
      <c r="HR299" s="22"/>
      <c r="HS299" s="22"/>
      <c r="HT299" s="22"/>
      <c r="HU299" s="22"/>
      <c r="HV299" s="22"/>
      <c r="HW299" s="22"/>
      <c r="HX299" s="22"/>
      <c r="HY299" s="22"/>
      <c r="HZ299" s="22"/>
      <c r="IA299" s="22"/>
      <c r="IB299" s="22"/>
      <c r="IC299" s="22"/>
      <c r="ID299" s="22"/>
      <c r="IE299" s="22"/>
      <c r="IF299" s="22"/>
      <c r="IG299" s="22"/>
      <c r="IH299" s="22"/>
      <c r="II299" s="22"/>
      <c r="IJ299" s="22"/>
      <c r="IK299" s="22"/>
      <c r="IL299" s="22"/>
      <c r="IM299" s="22"/>
      <c r="IN299" s="22"/>
      <c r="IO299" s="22"/>
      <c r="IP299" s="22"/>
      <c r="IQ299" s="22"/>
      <c r="IR299" s="22"/>
      <c r="IS299" s="22"/>
      <c r="IT299" s="22"/>
      <c r="IU299" s="22"/>
      <c r="IV299" s="22"/>
      <c r="IW299" s="22"/>
      <c r="IX299" s="22"/>
      <c r="IY299" s="22"/>
      <c r="IZ299" s="22"/>
      <c r="JA299" s="22"/>
      <c r="JB299" s="22"/>
      <c r="JC299" s="22"/>
      <c r="JD299" s="22"/>
      <c r="JE299" s="22"/>
      <c r="JF299" s="22"/>
      <c r="JG299" s="22"/>
      <c r="JH299" s="22"/>
      <c r="JI299" s="22"/>
      <c r="JJ299" s="22"/>
      <c r="JK299" s="22"/>
      <c r="JL299" s="22"/>
      <c r="JM299" s="22"/>
      <c r="JN299" s="22"/>
      <c r="JO299" s="22"/>
      <c r="JP299" s="22"/>
      <c r="JQ299" s="22"/>
      <c r="JR299" s="22"/>
      <c r="JS299" s="22"/>
      <c r="JT299" s="22"/>
      <c r="JU299" s="22"/>
      <c r="JV299" s="22"/>
      <c r="JW299" s="22"/>
      <c r="JX299" s="22"/>
      <c r="JY299" s="22"/>
      <c r="JZ299" s="22"/>
      <c r="KA299" s="22"/>
      <c r="KB299" s="22"/>
      <c r="KC299" s="22"/>
      <c r="KD299" s="22"/>
      <c r="KE299" s="22"/>
      <c r="KF299" s="22"/>
      <c r="KG299" s="22"/>
      <c r="KH299" s="22"/>
      <c r="KI299" s="22"/>
      <c r="KJ299" s="22"/>
      <c r="KK299" s="22"/>
      <c r="KL299" s="22"/>
      <c r="KM299" s="22"/>
      <c r="KN299" s="22"/>
      <c r="KO299" s="22"/>
      <c r="KP299" s="22"/>
      <c r="KQ299" s="22"/>
      <c r="KR299" s="22"/>
      <c r="KS299" s="22"/>
      <c r="KT299" s="22"/>
      <c r="KU299" s="22"/>
      <c r="KV299" s="22"/>
      <c r="KW299" s="22"/>
      <c r="KX299" s="22"/>
      <c r="KY299" s="22"/>
      <c r="KZ299" s="22"/>
      <c r="LA299" s="22"/>
      <c r="LB299" s="22"/>
      <c r="LC299" s="22"/>
      <c r="LD299" s="22"/>
      <c r="LE299" s="22"/>
      <c r="LF299" s="22"/>
      <c r="LG299" s="22"/>
      <c r="LH299" s="22"/>
      <c r="LI299" s="22"/>
      <c r="LJ299" s="22"/>
      <c r="LK299" s="22"/>
      <c r="LL299" s="22"/>
      <c r="LM299" s="22"/>
      <c r="LN299" s="22"/>
      <c r="LO299" s="22"/>
      <c r="LP299" s="22"/>
      <c r="LQ299" s="22"/>
      <c r="LR299" s="22"/>
      <c r="LS299" s="22"/>
      <c r="LT299" s="22"/>
      <c r="LU299" s="22"/>
      <c r="LV299" s="22"/>
      <c r="LW299" s="22"/>
      <c r="LX299" s="22"/>
      <c r="LY299" s="22"/>
      <c r="LZ299" s="22"/>
      <c r="MA299" s="22"/>
      <c r="MB299" s="22"/>
      <c r="MC299" s="22"/>
      <c r="MD299" s="22"/>
      <c r="ME299" s="22"/>
      <c r="MF299" s="22"/>
      <c r="MG299" s="22"/>
      <c r="MH299" s="22"/>
      <c r="MI299" s="22"/>
      <c r="MJ299" s="22"/>
      <c r="MK299" s="22"/>
      <c r="ML299" s="22"/>
      <c r="MM299" s="22"/>
      <c r="MN299" s="22"/>
      <c r="MO299" s="22"/>
      <c r="MP299" s="22"/>
      <c r="MQ299" s="22"/>
      <c r="MR299" s="22"/>
      <c r="MS299" s="22"/>
      <c r="MT299" s="22"/>
      <c r="MU299" s="22"/>
      <c r="MV299" s="22"/>
      <c r="MW299" s="22"/>
      <c r="MX299" s="22"/>
      <c r="MY299" s="22"/>
      <c r="MZ299" s="22"/>
      <c r="NA299" s="22"/>
      <c r="NB299" s="22"/>
      <c r="NC299" s="22"/>
      <c r="ND299" s="22"/>
      <c r="NE299" s="22"/>
      <c r="NF299" s="22"/>
    </row>
    <row r="300" hidden="1" outlineLevel="1">
      <c r="A300" s="299">
        <v>46029.0</v>
      </c>
      <c r="B300" s="299">
        <v>46108.0</v>
      </c>
      <c r="C300" s="300">
        <v>46090.0</v>
      </c>
      <c r="D300" s="292"/>
      <c r="E300" s="140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2"/>
      <c r="EE300" s="22"/>
      <c r="EF300" s="22"/>
      <c r="EG300" s="22"/>
      <c r="EH300" s="22"/>
      <c r="EI300" s="22"/>
      <c r="EJ300" s="22"/>
      <c r="EK300" s="22"/>
      <c r="EL300" s="22"/>
      <c r="EM300" s="22"/>
      <c r="EN300" s="22"/>
      <c r="EO300" s="22"/>
      <c r="EP300" s="22"/>
      <c r="EQ300" s="22"/>
      <c r="ER300" s="22"/>
      <c r="ES300" s="22"/>
      <c r="ET300" s="22"/>
      <c r="EU300" s="22"/>
      <c r="EV300" s="22"/>
      <c r="EW300" s="22"/>
      <c r="EX300" s="22"/>
      <c r="EY300" s="22"/>
      <c r="EZ300" s="22"/>
      <c r="FA300" s="22"/>
      <c r="FB300" s="22"/>
      <c r="FC300" s="22"/>
      <c r="FD300" s="22"/>
      <c r="FE300" s="22"/>
      <c r="FF300" s="22"/>
      <c r="FG300" s="22"/>
      <c r="FH300" s="22"/>
      <c r="FI300" s="22"/>
      <c r="FJ300" s="22"/>
      <c r="FK300" s="22"/>
      <c r="FL300" s="22"/>
      <c r="FM300" s="22"/>
      <c r="FN300" s="22"/>
      <c r="FO300" s="22"/>
      <c r="FP300" s="22"/>
      <c r="FQ300" s="22"/>
      <c r="FR300" s="22"/>
      <c r="FS300" s="22"/>
      <c r="FT300" s="22"/>
      <c r="FU300" s="22"/>
      <c r="FV300" s="22"/>
      <c r="FW300" s="22"/>
      <c r="FX300" s="22"/>
      <c r="FY300" s="22"/>
      <c r="FZ300" s="22"/>
      <c r="GA300" s="22"/>
      <c r="GB300" s="22"/>
      <c r="GC300" s="22"/>
      <c r="GD300" s="22"/>
      <c r="GE300" s="22"/>
      <c r="GF300" s="22"/>
      <c r="GG300" s="22"/>
      <c r="GH300" s="22"/>
      <c r="GI300" s="22"/>
      <c r="GJ300" s="22"/>
      <c r="GK300" s="22"/>
      <c r="GL300" s="22"/>
      <c r="GM300" s="22"/>
      <c r="GN300" s="22"/>
      <c r="GO300" s="22"/>
      <c r="GP300" s="22"/>
      <c r="GQ300" s="22"/>
      <c r="GR300" s="22"/>
      <c r="GS300" s="22"/>
      <c r="GT300" s="22"/>
      <c r="GU300" s="22"/>
      <c r="GV300" s="22"/>
      <c r="GW300" s="22"/>
      <c r="GX300" s="22"/>
      <c r="GY300" s="22"/>
      <c r="GZ300" s="22"/>
      <c r="HA300" s="22"/>
      <c r="HB300" s="22"/>
      <c r="HC300" s="22"/>
      <c r="HD300" s="22"/>
      <c r="HE300" s="22"/>
      <c r="HF300" s="22"/>
      <c r="HG300" s="22"/>
      <c r="HH300" s="22"/>
      <c r="HI300" s="22"/>
      <c r="HJ300" s="22"/>
      <c r="HK300" s="22"/>
      <c r="HL300" s="22"/>
      <c r="HM300" s="22"/>
      <c r="HN300" s="22"/>
      <c r="HO300" s="22"/>
      <c r="HP300" s="22"/>
      <c r="HQ300" s="22"/>
      <c r="HR300" s="22"/>
      <c r="HS300" s="22"/>
      <c r="HT300" s="22"/>
      <c r="HU300" s="22"/>
      <c r="HV300" s="22"/>
      <c r="HW300" s="22"/>
      <c r="HX300" s="22"/>
      <c r="HY300" s="22"/>
      <c r="HZ300" s="22"/>
      <c r="IA300" s="22"/>
      <c r="IB300" s="22"/>
      <c r="IC300" s="22"/>
      <c r="ID300" s="22"/>
      <c r="IE300" s="22"/>
      <c r="IF300" s="22"/>
      <c r="IG300" s="22"/>
      <c r="IH300" s="22"/>
      <c r="II300" s="22"/>
      <c r="IJ300" s="22"/>
      <c r="IK300" s="22"/>
      <c r="IL300" s="22"/>
      <c r="IM300" s="22"/>
      <c r="IN300" s="22"/>
      <c r="IO300" s="22"/>
      <c r="IP300" s="22"/>
      <c r="IQ300" s="22"/>
      <c r="IR300" s="22"/>
      <c r="IS300" s="22"/>
      <c r="IT300" s="22"/>
      <c r="IU300" s="22"/>
      <c r="IV300" s="22"/>
      <c r="IW300" s="22"/>
      <c r="IX300" s="22"/>
      <c r="IY300" s="22"/>
      <c r="IZ300" s="22"/>
      <c r="JA300" s="22"/>
      <c r="JB300" s="22"/>
      <c r="JC300" s="22"/>
      <c r="JD300" s="22"/>
      <c r="JE300" s="22"/>
      <c r="JF300" s="22"/>
      <c r="JG300" s="22"/>
      <c r="JH300" s="22"/>
      <c r="JI300" s="22"/>
      <c r="JJ300" s="22"/>
      <c r="JK300" s="22"/>
      <c r="JL300" s="22"/>
      <c r="JM300" s="22"/>
      <c r="JN300" s="22"/>
      <c r="JO300" s="22"/>
      <c r="JP300" s="22"/>
      <c r="JQ300" s="22"/>
      <c r="JR300" s="22"/>
      <c r="JS300" s="22"/>
      <c r="JT300" s="22"/>
      <c r="JU300" s="22"/>
      <c r="JV300" s="22"/>
      <c r="JW300" s="22"/>
      <c r="JX300" s="22"/>
      <c r="JY300" s="22"/>
      <c r="JZ300" s="22"/>
      <c r="KA300" s="22"/>
      <c r="KB300" s="22"/>
      <c r="KC300" s="22"/>
      <c r="KD300" s="22"/>
      <c r="KE300" s="22"/>
      <c r="KF300" s="22"/>
      <c r="KG300" s="22"/>
      <c r="KH300" s="22"/>
      <c r="KI300" s="22"/>
      <c r="KJ300" s="22"/>
      <c r="KK300" s="22"/>
      <c r="KL300" s="22"/>
      <c r="KM300" s="22"/>
      <c r="KN300" s="22"/>
      <c r="KO300" s="22"/>
      <c r="KP300" s="22"/>
      <c r="KQ300" s="22"/>
      <c r="KR300" s="22"/>
      <c r="KS300" s="22"/>
      <c r="KT300" s="22"/>
      <c r="KU300" s="22"/>
      <c r="KV300" s="22"/>
      <c r="KW300" s="22"/>
      <c r="KX300" s="22"/>
      <c r="KY300" s="22"/>
      <c r="KZ300" s="22"/>
      <c r="LA300" s="22"/>
      <c r="LB300" s="22"/>
      <c r="LC300" s="22"/>
      <c r="LD300" s="22"/>
      <c r="LE300" s="22"/>
      <c r="LF300" s="22"/>
      <c r="LG300" s="22"/>
      <c r="LH300" s="22"/>
      <c r="LI300" s="22"/>
      <c r="LJ300" s="22"/>
      <c r="LK300" s="22"/>
      <c r="LL300" s="22"/>
      <c r="LM300" s="22"/>
      <c r="LN300" s="22"/>
      <c r="LO300" s="22"/>
      <c r="LP300" s="22"/>
      <c r="LQ300" s="22"/>
      <c r="LR300" s="22"/>
      <c r="LS300" s="22"/>
      <c r="LT300" s="22"/>
      <c r="LU300" s="22"/>
      <c r="LV300" s="22"/>
      <c r="LW300" s="22"/>
      <c r="LX300" s="22"/>
      <c r="LY300" s="22"/>
      <c r="LZ300" s="22"/>
      <c r="MA300" s="22"/>
      <c r="MB300" s="22"/>
      <c r="MC300" s="22"/>
      <c r="MD300" s="22"/>
      <c r="ME300" s="22"/>
      <c r="MF300" s="22"/>
      <c r="MG300" s="22"/>
      <c r="MH300" s="22"/>
      <c r="MI300" s="22"/>
      <c r="MJ300" s="22"/>
      <c r="MK300" s="22"/>
      <c r="ML300" s="22"/>
      <c r="MM300" s="22"/>
      <c r="MN300" s="22"/>
      <c r="MO300" s="22"/>
      <c r="MP300" s="22"/>
      <c r="MQ300" s="22"/>
      <c r="MR300" s="22"/>
      <c r="MS300" s="22"/>
      <c r="MT300" s="22"/>
      <c r="MU300" s="22"/>
      <c r="MV300" s="22"/>
      <c r="MW300" s="22"/>
      <c r="MX300" s="22"/>
      <c r="MY300" s="22"/>
      <c r="MZ300" s="22"/>
      <c r="NA300" s="22"/>
      <c r="NB300" s="22"/>
      <c r="NC300" s="22"/>
      <c r="ND300" s="22"/>
      <c r="NE300" s="22"/>
      <c r="NF300" s="22"/>
    </row>
    <row r="301" hidden="1" outlineLevel="1">
      <c r="A301" s="299">
        <v>46030.0</v>
      </c>
      <c r="B301" s="300">
        <v>46255.0</v>
      </c>
      <c r="C301" s="300">
        <v>46213.0</v>
      </c>
      <c r="D301" s="292"/>
      <c r="E301" s="140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/>
      <c r="DY301" s="22"/>
      <c r="DZ301" s="22"/>
      <c r="EA301" s="22"/>
      <c r="EB301" s="22"/>
      <c r="EC301" s="22"/>
      <c r="ED301" s="22"/>
      <c r="EE301" s="22"/>
      <c r="EF301" s="22"/>
      <c r="EG301" s="22"/>
      <c r="EH301" s="22"/>
      <c r="EI301" s="22"/>
      <c r="EJ301" s="22"/>
      <c r="EK301" s="22"/>
      <c r="EL301" s="22"/>
      <c r="EM301" s="22"/>
      <c r="EN301" s="22"/>
      <c r="EO301" s="22"/>
      <c r="EP301" s="22"/>
      <c r="EQ301" s="22"/>
      <c r="ER301" s="22"/>
      <c r="ES301" s="22"/>
      <c r="ET301" s="22"/>
      <c r="EU301" s="22"/>
      <c r="EV301" s="22"/>
      <c r="EW301" s="22"/>
      <c r="EX301" s="22"/>
      <c r="EY301" s="22"/>
      <c r="EZ301" s="22"/>
      <c r="FA301" s="22"/>
      <c r="FB301" s="22"/>
      <c r="FC301" s="22"/>
      <c r="FD301" s="22"/>
      <c r="FE301" s="22"/>
      <c r="FF301" s="22"/>
      <c r="FG301" s="22"/>
      <c r="FH301" s="22"/>
      <c r="FI301" s="22"/>
      <c r="FJ301" s="22"/>
      <c r="FK301" s="22"/>
      <c r="FL301" s="22"/>
      <c r="FM301" s="22"/>
      <c r="FN301" s="22"/>
      <c r="FO301" s="22"/>
      <c r="FP301" s="22"/>
      <c r="FQ301" s="22"/>
      <c r="FR301" s="22"/>
      <c r="FS301" s="22"/>
      <c r="FT301" s="22"/>
      <c r="FU301" s="22"/>
      <c r="FV301" s="22"/>
      <c r="FW301" s="22"/>
      <c r="FX301" s="22"/>
      <c r="FY301" s="22"/>
      <c r="FZ301" s="22"/>
      <c r="GA301" s="22"/>
      <c r="GB301" s="22"/>
      <c r="GC301" s="22"/>
      <c r="GD301" s="22"/>
      <c r="GE301" s="22"/>
      <c r="GF301" s="22"/>
      <c r="GG301" s="22"/>
      <c r="GH301" s="22"/>
      <c r="GI301" s="22"/>
      <c r="GJ301" s="22"/>
      <c r="GK301" s="22"/>
      <c r="GL301" s="22"/>
      <c r="GM301" s="22"/>
      <c r="GN301" s="22"/>
      <c r="GO301" s="22"/>
      <c r="GP301" s="22"/>
      <c r="GQ301" s="22"/>
      <c r="GR301" s="22"/>
      <c r="GS301" s="22"/>
      <c r="GT301" s="22"/>
      <c r="GU301" s="22"/>
      <c r="GV301" s="22"/>
      <c r="GW301" s="22"/>
      <c r="GX301" s="22"/>
      <c r="GY301" s="22"/>
      <c r="GZ301" s="22"/>
      <c r="HA301" s="22"/>
      <c r="HB301" s="22"/>
      <c r="HC301" s="22"/>
      <c r="HD301" s="22"/>
      <c r="HE301" s="22"/>
      <c r="HF301" s="22"/>
      <c r="HG301" s="22"/>
      <c r="HH301" s="22"/>
      <c r="HI301" s="22"/>
      <c r="HJ301" s="22"/>
      <c r="HK301" s="22"/>
      <c r="HL301" s="22"/>
      <c r="HM301" s="22"/>
      <c r="HN301" s="22"/>
      <c r="HO301" s="22"/>
      <c r="HP301" s="22"/>
      <c r="HQ301" s="22"/>
      <c r="HR301" s="22"/>
      <c r="HS301" s="22"/>
      <c r="HT301" s="22"/>
      <c r="HU301" s="22"/>
      <c r="HV301" s="22"/>
      <c r="HW301" s="22"/>
      <c r="HX301" s="22"/>
      <c r="HY301" s="22"/>
      <c r="HZ301" s="22"/>
      <c r="IA301" s="22"/>
      <c r="IB301" s="22"/>
      <c r="IC301" s="22"/>
      <c r="ID301" s="22"/>
      <c r="IE301" s="22"/>
      <c r="IF301" s="22"/>
      <c r="IG301" s="22"/>
      <c r="IH301" s="22"/>
      <c r="II301" s="22"/>
      <c r="IJ301" s="22"/>
      <c r="IK301" s="22"/>
      <c r="IL301" s="22"/>
      <c r="IM301" s="22"/>
      <c r="IN301" s="22"/>
      <c r="IO301" s="22"/>
      <c r="IP301" s="22"/>
      <c r="IQ301" s="22"/>
      <c r="IR301" s="22"/>
      <c r="IS301" s="22"/>
      <c r="IT301" s="22"/>
      <c r="IU301" s="22"/>
      <c r="IV301" s="22"/>
      <c r="IW301" s="22"/>
      <c r="IX301" s="22"/>
      <c r="IY301" s="22"/>
      <c r="IZ301" s="22"/>
      <c r="JA301" s="22"/>
      <c r="JB301" s="22"/>
      <c r="JC301" s="22"/>
      <c r="JD301" s="22"/>
      <c r="JE301" s="22"/>
      <c r="JF301" s="22"/>
      <c r="JG301" s="22"/>
      <c r="JH301" s="22"/>
      <c r="JI301" s="22"/>
      <c r="JJ301" s="22"/>
      <c r="JK301" s="22"/>
      <c r="JL301" s="22"/>
      <c r="JM301" s="22"/>
      <c r="JN301" s="22"/>
      <c r="JO301" s="22"/>
      <c r="JP301" s="22"/>
      <c r="JQ301" s="22"/>
      <c r="JR301" s="22"/>
      <c r="JS301" s="22"/>
      <c r="JT301" s="22"/>
      <c r="JU301" s="22"/>
      <c r="JV301" s="22"/>
      <c r="JW301" s="22"/>
      <c r="JX301" s="22"/>
      <c r="JY301" s="22"/>
      <c r="JZ301" s="22"/>
      <c r="KA301" s="22"/>
      <c r="KB301" s="22"/>
      <c r="KC301" s="22"/>
      <c r="KD301" s="22"/>
      <c r="KE301" s="22"/>
      <c r="KF301" s="22"/>
      <c r="KG301" s="22"/>
      <c r="KH301" s="22"/>
      <c r="KI301" s="22"/>
      <c r="KJ301" s="22"/>
      <c r="KK301" s="22"/>
      <c r="KL301" s="22"/>
      <c r="KM301" s="22"/>
      <c r="KN301" s="22"/>
      <c r="KO301" s="22"/>
      <c r="KP301" s="22"/>
      <c r="KQ301" s="22"/>
      <c r="KR301" s="22"/>
      <c r="KS301" s="22"/>
      <c r="KT301" s="22"/>
      <c r="KU301" s="22"/>
      <c r="KV301" s="22"/>
      <c r="KW301" s="22"/>
      <c r="KX301" s="22"/>
      <c r="KY301" s="22"/>
      <c r="KZ301" s="22"/>
      <c r="LA301" s="22"/>
      <c r="LB301" s="22"/>
      <c r="LC301" s="22"/>
      <c r="LD301" s="22"/>
      <c r="LE301" s="22"/>
      <c r="LF301" s="22"/>
      <c r="LG301" s="22"/>
      <c r="LH301" s="22"/>
      <c r="LI301" s="22"/>
      <c r="LJ301" s="22"/>
      <c r="LK301" s="22"/>
      <c r="LL301" s="22"/>
      <c r="LM301" s="22"/>
      <c r="LN301" s="22"/>
      <c r="LO301" s="22"/>
      <c r="LP301" s="22"/>
      <c r="LQ301" s="22"/>
      <c r="LR301" s="22"/>
      <c r="LS301" s="22"/>
      <c r="LT301" s="22"/>
      <c r="LU301" s="22"/>
      <c r="LV301" s="22"/>
      <c r="LW301" s="22"/>
      <c r="LX301" s="22"/>
      <c r="LY301" s="22"/>
      <c r="LZ301" s="22"/>
      <c r="MA301" s="22"/>
      <c r="MB301" s="22"/>
      <c r="MC301" s="22"/>
      <c r="MD301" s="22"/>
      <c r="ME301" s="22"/>
      <c r="MF301" s="22"/>
      <c r="MG301" s="22"/>
      <c r="MH301" s="22"/>
      <c r="MI301" s="22"/>
      <c r="MJ301" s="22"/>
      <c r="MK301" s="22"/>
      <c r="ML301" s="22"/>
      <c r="MM301" s="22"/>
      <c r="MN301" s="22"/>
      <c r="MO301" s="22"/>
      <c r="MP301" s="22"/>
      <c r="MQ301" s="22"/>
      <c r="MR301" s="22"/>
      <c r="MS301" s="22"/>
      <c r="MT301" s="22"/>
      <c r="MU301" s="22"/>
      <c r="MV301" s="22"/>
      <c r="MW301" s="22"/>
      <c r="MX301" s="22"/>
      <c r="MY301" s="22"/>
      <c r="MZ301" s="22"/>
      <c r="NA301" s="22"/>
      <c r="NB301" s="22"/>
      <c r="NC301" s="22"/>
      <c r="ND301" s="22"/>
      <c r="NE301" s="22"/>
      <c r="NF301" s="22"/>
    </row>
    <row r="302" hidden="1" outlineLevel="1">
      <c r="A302" s="299">
        <v>46031.0</v>
      </c>
      <c r="B302" s="299"/>
      <c r="C302" s="300">
        <v>46248.0</v>
      </c>
      <c r="D302" s="292"/>
      <c r="E302" s="140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  <c r="EB302" s="22"/>
      <c r="EC302" s="22"/>
      <c r="ED302" s="22"/>
      <c r="EE302" s="22"/>
      <c r="EF302" s="22"/>
      <c r="EG302" s="22"/>
      <c r="EH302" s="22"/>
      <c r="EI302" s="22"/>
      <c r="EJ302" s="22"/>
      <c r="EK302" s="22"/>
      <c r="EL302" s="22"/>
      <c r="EM302" s="22"/>
      <c r="EN302" s="22"/>
      <c r="EO302" s="22"/>
      <c r="EP302" s="22"/>
      <c r="EQ302" s="22"/>
      <c r="ER302" s="22"/>
      <c r="ES302" s="22"/>
      <c r="ET302" s="22"/>
      <c r="EU302" s="22"/>
      <c r="EV302" s="22"/>
      <c r="EW302" s="22"/>
      <c r="EX302" s="22"/>
      <c r="EY302" s="22"/>
      <c r="EZ302" s="22"/>
      <c r="FA302" s="22"/>
      <c r="FB302" s="22"/>
      <c r="FC302" s="22"/>
      <c r="FD302" s="22"/>
      <c r="FE302" s="22"/>
      <c r="FF302" s="22"/>
      <c r="FG302" s="22"/>
      <c r="FH302" s="22"/>
      <c r="FI302" s="22"/>
      <c r="FJ302" s="22"/>
      <c r="FK302" s="22"/>
      <c r="FL302" s="22"/>
      <c r="FM302" s="22"/>
      <c r="FN302" s="22"/>
      <c r="FO302" s="22"/>
      <c r="FP302" s="22"/>
      <c r="FQ302" s="22"/>
      <c r="FR302" s="22"/>
      <c r="FS302" s="22"/>
      <c r="FT302" s="22"/>
      <c r="FU302" s="22"/>
      <c r="FV302" s="22"/>
      <c r="FW302" s="22"/>
      <c r="FX302" s="22"/>
      <c r="FY302" s="22"/>
      <c r="FZ302" s="22"/>
      <c r="GA302" s="22"/>
      <c r="GB302" s="22"/>
      <c r="GC302" s="22"/>
      <c r="GD302" s="22"/>
      <c r="GE302" s="22"/>
      <c r="GF302" s="22"/>
      <c r="GG302" s="22"/>
      <c r="GH302" s="22"/>
      <c r="GI302" s="22"/>
      <c r="GJ302" s="22"/>
      <c r="GK302" s="22"/>
      <c r="GL302" s="22"/>
      <c r="GM302" s="22"/>
      <c r="GN302" s="22"/>
      <c r="GO302" s="22"/>
      <c r="GP302" s="22"/>
      <c r="GQ302" s="22"/>
      <c r="GR302" s="22"/>
      <c r="GS302" s="22"/>
      <c r="GT302" s="22"/>
      <c r="GU302" s="22"/>
      <c r="GV302" s="22"/>
      <c r="GW302" s="22"/>
      <c r="GX302" s="22"/>
      <c r="GY302" s="22"/>
      <c r="GZ302" s="22"/>
      <c r="HA302" s="22"/>
      <c r="HB302" s="22"/>
      <c r="HC302" s="22"/>
      <c r="HD302" s="22"/>
      <c r="HE302" s="22"/>
      <c r="HF302" s="22"/>
      <c r="HG302" s="22"/>
      <c r="HH302" s="22"/>
      <c r="HI302" s="22"/>
      <c r="HJ302" s="22"/>
      <c r="HK302" s="22"/>
      <c r="HL302" s="22"/>
      <c r="HM302" s="22"/>
      <c r="HN302" s="22"/>
      <c r="HO302" s="22"/>
      <c r="HP302" s="22"/>
      <c r="HQ302" s="22"/>
      <c r="HR302" s="22"/>
      <c r="HS302" s="22"/>
      <c r="HT302" s="22"/>
      <c r="HU302" s="22"/>
      <c r="HV302" s="22"/>
      <c r="HW302" s="22"/>
      <c r="HX302" s="22"/>
      <c r="HY302" s="22"/>
      <c r="HZ302" s="22"/>
      <c r="IA302" s="22"/>
      <c r="IB302" s="22"/>
      <c r="IC302" s="22"/>
      <c r="ID302" s="22"/>
      <c r="IE302" s="22"/>
      <c r="IF302" s="22"/>
      <c r="IG302" s="22"/>
      <c r="IH302" s="22"/>
      <c r="II302" s="22"/>
      <c r="IJ302" s="22"/>
      <c r="IK302" s="22"/>
      <c r="IL302" s="22"/>
      <c r="IM302" s="22"/>
      <c r="IN302" s="22"/>
      <c r="IO302" s="22"/>
      <c r="IP302" s="22"/>
      <c r="IQ302" s="22"/>
      <c r="IR302" s="22"/>
      <c r="IS302" s="22"/>
      <c r="IT302" s="22"/>
      <c r="IU302" s="22"/>
      <c r="IV302" s="22"/>
      <c r="IW302" s="22"/>
      <c r="IX302" s="22"/>
      <c r="IY302" s="22"/>
      <c r="IZ302" s="22"/>
      <c r="JA302" s="22"/>
      <c r="JB302" s="22"/>
      <c r="JC302" s="22"/>
      <c r="JD302" s="22"/>
      <c r="JE302" s="22"/>
      <c r="JF302" s="22"/>
      <c r="JG302" s="22"/>
      <c r="JH302" s="22"/>
      <c r="JI302" s="22"/>
      <c r="JJ302" s="22"/>
      <c r="JK302" s="22"/>
      <c r="JL302" s="22"/>
      <c r="JM302" s="22"/>
      <c r="JN302" s="22"/>
      <c r="JO302" s="22"/>
      <c r="JP302" s="22"/>
      <c r="JQ302" s="22"/>
      <c r="JR302" s="22"/>
      <c r="JS302" s="22"/>
      <c r="JT302" s="22"/>
      <c r="JU302" s="22"/>
      <c r="JV302" s="22"/>
      <c r="JW302" s="22"/>
      <c r="JX302" s="22"/>
      <c r="JY302" s="22"/>
      <c r="JZ302" s="22"/>
      <c r="KA302" s="22"/>
      <c r="KB302" s="22"/>
      <c r="KC302" s="22"/>
      <c r="KD302" s="22"/>
      <c r="KE302" s="22"/>
      <c r="KF302" s="22"/>
      <c r="KG302" s="22"/>
      <c r="KH302" s="22"/>
      <c r="KI302" s="22"/>
      <c r="KJ302" s="22"/>
      <c r="KK302" s="22"/>
      <c r="KL302" s="22"/>
      <c r="KM302" s="22"/>
      <c r="KN302" s="22"/>
      <c r="KO302" s="22"/>
      <c r="KP302" s="22"/>
      <c r="KQ302" s="22"/>
      <c r="KR302" s="22"/>
      <c r="KS302" s="22"/>
      <c r="KT302" s="22"/>
      <c r="KU302" s="22"/>
      <c r="KV302" s="22"/>
      <c r="KW302" s="22"/>
      <c r="KX302" s="22"/>
      <c r="KY302" s="22"/>
      <c r="KZ302" s="22"/>
      <c r="LA302" s="22"/>
      <c r="LB302" s="22"/>
      <c r="LC302" s="22"/>
      <c r="LD302" s="22"/>
      <c r="LE302" s="22"/>
      <c r="LF302" s="22"/>
      <c r="LG302" s="22"/>
      <c r="LH302" s="22"/>
      <c r="LI302" s="22"/>
      <c r="LJ302" s="22"/>
      <c r="LK302" s="22"/>
      <c r="LL302" s="22"/>
      <c r="LM302" s="22"/>
      <c r="LN302" s="22"/>
      <c r="LO302" s="22"/>
      <c r="LP302" s="22"/>
      <c r="LQ302" s="22"/>
      <c r="LR302" s="22"/>
      <c r="LS302" s="22"/>
      <c r="LT302" s="22"/>
      <c r="LU302" s="22"/>
      <c r="LV302" s="22"/>
      <c r="LW302" s="22"/>
      <c r="LX302" s="22"/>
      <c r="LY302" s="22"/>
      <c r="LZ302" s="22"/>
      <c r="MA302" s="22"/>
      <c r="MB302" s="22"/>
      <c r="MC302" s="22"/>
      <c r="MD302" s="22"/>
      <c r="ME302" s="22"/>
      <c r="MF302" s="22"/>
      <c r="MG302" s="22"/>
      <c r="MH302" s="22"/>
      <c r="MI302" s="22"/>
      <c r="MJ302" s="22"/>
      <c r="MK302" s="22"/>
      <c r="ML302" s="22"/>
      <c r="MM302" s="22"/>
      <c r="MN302" s="22"/>
      <c r="MO302" s="22"/>
      <c r="MP302" s="22"/>
      <c r="MQ302" s="22"/>
      <c r="MR302" s="22"/>
      <c r="MS302" s="22"/>
      <c r="MT302" s="22"/>
      <c r="MU302" s="22"/>
      <c r="MV302" s="22"/>
      <c r="MW302" s="22"/>
      <c r="MX302" s="22"/>
      <c r="MY302" s="22"/>
      <c r="MZ302" s="22"/>
      <c r="NA302" s="22"/>
      <c r="NB302" s="22"/>
      <c r="NC302" s="22"/>
      <c r="ND302" s="22"/>
      <c r="NE302" s="22"/>
      <c r="NF302" s="22"/>
    </row>
    <row r="303" hidden="1" outlineLevel="1">
      <c r="A303" s="299">
        <v>46072.0</v>
      </c>
      <c r="B303" s="299"/>
      <c r="C303" s="299"/>
      <c r="D303" s="292"/>
      <c r="E303" s="140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  <c r="EB303" s="22"/>
      <c r="EC303" s="22"/>
      <c r="ED303" s="22"/>
      <c r="EE303" s="22"/>
      <c r="EF303" s="22"/>
      <c r="EG303" s="22"/>
      <c r="EH303" s="22"/>
      <c r="EI303" s="22"/>
      <c r="EJ303" s="22"/>
      <c r="EK303" s="22"/>
      <c r="EL303" s="22"/>
      <c r="EM303" s="22"/>
      <c r="EN303" s="22"/>
      <c r="EO303" s="22"/>
      <c r="EP303" s="22"/>
      <c r="EQ303" s="22"/>
      <c r="ER303" s="22"/>
      <c r="ES303" s="22"/>
      <c r="ET303" s="22"/>
      <c r="EU303" s="22"/>
      <c r="EV303" s="22"/>
      <c r="EW303" s="22"/>
      <c r="EX303" s="22"/>
      <c r="EY303" s="22"/>
      <c r="EZ303" s="22"/>
      <c r="FA303" s="22"/>
      <c r="FB303" s="22"/>
      <c r="FC303" s="22"/>
      <c r="FD303" s="22"/>
      <c r="FE303" s="22"/>
      <c r="FF303" s="22"/>
      <c r="FG303" s="22"/>
      <c r="FH303" s="22"/>
      <c r="FI303" s="22"/>
      <c r="FJ303" s="22"/>
      <c r="FK303" s="22"/>
      <c r="FL303" s="22"/>
      <c r="FM303" s="22"/>
      <c r="FN303" s="22"/>
      <c r="FO303" s="22"/>
      <c r="FP303" s="22"/>
      <c r="FQ303" s="22"/>
      <c r="FR303" s="22"/>
      <c r="FS303" s="22"/>
      <c r="FT303" s="22"/>
      <c r="FU303" s="22"/>
      <c r="FV303" s="22"/>
      <c r="FW303" s="22"/>
      <c r="FX303" s="22"/>
      <c r="FY303" s="22"/>
      <c r="FZ303" s="22"/>
      <c r="GA303" s="22"/>
      <c r="GB303" s="22"/>
      <c r="GC303" s="22"/>
      <c r="GD303" s="22"/>
      <c r="GE303" s="22"/>
      <c r="GF303" s="22"/>
      <c r="GG303" s="22"/>
      <c r="GH303" s="22"/>
      <c r="GI303" s="22"/>
      <c r="GJ303" s="22"/>
      <c r="GK303" s="22"/>
      <c r="GL303" s="22"/>
      <c r="GM303" s="22"/>
      <c r="GN303" s="22"/>
      <c r="GO303" s="22"/>
      <c r="GP303" s="22"/>
      <c r="GQ303" s="22"/>
      <c r="GR303" s="22"/>
      <c r="GS303" s="22"/>
      <c r="GT303" s="22"/>
      <c r="GU303" s="22"/>
      <c r="GV303" s="22"/>
      <c r="GW303" s="22"/>
      <c r="GX303" s="22"/>
      <c r="GY303" s="22"/>
      <c r="GZ303" s="22"/>
      <c r="HA303" s="22"/>
      <c r="HB303" s="22"/>
      <c r="HC303" s="22"/>
      <c r="HD303" s="22"/>
      <c r="HE303" s="22"/>
      <c r="HF303" s="22"/>
      <c r="HG303" s="22"/>
      <c r="HH303" s="22"/>
      <c r="HI303" s="22"/>
      <c r="HJ303" s="22"/>
      <c r="HK303" s="22"/>
      <c r="HL303" s="22"/>
      <c r="HM303" s="22"/>
      <c r="HN303" s="22"/>
      <c r="HO303" s="22"/>
      <c r="HP303" s="22"/>
      <c r="HQ303" s="22"/>
      <c r="HR303" s="22"/>
      <c r="HS303" s="22"/>
      <c r="HT303" s="22"/>
      <c r="HU303" s="22"/>
      <c r="HV303" s="22"/>
      <c r="HW303" s="22"/>
      <c r="HX303" s="22"/>
      <c r="HY303" s="22"/>
      <c r="HZ303" s="22"/>
      <c r="IA303" s="22"/>
      <c r="IB303" s="22"/>
      <c r="IC303" s="22"/>
      <c r="ID303" s="22"/>
      <c r="IE303" s="22"/>
      <c r="IF303" s="22"/>
      <c r="IG303" s="22"/>
      <c r="IH303" s="22"/>
      <c r="II303" s="22"/>
      <c r="IJ303" s="22"/>
      <c r="IK303" s="22"/>
      <c r="IL303" s="22"/>
      <c r="IM303" s="22"/>
      <c r="IN303" s="22"/>
      <c r="IO303" s="22"/>
      <c r="IP303" s="22"/>
      <c r="IQ303" s="22"/>
      <c r="IR303" s="22"/>
      <c r="IS303" s="22"/>
      <c r="IT303" s="22"/>
      <c r="IU303" s="22"/>
      <c r="IV303" s="22"/>
      <c r="IW303" s="22"/>
      <c r="IX303" s="22"/>
      <c r="IY303" s="22"/>
      <c r="IZ303" s="22"/>
      <c r="JA303" s="22"/>
      <c r="JB303" s="22"/>
      <c r="JC303" s="22"/>
      <c r="JD303" s="22"/>
      <c r="JE303" s="22"/>
      <c r="JF303" s="22"/>
      <c r="JG303" s="22"/>
      <c r="JH303" s="22"/>
      <c r="JI303" s="22"/>
      <c r="JJ303" s="22"/>
      <c r="JK303" s="22"/>
      <c r="JL303" s="22"/>
      <c r="JM303" s="22"/>
      <c r="JN303" s="22"/>
      <c r="JO303" s="22"/>
      <c r="JP303" s="22"/>
      <c r="JQ303" s="22"/>
      <c r="JR303" s="22"/>
      <c r="JS303" s="22"/>
      <c r="JT303" s="22"/>
      <c r="JU303" s="22"/>
      <c r="JV303" s="22"/>
      <c r="JW303" s="22"/>
      <c r="JX303" s="22"/>
      <c r="JY303" s="22"/>
      <c r="JZ303" s="22"/>
      <c r="KA303" s="22"/>
      <c r="KB303" s="22"/>
      <c r="KC303" s="22"/>
      <c r="KD303" s="22"/>
      <c r="KE303" s="22"/>
      <c r="KF303" s="22"/>
      <c r="KG303" s="22"/>
      <c r="KH303" s="22"/>
      <c r="KI303" s="22"/>
      <c r="KJ303" s="22"/>
      <c r="KK303" s="22"/>
      <c r="KL303" s="22"/>
      <c r="KM303" s="22"/>
      <c r="KN303" s="22"/>
      <c r="KO303" s="22"/>
      <c r="KP303" s="22"/>
      <c r="KQ303" s="22"/>
      <c r="KR303" s="22"/>
      <c r="KS303" s="22"/>
      <c r="KT303" s="22"/>
      <c r="KU303" s="22"/>
      <c r="KV303" s="22"/>
      <c r="KW303" s="22"/>
      <c r="KX303" s="22"/>
      <c r="KY303" s="22"/>
      <c r="KZ303" s="22"/>
      <c r="LA303" s="22"/>
      <c r="LB303" s="22"/>
      <c r="LC303" s="22"/>
      <c r="LD303" s="22"/>
      <c r="LE303" s="22"/>
      <c r="LF303" s="22"/>
      <c r="LG303" s="22"/>
      <c r="LH303" s="22"/>
      <c r="LI303" s="22"/>
      <c r="LJ303" s="22"/>
      <c r="LK303" s="22"/>
      <c r="LL303" s="22"/>
      <c r="LM303" s="22"/>
      <c r="LN303" s="22"/>
      <c r="LO303" s="22"/>
      <c r="LP303" s="22"/>
      <c r="LQ303" s="22"/>
      <c r="LR303" s="22"/>
      <c r="LS303" s="22"/>
      <c r="LT303" s="22"/>
      <c r="LU303" s="22"/>
      <c r="LV303" s="22"/>
      <c r="LW303" s="22"/>
      <c r="LX303" s="22"/>
      <c r="LY303" s="22"/>
      <c r="LZ303" s="22"/>
      <c r="MA303" s="22"/>
      <c r="MB303" s="22"/>
      <c r="MC303" s="22"/>
      <c r="MD303" s="22"/>
      <c r="ME303" s="22"/>
      <c r="MF303" s="22"/>
      <c r="MG303" s="22"/>
      <c r="MH303" s="22"/>
      <c r="MI303" s="22"/>
      <c r="MJ303" s="22"/>
      <c r="MK303" s="22"/>
      <c r="ML303" s="22"/>
      <c r="MM303" s="22"/>
      <c r="MN303" s="22"/>
      <c r="MO303" s="22"/>
      <c r="MP303" s="22"/>
      <c r="MQ303" s="22"/>
      <c r="MR303" s="22"/>
      <c r="MS303" s="22"/>
      <c r="MT303" s="22"/>
      <c r="MU303" s="22"/>
      <c r="MV303" s="22"/>
      <c r="MW303" s="22"/>
      <c r="MX303" s="22"/>
      <c r="MY303" s="22"/>
      <c r="MZ303" s="22"/>
      <c r="NA303" s="22"/>
      <c r="NB303" s="22"/>
      <c r="NC303" s="22"/>
      <c r="ND303" s="22"/>
      <c r="NE303" s="22"/>
      <c r="NF303" s="22"/>
    </row>
    <row r="304" hidden="1" outlineLevel="1">
      <c r="A304" s="299">
        <v>46132.0</v>
      </c>
      <c r="B304" s="299"/>
      <c r="C304" s="299"/>
      <c r="D304" s="292"/>
      <c r="E304" s="140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  <c r="EB304" s="22"/>
      <c r="EC304" s="22"/>
      <c r="ED304" s="22"/>
      <c r="EE304" s="22"/>
      <c r="EF304" s="22"/>
      <c r="EG304" s="22"/>
      <c r="EH304" s="22"/>
      <c r="EI304" s="22"/>
      <c r="EJ304" s="22"/>
      <c r="EK304" s="22"/>
      <c r="EL304" s="22"/>
      <c r="EM304" s="22"/>
      <c r="EN304" s="22"/>
      <c r="EO304" s="22"/>
      <c r="EP304" s="22"/>
      <c r="EQ304" s="22"/>
      <c r="ER304" s="22"/>
      <c r="ES304" s="22"/>
      <c r="ET304" s="22"/>
      <c r="EU304" s="22"/>
      <c r="EV304" s="22"/>
      <c r="EW304" s="22"/>
      <c r="EX304" s="22"/>
      <c r="EY304" s="22"/>
      <c r="EZ304" s="22"/>
      <c r="FA304" s="22"/>
      <c r="FB304" s="22"/>
      <c r="FC304" s="22"/>
      <c r="FD304" s="22"/>
      <c r="FE304" s="22"/>
      <c r="FF304" s="22"/>
      <c r="FG304" s="22"/>
      <c r="FH304" s="22"/>
      <c r="FI304" s="22"/>
      <c r="FJ304" s="22"/>
      <c r="FK304" s="22"/>
      <c r="FL304" s="22"/>
      <c r="FM304" s="22"/>
      <c r="FN304" s="22"/>
      <c r="FO304" s="22"/>
      <c r="FP304" s="22"/>
      <c r="FQ304" s="22"/>
      <c r="FR304" s="22"/>
      <c r="FS304" s="22"/>
      <c r="FT304" s="22"/>
      <c r="FU304" s="22"/>
      <c r="FV304" s="22"/>
      <c r="FW304" s="22"/>
      <c r="FX304" s="22"/>
      <c r="FY304" s="22"/>
      <c r="FZ304" s="22"/>
      <c r="GA304" s="22"/>
      <c r="GB304" s="22"/>
      <c r="GC304" s="22"/>
      <c r="GD304" s="22"/>
      <c r="GE304" s="22"/>
      <c r="GF304" s="22"/>
      <c r="GG304" s="22"/>
      <c r="GH304" s="22"/>
      <c r="GI304" s="22"/>
      <c r="GJ304" s="22"/>
      <c r="GK304" s="22"/>
      <c r="GL304" s="22"/>
      <c r="GM304" s="22"/>
      <c r="GN304" s="22"/>
      <c r="GO304" s="22"/>
      <c r="GP304" s="22"/>
      <c r="GQ304" s="22"/>
      <c r="GR304" s="22"/>
      <c r="GS304" s="22"/>
      <c r="GT304" s="22"/>
      <c r="GU304" s="22"/>
      <c r="GV304" s="22"/>
      <c r="GW304" s="22"/>
      <c r="GX304" s="22"/>
      <c r="GY304" s="22"/>
      <c r="GZ304" s="22"/>
      <c r="HA304" s="22"/>
      <c r="HB304" s="22"/>
      <c r="HC304" s="22"/>
      <c r="HD304" s="22"/>
      <c r="HE304" s="22"/>
      <c r="HF304" s="22"/>
      <c r="HG304" s="22"/>
      <c r="HH304" s="22"/>
      <c r="HI304" s="22"/>
      <c r="HJ304" s="22"/>
      <c r="HK304" s="22"/>
      <c r="HL304" s="22"/>
      <c r="HM304" s="22"/>
      <c r="HN304" s="22"/>
      <c r="HO304" s="22"/>
      <c r="HP304" s="22"/>
      <c r="HQ304" s="22"/>
      <c r="HR304" s="22"/>
      <c r="HS304" s="22"/>
      <c r="HT304" s="22"/>
      <c r="HU304" s="22"/>
      <c r="HV304" s="22"/>
      <c r="HW304" s="22"/>
      <c r="HX304" s="22"/>
      <c r="HY304" s="22"/>
      <c r="HZ304" s="22"/>
      <c r="IA304" s="22"/>
      <c r="IB304" s="22"/>
      <c r="IC304" s="22"/>
      <c r="ID304" s="22"/>
      <c r="IE304" s="22"/>
      <c r="IF304" s="22"/>
      <c r="IG304" s="22"/>
      <c r="IH304" s="22"/>
      <c r="II304" s="22"/>
      <c r="IJ304" s="22"/>
      <c r="IK304" s="22"/>
      <c r="IL304" s="22"/>
      <c r="IM304" s="22"/>
      <c r="IN304" s="22"/>
      <c r="IO304" s="22"/>
      <c r="IP304" s="22"/>
      <c r="IQ304" s="22"/>
      <c r="IR304" s="22"/>
      <c r="IS304" s="22"/>
      <c r="IT304" s="22"/>
      <c r="IU304" s="22"/>
      <c r="IV304" s="22"/>
      <c r="IW304" s="22"/>
      <c r="IX304" s="22"/>
      <c r="IY304" s="22"/>
      <c r="IZ304" s="22"/>
      <c r="JA304" s="22"/>
      <c r="JB304" s="22"/>
      <c r="JC304" s="22"/>
      <c r="JD304" s="22"/>
      <c r="JE304" s="22"/>
      <c r="JF304" s="22"/>
      <c r="JG304" s="22"/>
      <c r="JH304" s="22"/>
      <c r="JI304" s="22"/>
      <c r="JJ304" s="22"/>
      <c r="JK304" s="22"/>
      <c r="JL304" s="22"/>
      <c r="JM304" s="22"/>
      <c r="JN304" s="22"/>
      <c r="JO304" s="22"/>
      <c r="JP304" s="22"/>
      <c r="JQ304" s="22"/>
      <c r="JR304" s="22"/>
      <c r="JS304" s="22"/>
      <c r="JT304" s="22"/>
      <c r="JU304" s="22"/>
      <c r="JV304" s="22"/>
      <c r="JW304" s="22"/>
      <c r="JX304" s="22"/>
      <c r="JY304" s="22"/>
      <c r="JZ304" s="22"/>
      <c r="KA304" s="22"/>
      <c r="KB304" s="22"/>
      <c r="KC304" s="22"/>
      <c r="KD304" s="22"/>
      <c r="KE304" s="22"/>
      <c r="KF304" s="22"/>
      <c r="KG304" s="22"/>
      <c r="KH304" s="22"/>
      <c r="KI304" s="22"/>
      <c r="KJ304" s="22"/>
      <c r="KK304" s="22"/>
      <c r="KL304" s="22"/>
      <c r="KM304" s="22"/>
      <c r="KN304" s="22"/>
      <c r="KO304" s="22"/>
      <c r="KP304" s="22"/>
      <c r="KQ304" s="22"/>
      <c r="KR304" s="22"/>
      <c r="KS304" s="22"/>
      <c r="KT304" s="22"/>
      <c r="KU304" s="22"/>
      <c r="KV304" s="22"/>
      <c r="KW304" s="22"/>
      <c r="KX304" s="22"/>
      <c r="KY304" s="22"/>
      <c r="KZ304" s="22"/>
      <c r="LA304" s="22"/>
      <c r="LB304" s="22"/>
      <c r="LC304" s="22"/>
      <c r="LD304" s="22"/>
      <c r="LE304" s="22"/>
      <c r="LF304" s="22"/>
      <c r="LG304" s="22"/>
      <c r="LH304" s="22"/>
      <c r="LI304" s="22"/>
      <c r="LJ304" s="22"/>
      <c r="LK304" s="22"/>
      <c r="LL304" s="22"/>
      <c r="LM304" s="22"/>
      <c r="LN304" s="22"/>
      <c r="LO304" s="22"/>
      <c r="LP304" s="22"/>
      <c r="LQ304" s="22"/>
      <c r="LR304" s="22"/>
      <c r="LS304" s="22"/>
      <c r="LT304" s="22"/>
      <c r="LU304" s="22"/>
      <c r="LV304" s="22"/>
      <c r="LW304" s="22"/>
      <c r="LX304" s="22"/>
      <c r="LY304" s="22"/>
      <c r="LZ304" s="22"/>
      <c r="MA304" s="22"/>
      <c r="MB304" s="22"/>
      <c r="MC304" s="22"/>
      <c r="MD304" s="22"/>
      <c r="ME304" s="22"/>
      <c r="MF304" s="22"/>
      <c r="MG304" s="22"/>
      <c r="MH304" s="22"/>
      <c r="MI304" s="22"/>
      <c r="MJ304" s="22"/>
      <c r="MK304" s="22"/>
      <c r="ML304" s="22"/>
      <c r="MM304" s="22"/>
      <c r="MN304" s="22"/>
      <c r="MO304" s="22"/>
      <c r="MP304" s="22"/>
      <c r="MQ304" s="22"/>
      <c r="MR304" s="22"/>
      <c r="MS304" s="22"/>
      <c r="MT304" s="22"/>
      <c r="MU304" s="22"/>
      <c r="MV304" s="22"/>
      <c r="MW304" s="22"/>
      <c r="MX304" s="22"/>
      <c r="MY304" s="22"/>
      <c r="MZ304" s="22"/>
      <c r="NA304" s="22"/>
      <c r="NB304" s="22"/>
      <c r="NC304" s="22"/>
      <c r="ND304" s="22"/>
      <c r="NE304" s="22"/>
      <c r="NF304" s="22"/>
    </row>
    <row r="305" hidden="1" outlineLevel="1">
      <c r="A305" s="299">
        <v>46141.0</v>
      </c>
      <c r="B305" s="299"/>
      <c r="C305" s="299"/>
      <c r="D305" s="292"/>
      <c r="E305" s="140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  <c r="EB305" s="22"/>
      <c r="EC305" s="22"/>
      <c r="ED305" s="22"/>
      <c r="EE305" s="22"/>
      <c r="EF305" s="22"/>
      <c r="EG305" s="22"/>
      <c r="EH305" s="22"/>
      <c r="EI305" s="22"/>
      <c r="EJ305" s="22"/>
      <c r="EK305" s="22"/>
      <c r="EL305" s="22"/>
      <c r="EM305" s="22"/>
      <c r="EN305" s="22"/>
      <c r="EO305" s="22"/>
      <c r="EP305" s="22"/>
      <c r="EQ305" s="22"/>
      <c r="ER305" s="22"/>
      <c r="ES305" s="22"/>
      <c r="ET305" s="22"/>
      <c r="EU305" s="22"/>
      <c r="EV305" s="22"/>
      <c r="EW305" s="22"/>
      <c r="EX305" s="22"/>
      <c r="EY305" s="22"/>
      <c r="EZ305" s="22"/>
      <c r="FA305" s="22"/>
      <c r="FB305" s="22"/>
      <c r="FC305" s="22"/>
      <c r="FD305" s="22"/>
      <c r="FE305" s="22"/>
      <c r="FF305" s="22"/>
      <c r="FG305" s="22"/>
      <c r="FH305" s="22"/>
      <c r="FI305" s="22"/>
      <c r="FJ305" s="22"/>
      <c r="FK305" s="22"/>
      <c r="FL305" s="22"/>
      <c r="FM305" s="22"/>
      <c r="FN305" s="22"/>
      <c r="FO305" s="22"/>
      <c r="FP305" s="22"/>
      <c r="FQ305" s="22"/>
      <c r="FR305" s="22"/>
      <c r="FS305" s="22"/>
      <c r="FT305" s="22"/>
      <c r="FU305" s="22"/>
      <c r="FV305" s="22"/>
      <c r="FW305" s="22"/>
      <c r="FX305" s="22"/>
      <c r="FY305" s="22"/>
      <c r="FZ305" s="22"/>
      <c r="GA305" s="22"/>
      <c r="GB305" s="22"/>
      <c r="GC305" s="22"/>
      <c r="GD305" s="22"/>
      <c r="GE305" s="22"/>
      <c r="GF305" s="22"/>
      <c r="GG305" s="22"/>
      <c r="GH305" s="22"/>
      <c r="GI305" s="22"/>
      <c r="GJ305" s="22"/>
      <c r="GK305" s="22"/>
      <c r="GL305" s="22"/>
      <c r="GM305" s="22"/>
      <c r="GN305" s="22"/>
      <c r="GO305" s="22"/>
      <c r="GP305" s="22"/>
      <c r="GQ305" s="22"/>
      <c r="GR305" s="22"/>
      <c r="GS305" s="22"/>
      <c r="GT305" s="22"/>
      <c r="GU305" s="22"/>
      <c r="GV305" s="22"/>
      <c r="GW305" s="22"/>
      <c r="GX305" s="22"/>
      <c r="GY305" s="22"/>
      <c r="GZ305" s="22"/>
      <c r="HA305" s="22"/>
      <c r="HB305" s="22"/>
      <c r="HC305" s="22"/>
      <c r="HD305" s="22"/>
      <c r="HE305" s="22"/>
      <c r="HF305" s="22"/>
      <c r="HG305" s="22"/>
      <c r="HH305" s="22"/>
      <c r="HI305" s="22"/>
      <c r="HJ305" s="22"/>
      <c r="HK305" s="22"/>
      <c r="HL305" s="22"/>
      <c r="HM305" s="22"/>
      <c r="HN305" s="22"/>
      <c r="HO305" s="22"/>
      <c r="HP305" s="22"/>
      <c r="HQ305" s="22"/>
      <c r="HR305" s="22"/>
      <c r="HS305" s="22"/>
      <c r="HT305" s="22"/>
      <c r="HU305" s="22"/>
      <c r="HV305" s="22"/>
      <c r="HW305" s="22"/>
      <c r="HX305" s="22"/>
      <c r="HY305" s="22"/>
      <c r="HZ305" s="22"/>
      <c r="IA305" s="22"/>
      <c r="IB305" s="22"/>
      <c r="IC305" s="22"/>
      <c r="ID305" s="22"/>
      <c r="IE305" s="22"/>
      <c r="IF305" s="22"/>
      <c r="IG305" s="22"/>
      <c r="IH305" s="22"/>
      <c r="II305" s="22"/>
      <c r="IJ305" s="22"/>
      <c r="IK305" s="22"/>
      <c r="IL305" s="22"/>
      <c r="IM305" s="22"/>
      <c r="IN305" s="22"/>
      <c r="IO305" s="22"/>
      <c r="IP305" s="22"/>
      <c r="IQ305" s="22"/>
      <c r="IR305" s="22"/>
      <c r="IS305" s="22"/>
      <c r="IT305" s="22"/>
      <c r="IU305" s="22"/>
      <c r="IV305" s="22"/>
      <c r="IW305" s="22"/>
      <c r="IX305" s="22"/>
      <c r="IY305" s="22"/>
      <c r="IZ305" s="22"/>
      <c r="JA305" s="22"/>
      <c r="JB305" s="22"/>
      <c r="JC305" s="22"/>
      <c r="JD305" s="22"/>
      <c r="JE305" s="22"/>
      <c r="JF305" s="22"/>
      <c r="JG305" s="22"/>
      <c r="JH305" s="22"/>
      <c r="JI305" s="22"/>
      <c r="JJ305" s="22"/>
      <c r="JK305" s="22"/>
      <c r="JL305" s="22"/>
      <c r="JM305" s="22"/>
      <c r="JN305" s="22"/>
      <c r="JO305" s="22"/>
      <c r="JP305" s="22"/>
      <c r="JQ305" s="22"/>
      <c r="JR305" s="22"/>
      <c r="JS305" s="22"/>
      <c r="JT305" s="22"/>
      <c r="JU305" s="22"/>
      <c r="JV305" s="22"/>
      <c r="JW305" s="22"/>
      <c r="JX305" s="22"/>
      <c r="JY305" s="22"/>
      <c r="JZ305" s="22"/>
      <c r="KA305" s="22"/>
      <c r="KB305" s="22"/>
      <c r="KC305" s="22"/>
      <c r="KD305" s="22"/>
      <c r="KE305" s="22"/>
      <c r="KF305" s="22"/>
      <c r="KG305" s="22"/>
      <c r="KH305" s="22"/>
      <c r="KI305" s="22"/>
      <c r="KJ305" s="22"/>
      <c r="KK305" s="22"/>
      <c r="KL305" s="22"/>
      <c r="KM305" s="22"/>
      <c r="KN305" s="22"/>
      <c r="KO305" s="22"/>
      <c r="KP305" s="22"/>
      <c r="KQ305" s="22"/>
      <c r="KR305" s="22"/>
      <c r="KS305" s="22"/>
      <c r="KT305" s="22"/>
      <c r="KU305" s="22"/>
      <c r="KV305" s="22"/>
      <c r="KW305" s="22"/>
      <c r="KX305" s="22"/>
      <c r="KY305" s="22"/>
      <c r="KZ305" s="22"/>
      <c r="LA305" s="22"/>
      <c r="LB305" s="22"/>
      <c r="LC305" s="22"/>
      <c r="LD305" s="22"/>
      <c r="LE305" s="22"/>
      <c r="LF305" s="22"/>
      <c r="LG305" s="22"/>
      <c r="LH305" s="22"/>
      <c r="LI305" s="22"/>
      <c r="LJ305" s="22"/>
      <c r="LK305" s="22"/>
      <c r="LL305" s="22"/>
      <c r="LM305" s="22"/>
      <c r="LN305" s="22"/>
      <c r="LO305" s="22"/>
      <c r="LP305" s="22"/>
      <c r="LQ305" s="22"/>
      <c r="LR305" s="22"/>
      <c r="LS305" s="22"/>
      <c r="LT305" s="22"/>
      <c r="LU305" s="22"/>
      <c r="LV305" s="22"/>
      <c r="LW305" s="22"/>
      <c r="LX305" s="22"/>
      <c r="LY305" s="22"/>
      <c r="LZ305" s="22"/>
      <c r="MA305" s="22"/>
      <c r="MB305" s="22"/>
      <c r="MC305" s="22"/>
      <c r="MD305" s="22"/>
      <c r="ME305" s="22"/>
      <c r="MF305" s="22"/>
      <c r="MG305" s="22"/>
      <c r="MH305" s="22"/>
      <c r="MI305" s="22"/>
      <c r="MJ305" s="22"/>
      <c r="MK305" s="22"/>
      <c r="ML305" s="22"/>
      <c r="MM305" s="22"/>
      <c r="MN305" s="22"/>
      <c r="MO305" s="22"/>
      <c r="MP305" s="22"/>
      <c r="MQ305" s="22"/>
      <c r="MR305" s="22"/>
      <c r="MS305" s="22"/>
      <c r="MT305" s="22"/>
      <c r="MU305" s="22"/>
      <c r="MV305" s="22"/>
      <c r="MW305" s="22"/>
      <c r="MX305" s="22"/>
      <c r="MY305" s="22"/>
      <c r="MZ305" s="22"/>
      <c r="NA305" s="22"/>
      <c r="NB305" s="22"/>
      <c r="NC305" s="22"/>
      <c r="ND305" s="22"/>
      <c r="NE305" s="22"/>
      <c r="NF305" s="22"/>
    </row>
    <row r="306" hidden="1" outlineLevel="1">
      <c r="A306" s="299">
        <v>46164.0</v>
      </c>
      <c r="B306" s="299"/>
      <c r="C306" s="299"/>
      <c r="D306" s="292"/>
      <c r="E306" s="140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  <c r="EB306" s="22"/>
      <c r="EC306" s="22"/>
      <c r="ED306" s="22"/>
      <c r="EE306" s="22"/>
      <c r="EF306" s="22"/>
      <c r="EG306" s="22"/>
      <c r="EH306" s="22"/>
      <c r="EI306" s="22"/>
      <c r="EJ306" s="22"/>
      <c r="EK306" s="22"/>
      <c r="EL306" s="22"/>
      <c r="EM306" s="22"/>
      <c r="EN306" s="22"/>
      <c r="EO306" s="22"/>
      <c r="EP306" s="22"/>
      <c r="EQ306" s="22"/>
      <c r="ER306" s="22"/>
      <c r="ES306" s="22"/>
      <c r="ET306" s="22"/>
      <c r="EU306" s="22"/>
      <c r="EV306" s="22"/>
      <c r="EW306" s="22"/>
      <c r="EX306" s="22"/>
      <c r="EY306" s="22"/>
      <c r="EZ306" s="22"/>
      <c r="FA306" s="22"/>
      <c r="FB306" s="22"/>
      <c r="FC306" s="22"/>
      <c r="FD306" s="22"/>
      <c r="FE306" s="22"/>
      <c r="FF306" s="22"/>
      <c r="FG306" s="22"/>
      <c r="FH306" s="22"/>
      <c r="FI306" s="22"/>
      <c r="FJ306" s="22"/>
      <c r="FK306" s="22"/>
      <c r="FL306" s="22"/>
      <c r="FM306" s="22"/>
      <c r="FN306" s="22"/>
      <c r="FO306" s="22"/>
      <c r="FP306" s="22"/>
      <c r="FQ306" s="22"/>
      <c r="FR306" s="22"/>
      <c r="FS306" s="22"/>
      <c r="FT306" s="22"/>
      <c r="FU306" s="22"/>
      <c r="FV306" s="22"/>
      <c r="FW306" s="22"/>
      <c r="FX306" s="22"/>
      <c r="FY306" s="22"/>
      <c r="FZ306" s="22"/>
      <c r="GA306" s="22"/>
      <c r="GB306" s="22"/>
      <c r="GC306" s="22"/>
      <c r="GD306" s="22"/>
      <c r="GE306" s="22"/>
      <c r="GF306" s="22"/>
      <c r="GG306" s="22"/>
      <c r="GH306" s="22"/>
      <c r="GI306" s="22"/>
      <c r="GJ306" s="22"/>
      <c r="GK306" s="22"/>
      <c r="GL306" s="22"/>
      <c r="GM306" s="22"/>
      <c r="GN306" s="22"/>
      <c r="GO306" s="22"/>
      <c r="GP306" s="22"/>
      <c r="GQ306" s="22"/>
      <c r="GR306" s="22"/>
      <c r="GS306" s="22"/>
      <c r="GT306" s="22"/>
      <c r="GU306" s="22"/>
      <c r="GV306" s="22"/>
      <c r="GW306" s="22"/>
      <c r="GX306" s="22"/>
      <c r="GY306" s="22"/>
      <c r="GZ306" s="22"/>
      <c r="HA306" s="22"/>
      <c r="HB306" s="22"/>
      <c r="HC306" s="22"/>
      <c r="HD306" s="22"/>
      <c r="HE306" s="22"/>
      <c r="HF306" s="22"/>
      <c r="HG306" s="22"/>
      <c r="HH306" s="22"/>
      <c r="HI306" s="22"/>
      <c r="HJ306" s="22"/>
      <c r="HK306" s="22"/>
      <c r="HL306" s="22"/>
      <c r="HM306" s="22"/>
      <c r="HN306" s="22"/>
      <c r="HO306" s="22"/>
      <c r="HP306" s="22"/>
      <c r="HQ306" s="22"/>
      <c r="HR306" s="22"/>
      <c r="HS306" s="22"/>
      <c r="HT306" s="22"/>
      <c r="HU306" s="22"/>
      <c r="HV306" s="22"/>
      <c r="HW306" s="22"/>
      <c r="HX306" s="22"/>
      <c r="HY306" s="22"/>
      <c r="HZ306" s="22"/>
      <c r="IA306" s="22"/>
      <c r="IB306" s="22"/>
      <c r="IC306" s="22"/>
      <c r="ID306" s="22"/>
      <c r="IE306" s="22"/>
      <c r="IF306" s="22"/>
      <c r="IG306" s="22"/>
      <c r="IH306" s="22"/>
      <c r="II306" s="22"/>
      <c r="IJ306" s="22"/>
      <c r="IK306" s="22"/>
      <c r="IL306" s="22"/>
      <c r="IM306" s="22"/>
      <c r="IN306" s="22"/>
      <c r="IO306" s="22"/>
      <c r="IP306" s="22"/>
      <c r="IQ306" s="22"/>
      <c r="IR306" s="22"/>
      <c r="IS306" s="22"/>
      <c r="IT306" s="22"/>
      <c r="IU306" s="22"/>
      <c r="IV306" s="22"/>
      <c r="IW306" s="22"/>
      <c r="IX306" s="22"/>
      <c r="IY306" s="22"/>
      <c r="IZ306" s="22"/>
      <c r="JA306" s="22"/>
      <c r="JB306" s="22"/>
      <c r="JC306" s="22"/>
      <c r="JD306" s="22"/>
      <c r="JE306" s="22"/>
      <c r="JF306" s="22"/>
      <c r="JG306" s="22"/>
      <c r="JH306" s="22"/>
      <c r="JI306" s="22"/>
      <c r="JJ306" s="22"/>
      <c r="JK306" s="22"/>
      <c r="JL306" s="22"/>
      <c r="JM306" s="22"/>
      <c r="JN306" s="22"/>
      <c r="JO306" s="22"/>
      <c r="JP306" s="22"/>
      <c r="JQ306" s="22"/>
      <c r="JR306" s="22"/>
      <c r="JS306" s="22"/>
      <c r="JT306" s="22"/>
      <c r="JU306" s="22"/>
      <c r="JV306" s="22"/>
      <c r="JW306" s="22"/>
      <c r="JX306" s="22"/>
      <c r="JY306" s="22"/>
      <c r="JZ306" s="22"/>
      <c r="KA306" s="22"/>
      <c r="KB306" s="22"/>
      <c r="KC306" s="22"/>
      <c r="KD306" s="22"/>
      <c r="KE306" s="22"/>
      <c r="KF306" s="22"/>
      <c r="KG306" s="22"/>
      <c r="KH306" s="22"/>
      <c r="KI306" s="22"/>
      <c r="KJ306" s="22"/>
      <c r="KK306" s="22"/>
      <c r="KL306" s="22"/>
      <c r="KM306" s="22"/>
      <c r="KN306" s="22"/>
      <c r="KO306" s="22"/>
      <c r="KP306" s="22"/>
      <c r="KQ306" s="22"/>
      <c r="KR306" s="22"/>
      <c r="KS306" s="22"/>
      <c r="KT306" s="22"/>
      <c r="KU306" s="22"/>
      <c r="KV306" s="22"/>
      <c r="KW306" s="22"/>
      <c r="KX306" s="22"/>
      <c r="KY306" s="22"/>
      <c r="KZ306" s="22"/>
      <c r="LA306" s="22"/>
      <c r="LB306" s="22"/>
      <c r="LC306" s="22"/>
      <c r="LD306" s="22"/>
      <c r="LE306" s="22"/>
      <c r="LF306" s="22"/>
      <c r="LG306" s="22"/>
      <c r="LH306" s="22"/>
      <c r="LI306" s="22"/>
      <c r="LJ306" s="22"/>
      <c r="LK306" s="22"/>
      <c r="LL306" s="22"/>
      <c r="LM306" s="22"/>
      <c r="LN306" s="22"/>
      <c r="LO306" s="22"/>
      <c r="LP306" s="22"/>
      <c r="LQ306" s="22"/>
      <c r="LR306" s="22"/>
      <c r="LS306" s="22"/>
      <c r="LT306" s="22"/>
      <c r="LU306" s="22"/>
      <c r="LV306" s="22"/>
      <c r="LW306" s="22"/>
      <c r="LX306" s="22"/>
      <c r="LY306" s="22"/>
      <c r="LZ306" s="22"/>
      <c r="MA306" s="22"/>
      <c r="MB306" s="22"/>
      <c r="MC306" s="22"/>
      <c r="MD306" s="22"/>
      <c r="ME306" s="22"/>
      <c r="MF306" s="22"/>
      <c r="MG306" s="22"/>
      <c r="MH306" s="22"/>
      <c r="MI306" s="22"/>
      <c r="MJ306" s="22"/>
      <c r="MK306" s="22"/>
      <c r="ML306" s="22"/>
      <c r="MM306" s="22"/>
      <c r="MN306" s="22"/>
      <c r="MO306" s="22"/>
      <c r="MP306" s="22"/>
      <c r="MQ306" s="22"/>
      <c r="MR306" s="22"/>
      <c r="MS306" s="22"/>
      <c r="MT306" s="22"/>
      <c r="MU306" s="22"/>
      <c r="MV306" s="22"/>
      <c r="MW306" s="22"/>
      <c r="MX306" s="22"/>
      <c r="MY306" s="22"/>
      <c r="MZ306" s="22"/>
      <c r="NA306" s="22"/>
      <c r="NB306" s="22"/>
      <c r="NC306" s="22"/>
      <c r="ND306" s="22"/>
      <c r="NE306" s="22"/>
      <c r="NF306" s="22"/>
    </row>
    <row r="307" hidden="1" outlineLevel="1">
      <c r="A307" s="299">
        <v>46245.0</v>
      </c>
      <c r="B307" s="299"/>
      <c r="C307" s="299"/>
      <c r="D307" s="292"/>
      <c r="E307" s="140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2"/>
      <c r="EE307" s="22"/>
      <c r="EF307" s="22"/>
      <c r="EG307" s="22"/>
      <c r="EH307" s="22"/>
      <c r="EI307" s="22"/>
      <c r="EJ307" s="22"/>
      <c r="EK307" s="22"/>
      <c r="EL307" s="22"/>
      <c r="EM307" s="22"/>
      <c r="EN307" s="22"/>
      <c r="EO307" s="22"/>
      <c r="EP307" s="22"/>
      <c r="EQ307" s="22"/>
      <c r="ER307" s="22"/>
      <c r="ES307" s="22"/>
      <c r="ET307" s="22"/>
      <c r="EU307" s="22"/>
      <c r="EV307" s="22"/>
      <c r="EW307" s="22"/>
      <c r="EX307" s="22"/>
      <c r="EY307" s="22"/>
      <c r="EZ307" s="22"/>
      <c r="FA307" s="22"/>
      <c r="FB307" s="22"/>
      <c r="FC307" s="22"/>
      <c r="FD307" s="22"/>
      <c r="FE307" s="22"/>
      <c r="FF307" s="22"/>
      <c r="FG307" s="22"/>
      <c r="FH307" s="22"/>
      <c r="FI307" s="22"/>
      <c r="FJ307" s="22"/>
      <c r="FK307" s="22"/>
      <c r="FL307" s="22"/>
      <c r="FM307" s="22"/>
      <c r="FN307" s="22"/>
      <c r="FO307" s="22"/>
      <c r="FP307" s="22"/>
      <c r="FQ307" s="22"/>
      <c r="FR307" s="22"/>
      <c r="FS307" s="22"/>
      <c r="FT307" s="22"/>
      <c r="FU307" s="22"/>
      <c r="FV307" s="22"/>
      <c r="FW307" s="22"/>
      <c r="FX307" s="22"/>
      <c r="FY307" s="22"/>
      <c r="FZ307" s="22"/>
      <c r="GA307" s="22"/>
      <c r="GB307" s="22"/>
      <c r="GC307" s="22"/>
      <c r="GD307" s="22"/>
      <c r="GE307" s="22"/>
      <c r="GF307" s="22"/>
      <c r="GG307" s="22"/>
      <c r="GH307" s="22"/>
      <c r="GI307" s="22"/>
      <c r="GJ307" s="22"/>
      <c r="GK307" s="22"/>
      <c r="GL307" s="22"/>
      <c r="GM307" s="22"/>
      <c r="GN307" s="22"/>
      <c r="GO307" s="22"/>
      <c r="GP307" s="22"/>
      <c r="GQ307" s="22"/>
      <c r="GR307" s="22"/>
      <c r="GS307" s="22"/>
      <c r="GT307" s="22"/>
      <c r="GU307" s="22"/>
      <c r="GV307" s="22"/>
      <c r="GW307" s="22"/>
      <c r="GX307" s="22"/>
      <c r="GY307" s="22"/>
      <c r="GZ307" s="22"/>
      <c r="HA307" s="22"/>
      <c r="HB307" s="22"/>
      <c r="HC307" s="22"/>
      <c r="HD307" s="22"/>
      <c r="HE307" s="22"/>
      <c r="HF307" s="22"/>
      <c r="HG307" s="22"/>
      <c r="HH307" s="22"/>
      <c r="HI307" s="22"/>
      <c r="HJ307" s="22"/>
      <c r="HK307" s="22"/>
      <c r="HL307" s="22"/>
      <c r="HM307" s="22"/>
      <c r="HN307" s="22"/>
      <c r="HO307" s="22"/>
      <c r="HP307" s="22"/>
      <c r="HQ307" s="22"/>
      <c r="HR307" s="22"/>
      <c r="HS307" s="22"/>
      <c r="HT307" s="22"/>
      <c r="HU307" s="22"/>
      <c r="HV307" s="22"/>
      <c r="HW307" s="22"/>
      <c r="HX307" s="22"/>
      <c r="HY307" s="22"/>
      <c r="HZ307" s="22"/>
      <c r="IA307" s="22"/>
      <c r="IB307" s="22"/>
      <c r="IC307" s="22"/>
      <c r="ID307" s="22"/>
      <c r="IE307" s="22"/>
      <c r="IF307" s="22"/>
      <c r="IG307" s="22"/>
      <c r="IH307" s="22"/>
      <c r="II307" s="22"/>
      <c r="IJ307" s="22"/>
      <c r="IK307" s="22"/>
      <c r="IL307" s="22"/>
      <c r="IM307" s="22"/>
      <c r="IN307" s="22"/>
      <c r="IO307" s="22"/>
      <c r="IP307" s="22"/>
      <c r="IQ307" s="22"/>
      <c r="IR307" s="22"/>
      <c r="IS307" s="22"/>
      <c r="IT307" s="22"/>
      <c r="IU307" s="22"/>
      <c r="IV307" s="22"/>
      <c r="IW307" s="22"/>
      <c r="IX307" s="22"/>
      <c r="IY307" s="22"/>
      <c r="IZ307" s="22"/>
      <c r="JA307" s="22"/>
      <c r="JB307" s="22"/>
      <c r="JC307" s="22"/>
      <c r="JD307" s="22"/>
      <c r="JE307" s="22"/>
      <c r="JF307" s="22"/>
      <c r="JG307" s="22"/>
      <c r="JH307" s="22"/>
      <c r="JI307" s="22"/>
      <c r="JJ307" s="22"/>
      <c r="JK307" s="22"/>
      <c r="JL307" s="22"/>
      <c r="JM307" s="22"/>
      <c r="JN307" s="22"/>
      <c r="JO307" s="22"/>
      <c r="JP307" s="22"/>
      <c r="JQ307" s="22"/>
      <c r="JR307" s="22"/>
      <c r="JS307" s="22"/>
      <c r="JT307" s="22"/>
      <c r="JU307" s="22"/>
      <c r="JV307" s="22"/>
      <c r="JW307" s="22"/>
      <c r="JX307" s="22"/>
      <c r="JY307" s="22"/>
      <c r="JZ307" s="22"/>
      <c r="KA307" s="22"/>
      <c r="KB307" s="22"/>
      <c r="KC307" s="22"/>
      <c r="KD307" s="22"/>
      <c r="KE307" s="22"/>
      <c r="KF307" s="22"/>
      <c r="KG307" s="22"/>
      <c r="KH307" s="22"/>
      <c r="KI307" s="22"/>
      <c r="KJ307" s="22"/>
      <c r="KK307" s="22"/>
      <c r="KL307" s="22"/>
      <c r="KM307" s="22"/>
      <c r="KN307" s="22"/>
      <c r="KO307" s="22"/>
      <c r="KP307" s="22"/>
      <c r="KQ307" s="22"/>
      <c r="KR307" s="22"/>
      <c r="KS307" s="22"/>
      <c r="KT307" s="22"/>
      <c r="KU307" s="22"/>
      <c r="KV307" s="22"/>
      <c r="KW307" s="22"/>
      <c r="KX307" s="22"/>
      <c r="KY307" s="22"/>
      <c r="KZ307" s="22"/>
      <c r="LA307" s="22"/>
      <c r="LB307" s="22"/>
      <c r="LC307" s="22"/>
      <c r="LD307" s="22"/>
      <c r="LE307" s="22"/>
      <c r="LF307" s="22"/>
      <c r="LG307" s="22"/>
      <c r="LH307" s="22"/>
      <c r="LI307" s="22"/>
      <c r="LJ307" s="22"/>
      <c r="LK307" s="22"/>
      <c r="LL307" s="22"/>
      <c r="LM307" s="22"/>
      <c r="LN307" s="22"/>
      <c r="LO307" s="22"/>
      <c r="LP307" s="22"/>
      <c r="LQ307" s="22"/>
      <c r="LR307" s="22"/>
      <c r="LS307" s="22"/>
      <c r="LT307" s="22"/>
      <c r="LU307" s="22"/>
      <c r="LV307" s="22"/>
      <c r="LW307" s="22"/>
      <c r="LX307" s="22"/>
      <c r="LY307" s="22"/>
      <c r="LZ307" s="22"/>
      <c r="MA307" s="22"/>
      <c r="MB307" s="22"/>
      <c r="MC307" s="22"/>
      <c r="MD307" s="22"/>
      <c r="ME307" s="22"/>
      <c r="MF307" s="22"/>
      <c r="MG307" s="22"/>
      <c r="MH307" s="22"/>
      <c r="MI307" s="22"/>
      <c r="MJ307" s="22"/>
      <c r="MK307" s="22"/>
      <c r="ML307" s="22"/>
      <c r="MM307" s="22"/>
      <c r="MN307" s="22"/>
      <c r="MO307" s="22"/>
      <c r="MP307" s="22"/>
      <c r="MQ307" s="22"/>
      <c r="MR307" s="22"/>
      <c r="MS307" s="22"/>
      <c r="MT307" s="22"/>
      <c r="MU307" s="22"/>
      <c r="MV307" s="22"/>
      <c r="MW307" s="22"/>
      <c r="MX307" s="22"/>
      <c r="MY307" s="22"/>
      <c r="MZ307" s="22"/>
      <c r="NA307" s="22"/>
      <c r="NB307" s="22"/>
      <c r="NC307" s="22"/>
      <c r="ND307" s="22"/>
      <c r="NE307" s="22"/>
      <c r="NF307" s="22"/>
    </row>
    <row r="308" hidden="1" outlineLevel="1">
      <c r="A308" s="299">
        <v>46288.0</v>
      </c>
      <c r="B308" s="299"/>
      <c r="C308" s="299"/>
      <c r="D308" s="292"/>
      <c r="E308" s="140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2"/>
      <c r="EE308" s="22"/>
      <c r="EF308" s="22"/>
      <c r="EG308" s="22"/>
      <c r="EH308" s="22"/>
      <c r="EI308" s="22"/>
      <c r="EJ308" s="22"/>
      <c r="EK308" s="22"/>
      <c r="EL308" s="22"/>
      <c r="EM308" s="22"/>
      <c r="EN308" s="22"/>
      <c r="EO308" s="22"/>
      <c r="EP308" s="22"/>
      <c r="EQ308" s="22"/>
      <c r="ER308" s="22"/>
      <c r="ES308" s="22"/>
      <c r="ET308" s="22"/>
      <c r="EU308" s="22"/>
      <c r="EV308" s="22"/>
      <c r="EW308" s="22"/>
      <c r="EX308" s="22"/>
      <c r="EY308" s="22"/>
      <c r="EZ308" s="22"/>
      <c r="FA308" s="22"/>
      <c r="FB308" s="22"/>
      <c r="FC308" s="22"/>
      <c r="FD308" s="22"/>
      <c r="FE308" s="22"/>
      <c r="FF308" s="22"/>
      <c r="FG308" s="22"/>
      <c r="FH308" s="22"/>
      <c r="FI308" s="22"/>
      <c r="FJ308" s="22"/>
      <c r="FK308" s="22"/>
      <c r="FL308" s="22"/>
      <c r="FM308" s="22"/>
      <c r="FN308" s="22"/>
      <c r="FO308" s="22"/>
      <c r="FP308" s="22"/>
      <c r="FQ308" s="22"/>
      <c r="FR308" s="22"/>
      <c r="FS308" s="22"/>
      <c r="FT308" s="22"/>
      <c r="FU308" s="22"/>
      <c r="FV308" s="22"/>
      <c r="FW308" s="22"/>
      <c r="FX308" s="22"/>
      <c r="FY308" s="22"/>
      <c r="FZ308" s="22"/>
      <c r="GA308" s="22"/>
      <c r="GB308" s="22"/>
      <c r="GC308" s="22"/>
      <c r="GD308" s="22"/>
      <c r="GE308" s="22"/>
      <c r="GF308" s="22"/>
      <c r="GG308" s="22"/>
      <c r="GH308" s="22"/>
      <c r="GI308" s="22"/>
      <c r="GJ308" s="22"/>
      <c r="GK308" s="22"/>
      <c r="GL308" s="22"/>
      <c r="GM308" s="22"/>
      <c r="GN308" s="22"/>
      <c r="GO308" s="22"/>
      <c r="GP308" s="22"/>
      <c r="GQ308" s="22"/>
      <c r="GR308" s="22"/>
      <c r="GS308" s="22"/>
      <c r="GT308" s="22"/>
      <c r="GU308" s="22"/>
      <c r="GV308" s="22"/>
      <c r="GW308" s="22"/>
      <c r="GX308" s="22"/>
      <c r="GY308" s="22"/>
      <c r="GZ308" s="22"/>
      <c r="HA308" s="22"/>
      <c r="HB308" s="22"/>
      <c r="HC308" s="22"/>
      <c r="HD308" s="22"/>
      <c r="HE308" s="22"/>
      <c r="HF308" s="22"/>
      <c r="HG308" s="22"/>
      <c r="HH308" s="22"/>
      <c r="HI308" s="22"/>
      <c r="HJ308" s="22"/>
      <c r="HK308" s="22"/>
      <c r="HL308" s="22"/>
      <c r="HM308" s="22"/>
      <c r="HN308" s="22"/>
      <c r="HO308" s="22"/>
      <c r="HP308" s="22"/>
      <c r="HQ308" s="22"/>
      <c r="HR308" s="22"/>
      <c r="HS308" s="22"/>
      <c r="HT308" s="22"/>
      <c r="HU308" s="22"/>
      <c r="HV308" s="22"/>
      <c r="HW308" s="22"/>
      <c r="HX308" s="22"/>
      <c r="HY308" s="22"/>
      <c r="HZ308" s="22"/>
      <c r="IA308" s="22"/>
      <c r="IB308" s="22"/>
      <c r="IC308" s="22"/>
      <c r="ID308" s="22"/>
      <c r="IE308" s="22"/>
      <c r="IF308" s="22"/>
      <c r="IG308" s="22"/>
      <c r="IH308" s="22"/>
      <c r="II308" s="22"/>
      <c r="IJ308" s="22"/>
      <c r="IK308" s="22"/>
      <c r="IL308" s="22"/>
      <c r="IM308" s="22"/>
      <c r="IN308" s="22"/>
      <c r="IO308" s="22"/>
      <c r="IP308" s="22"/>
      <c r="IQ308" s="22"/>
      <c r="IR308" s="22"/>
      <c r="IS308" s="22"/>
      <c r="IT308" s="22"/>
      <c r="IU308" s="22"/>
      <c r="IV308" s="22"/>
      <c r="IW308" s="22"/>
      <c r="IX308" s="22"/>
      <c r="IY308" s="22"/>
      <c r="IZ308" s="22"/>
      <c r="JA308" s="22"/>
      <c r="JB308" s="22"/>
      <c r="JC308" s="22"/>
      <c r="JD308" s="22"/>
      <c r="JE308" s="22"/>
      <c r="JF308" s="22"/>
      <c r="JG308" s="22"/>
      <c r="JH308" s="22"/>
      <c r="JI308" s="22"/>
      <c r="JJ308" s="22"/>
      <c r="JK308" s="22"/>
      <c r="JL308" s="22"/>
      <c r="JM308" s="22"/>
      <c r="JN308" s="22"/>
      <c r="JO308" s="22"/>
      <c r="JP308" s="22"/>
      <c r="JQ308" s="22"/>
      <c r="JR308" s="22"/>
      <c r="JS308" s="22"/>
      <c r="JT308" s="22"/>
      <c r="JU308" s="22"/>
      <c r="JV308" s="22"/>
      <c r="JW308" s="22"/>
      <c r="JX308" s="22"/>
      <c r="JY308" s="22"/>
      <c r="JZ308" s="22"/>
      <c r="KA308" s="22"/>
      <c r="KB308" s="22"/>
      <c r="KC308" s="22"/>
      <c r="KD308" s="22"/>
      <c r="KE308" s="22"/>
      <c r="KF308" s="22"/>
      <c r="KG308" s="22"/>
      <c r="KH308" s="22"/>
      <c r="KI308" s="22"/>
      <c r="KJ308" s="22"/>
      <c r="KK308" s="22"/>
      <c r="KL308" s="22"/>
      <c r="KM308" s="22"/>
      <c r="KN308" s="22"/>
      <c r="KO308" s="22"/>
      <c r="KP308" s="22"/>
      <c r="KQ308" s="22"/>
      <c r="KR308" s="22"/>
      <c r="KS308" s="22"/>
      <c r="KT308" s="22"/>
      <c r="KU308" s="22"/>
      <c r="KV308" s="22"/>
      <c r="KW308" s="22"/>
      <c r="KX308" s="22"/>
      <c r="KY308" s="22"/>
      <c r="KZ308" s="22"/>
      <c r="LA308" s="22"/>
      <c r="LB308" s="22"/>
      <c r="LC308" s="22"/>
      <c r="LD308" s="22"/>
      <c r="LE308" s="22"/>
      <c r="LF308" s="22"/>
      <c r="LG308" s="22"/>
      <c r="LH308" s="22"/>
      <c r="LI308" s="22"/>
      <c r="LJ308" s="22"/>
      <c r="LK308" s="22"/>
      <c r="LL308" s="22"/>
      <c r="LM308" s="22"/>
      <c r="LN308" s="22"/>
      <c r="LO308" s="22"/>
      <c r="LP308" s="22"/>
      <c r="LQ308" s="22"/>
      <c r="LR308" s="22"/>
      <c r="LS308" s="22"/>
      <c r="LT308" s="22"/>
      <c r="LU308" s="22"/>
      <c r="LV308" s="22"/>
      <c r="LW308" s="22"/>
      <c r="LX308" s="22"/>
      <c r="LY308" s="22"/>
      <c r="LZ308" s="22"/>
      <c r="MA308" s="22"/>
      <c r="MB308" s="22"/>
      <c r="MC308" s="22"/>
      <c r="MD308" s="22"/>
      <c r="ME308" s="22"/>
      <c r="MF308" s="22"/>
      <c r="MG308" s="22"/>
      <c r="MH308" s="22"/>
      <c r="MI308" s="22"/>
      <c r="MJ308" s="22"/>
      <c r="MK308" s="22"/>
      <c r="ML308" s="22"/>
      <c r="MM308" s="22"/>
      <c r="MN308" s="22"/>
      <c r="MO308" s="22"/>
      <c r="MP308" s="22"/>
      <c r="MQ308" s="22"/>
      <c r="MR308" s="22"/>
      <c r="MS308" s="22"/>
      <c r="MT308" s="22"/>
      <c r="MU308" s="22"/>
      <c r="MV308" s="22"/>
      <c r="MW308" s="22"/>
      <c r="MX308" s="22"/>
      <c r="MY308" s="22"/>
      <c r="MZ308" s="22"/>
      <c r="NA308" s="22"/>
      <c r="NB308" s="22"/>
      <c r="NC308" s="22"/>
      <c r="ND308" s="22"/>
      <c r="NE308" s="22"/>
      <c r="NF308" s="22"/>
    </row>
    <row r="309" hidden="1" outlineLevel="1">
      <c r="A309" s="299"/>
      <c r="B309" s="299"/>
      <c r="C309" s="299"/>
      <c r="D309" s="292"/>
      <c r="E309" s="140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2"/>
      <c r="EE309" s="22"/>
      <c r="EF309" s="22"/>
      <c r="EG309" s="22"/>
      <c r="EH309" s="22"/>
      <c r="EI309" s="22"/>
      <c r="EJ309" s="22"/>
      <c r="EK309" s="22"/>
      <c r="EL309" s="22"/>
      <c r="EM309" s="22"/>
      <c r="EN309" s="22"/>
      <c r="EO309" s="22"/>
      <c r="EP309" s="22"/>
      <c r="EQ309" s="22"/>
      <c r="ER309" s="22"/>
      <c r="ES309" s="22"/>
      <c r="ET309" s="22"/>
      <c r="EU309" s="22"/>
      <c r="EV309" s="22"/>
      <c r="EW309" s="22"/>
      <c r="EX309" s="22"/>
      <c r="EY309" s="22"/>
      <c r="EZ309" s="22"/>
      <c r="FA309" s="22"/>
      <c r="FB309" s="22"/>
      <c r="FC309" s="22"/>
      <c r="FD309" s="22"/>
      <c r="FE309" s="22"/>
      <c r="FF309" s="22"/>
      <c r="FG309" s="22"/>
      <c r="FH309" s="22"/>
      <c r="FI309" s="22"/>
      <c r="FJ309" s="22"/>
      <c r="FK309" s="22"/>
      <c r="FL309" s="22"/>
      <c r="FM309" s="22"/>
      <c r="FN309" s="22"/>
      <c r="FO309" s="22"/>
      <c r="FP309" s="22"/>
      <c r="FQ309" s="22"/>
      <c r="FR309" s="22"/>
      <c r="FS309" s="22"/>
      <c r="FT309" s="22"/>
      <c r="FU309" s="22"/>
      <c r="FV309" s="22"/>
      <c r="FW309" s="22"/>
      <c r="FX309" s="22"/>
      <c r="FY309" s="22"/>
      <c r="FZ309" s="22"/>
      <c r="GA309" s="22"/>
      <c r="GB309" s="22"/>
      <c r="GC309" s="22"/>
      <c r="GD309" s="22"/>
      <c r="GE309" s="22"/>
      <c r="GF309" s="22"/>
      <c r="GG309" s="22"/>
      <c r="GH309" s="22"/>
      <c r="GI309" s="22"/>
      <c r="GJ309" s="22"/>
      <c r="GK309" s="22"/>
      <c r="GL309" s="22"/>
      <c r="GM309" s="22"/>
      <c r="GN309" s="22"/>
      <c r="GO309" s="22"/>
      <c r="GP309" s="22"/>
      <c r="GQ309" s="22"/>
      <c r="GR309" s="22"/>
      <c r="GS309" s="22"/>
      <c r="GT309" s="22"/>
      <c r="GU309" s="22"/>
      <c r="GV309" s="22"/>
      <c r="GW309" s="22"/>
      <c r="GX309" s="22"/>
      <c r="GY309" s="22"/>
      <c r="GZ309" s="22"/>
      <c r="HA309" s="22"/>
      <c r="HB309" s="22"/>
      <c r="HC309" s="22"/>
      <c r="HD309" s="22"/>
      <c r="HE309" s="22"/>
      <c r="HF309" s="22"/>
      <c r="HG309" s="22"/>
      <c r="HH309" s="22"/>
      <c r="HI309" s="22"/>
      <c r="HJ309" s="22"/>
      <c r="HK309" s="22"/>
      <c r="HL309" s="22"/>
      <c r="HM309" s="22"/>
      <c r="HN309" s="22"/>
      <c r="HO309" s="22"/>
      <c r="HP309" s="22"/>
      <c r="HQ309" s="22"/>
      <c r="HR309" s="22"/>
      <c r="HS309" s="22"/>
      <c r="HT309" s="22"/>
      <c r="HU309" s="22"/>
      <c r="HV309" s="22"/>
      <c r="HW309" s="22"/>
      <c r="HX309" s="22"/>
      <c r="HY309" s="22"/>
      <c r="HZ309" s="22"/>
      <c r="IA309" s="22"/>
      <c r="IB309" s="22"/>
      <c r="IC309" s="22"/>
      <c r="ID309" s="22"/>
      <c r="IE309" s="22"/>
      <c r="IF309" s="22"/>
      <c r="IG309" s="22"/>
      <c r="IH309" s="22"/>
      <c r="II309" s="22"/>
      <c r="IJ309" s="22"/>
      <c r="IK309" s="22"/>
      <c r="IL309" s="22"/>
      <c r="IM309" s="22"/>
      <c r="IN309" s="22"/>
      <c r="IO309" s="22"/>
      <c r="IP309" s="22"/>
      <c r="IQ309" s="22"/>
      <c r="IR309" s="22"/>
      <c r="IS309" s="22"/>
      <c r="IT309" s="22"/>
      <c r="IU309" s="22"/>
      <c r="IV309" s="22"/>
      <c r="IW309" s="22"/>
      <c r="IX309" s="22"/>
      <c r="IY309" s="22"/>
      <c r="IZ309" s="22"/>
      <c r="JA309" s="22"/>
      <c r="JB309" s="22"/>
      <c r="JC309" s="22"/>
      <c r="JD309" s="22"/>
      <c r="JE309" s="22"/>
      <c r="JF309" s="22"/>
      <c r="JG309" s="22"/>
      <c r="JH309" s="22"/>
      <c r="JI309" s="22"/>
      <c r="JJ309" s="22"/>
      <c r="JK309" s="22"/>
      <c r="JL309" s="22"/>
      <c r="JM309" s="22"/>
      <c r="JN309" s="22"/>
      <c r="JO309" s="22"/>
      <c r="JP309" s="22"/>
      <c r="JQ309" s="22"/>
      <c r="JR309" s="22"/>
      <c r="JS309" s="22"/>
      <c r="JT309" s="22"/>
      <c r="JU309" s="22"/>
      <c r="JV309" s="22"/>
      <c r="JW309" s="22"/>
      <c r="JX309" s="22"/>
      <c r="JY309" s="22"/>
      <c r="JZ309" s="22"/>
      <c r="KA309" s="22"/>
      <c r="KB309" s="22"/>
      <c r="KC309" s="22"/>
      <c r="KD309" s="22"/>
      <c r="KE309" s="22"/>
      <c r="KF309" s="22"/>
      <c r="KG309" s="22"/>
      <c r="KH309" s="22"/>
      <c r="KI309" s="22"/>
      <c r="KJ309" s="22"/>
      <c r="KK309" s="22"/>
      <c r="KL309" s="22"/>
      <c r="KM309" s="22"/>
      <c r="KN309" s="22"/>
      <c r="KO309" s="22"/>
      <c r="KP309" s="22"/>
      <c r="KQ309" s="22"/>
      <c r="KR309" s="22"/>
      <c r="KS309" s="22"/>
      <c r="KT309" s="22"/>
      <c r="KU309" s="22"/>
      <c r="KV309" s="22"/>
      <c r="KW309" s="22"/>
      <c r="KX309" s="22"/>
      <c r="KY309" s="22"/>
      <c r="KZ309" s="22"/>
      <c r="LA309" s="22"/>
      <c r="LB309" s="22"/>
      <c r="LC309" s="22"/>
      <c r="LD309" s="22"/>
      <c r="LE309" s="22"/>
      <c r="LF309" s="22"/>
      <c r="LG309" s="22"/>
      <c r="LH309" s="22"/>
      <c r="LI309" s="22"/>
      <c r="LJ309" s="22"/>
      <c r="LK309" s="22"/>
      <c r="LL309" s="22"/>
      <c r="LM309" s="22"/>
      <c r="LN309" s="22"/>
      <c r="LO309" s="22"/>
      <c r="LP309" s="22"/>
      <c r="LQ309" s="22"/>
      <c r="LR309" s="22"/>
      <c r="LS309" s="22"/>
      <c r="LT309" s="22"/>
      <c r="LU309" s="22"/>
      <c r="LV309" s="22"/>
      <c r="LW309" s="22"/>
      <c r="LX309" s="22"/>
      <c r="LY309" s="22"/>
      <c r="LZ309" s="22"/>
      <c r="MA309" s="22"/>
      <c r="MB309" s="22"/>
      <c r="MC309" s="22"/>
      <c r="MD309" s="22"/>
      <c r="ME309" s="22"/>
      <c r="MF309" s="22"/>
      <c r="MG309" s="22"/>
      <c r="MH309" s="22"/>
      <c r="MI309" s="22"/>
      <c r="MJ309" s="22"/>
      <c r="MK309" s="22"/>
      <c r="ML309" s="22"/>
      <c r="MM309" s="22"/>
      <c r="MN309" s="22"/>
      <c r="MO309" s="22"/>
      <c r="MP309" s="22"/>
      <c r="MQ309" s="22"/>
      <c r="MR309" s="22"/>
      <c r="MS309" s="22"/>
      <c r="MT309" s="22"/>
      <c r="MU309" s="22"/>
      <c r="MV309" s="22"/>
      <c r="MW309" s="22"/>
      <c r="MX309" s="22"/>
      <c r="MY309" s="22"/>
      <c r="MZ309" s="22"/>
      <c r="NA309" s="22"/>
      <c r="NB309" s="22"/>
      <c r="NC309" s="22"/>
      <c r="ND309" s="22"/>
      <c r="NE309" s="22"/>
      <c r="NF309" s="22"/>
    </row>
    <row r="310" hidden="1" outlineLevel="1">
      <c r="A310" s="299"/>
      <c r="B310" s="299"/>
      <c r="C310" s="299"/>
      <c r="D310" s="292"/>
      <c r="E310" s="140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/>
      <c r="DY310" s="22"/>
      <c r="DZ310" s="22"/>
      <c r="EA310" s="22"/>
      <c r="EB310" s="22"/>
      <c r="EC310" s="22"/>
      <c r="ED310" s="22"/>
      <c r="EE310" s="22"/>
      <c r="EF310" s="22"/>
      <c r="EG310" s="22"/>
      <c r="EH310" s="22"/>
      <c r="EI310" s="22"/>
      <c r="EJ310" s="22"/>
      <c r="EK310" s="22"/>
      <c r="EL310" s="22"/>
      <c r="EM310" s="22"/>
      <c r="EN310" s="22"/>
      <c r="EO310" s="22"/>
      <c r="EP310" s="22"/>
      <c r="EQ310" s="22"/>
      <c r="ER310" s="22"/>
      <c r="ES310" s="22"/>
      <c r="ET310" s="22"/>
      <c r="EU310" s="22"/>
      <c r="EV310" s="22"/>
      <c r="EW310" s="22"/>
      <c r="EX310" s="22"/>
      <c r="EY310" s="22"/>
      <c r="EZ310" s="22"/>
      <c r="FA310" s="22"/>
      <c r="FB310" s="22"/>
      <c r="FC310" s="22"/>
      <c r="FD310" s="22"/>
      <c r="FE310" s="22"/>
      <c r="FF310" s="22"/>
      <c r="FG310" s="22"/>
      <c r="FH310" s="22"/>
      <c r="FI310" s="22"/>
      <c r="FJ310" s="22"/>
      <c r="FK310" s="22"/>
      <c r="FL310" s="22"/>
      <c r="FM310" s="22"/>
      <c r="FN310" s="22"/>
      <c r="FO310" s="22"/>
      <c r="FP310" s="22"/>
      <c r="FQ310" s="22"/>
      <c r="FR310" s="22"/>
      <c r="FS310" s="22"/>
      <c r="FT310" s="22"/>
      <c r="FU310" s="22"/>
      <c r="FV310" s="22"/>
      <c r="FW310" s="22"/>
      <c r="FX310" s="22"/>
      <c r="FY310" s="22"/>
      <c r="FZ310" s="22"/>
      <c r="GA310" s="22"/>
      <c r="GB310" s="22"/>
      <c r="GC310" s="22"/>
      <c r="GD310" s="22"/>
      <c r="GE310" s="22"/>
      <c r="GF310" s="22"/>
      <c r="GG310" s="22"/>
      <c r="GH310" s="22"/>
      <c r="GI310" s="22"/>
      <c r="GJ310" s="22"/>
      <c r="GK310" s="22"/>
      <c r="GL310" s="22"/>
      <c r="GM310" s="22"/>
      <c r="GN310" s="22"/>
      <c r="GO310" s="22"/>
      <c r="GP310" s="22"/>
      <c r="GQ310" s="22"/>
      <c r="GR310" s="22"/>
      <c r="GS310" s="22"/>
      <c r="GT310" s="22"/>
      <c r="GU310" s="22"/>
      <c r="GV310" s="22"/>
      <c r="GW310" s="22"/>
      <c r="GX310" s="22"/>
      <c r="GY310" s="22"/>
      <c r="GZ310" s="22"/>
      <c r="HA310" s="22"/>
      <c r="HB310" s="22"/>
      <c r="HC310" s="22"/>
      <c r="HD310" s="22"/>
      <c r="HE310" s="22"/>
      <c r="HF310" s="22"/>
      <c r="HG310" s="22"/>
      <c r="HH310" s="22"/>
      <c r="HI310" s="22"/>
      <c r="HJ310" s="22"/>
      <c r="HK310" s="22"/>
      <c r="HL310" s="22"/>
      <c r="HM310" s="22"/>
      <c r="HN310" s="22"/>
      <c r="HO310" s="22"/>
      <c r="HP310" s="22"/>
      <c r="HQ310" s="22"/>
      <c r="HR310" s="22"/>
      <c r="HS310" s="22"/>
      <c r="HT310" s="22"/>
      <c r="HU310" s="22"/>
      <c r="HV310" s="22"/>
      <c r="HW310" s="22"/>
      <c r="HX310" s="22"/>
      <c r="HY310" s="22"/>
      <c r="HZ310" s="22"/>
      <c r="IA310" s="22"/>
      <c r="IB310" s="22"/>
      <c r="IC310" s="22"/>
      <c r="ID310" s="22"/>
      <c r="IE310" s="22"/>
      <c r="IF310" s="22"/>
      <c r="IG310" s="22"/>
      <c r="IH310" s="22"/>
      <c r="II310" s="22"/>
      <c r="IJ310" s="22"/>
      <c r="IK310" s="22"/>
      <c r="IL310" s="22"/>
      <c r="IM310" s="22"/>
      <c r="IN310" s="22"/>
      <c r="IO310" s="22"/>
      <c r="IP310" s="22"/>
      <c r="IQ310" s="22"/>
      <c r="IR310" s="22"/>
      <c r="IS310" s="22"/>
      <c r="IT310" s="22"/>
      <c r="IU310" s="22"/>
      <c r="IV310" s="22"/>
      <c r="IW310" s="22"/>
      <c r="IX310" s="22"/>
      <c r="IY310" s="22"/>
      <c r="IZ310" s="22"/>
      <c r="JA310" s="22"/>
      <c r="JB310" s="22"/>
      <c r="JC310" s="22"/>
      <c r="JD310" s="22"/>
      <c r="JE310" s="22"/>
      <c r="JF310" s="22"/>
      <c r="JG310" s="22"/>
      <c r="JH310" s="22"/>
      <c r="JI310" s="22"/>
      <c r="JJ310" s="22"/>
      <c r="JK310" s="22"/>
      <c r="JL310" s="22"/>
      <c r="JM310" s="22"/>
      <c r="JN310" s="22"/>
      <c r="JO310" s="22"/>
      <c r="JP310" s="22"/>
      <c r="JQ310" s="22"/>
      <c r="JR310" s="22"/>
      <c r="JS310" s="22"/>
      <c r="JT310" s="22"/>
      <c r="JU310" s="22"/>
      <c r="JV310" s="22"/>
      <c r="JW310" s="22"/>
      <c r="JX310" s="22"/>
      <c r="JY310" s="22"/>
      <c r="JZ310" s="22"/>
      <c r="KA310" s="22"/>
      <c r="KB310" s="22"/>
      <c r="KC310" s="22"/>
      <c r="KD310" s="22"/>
      <c r="KE310" s="22"/>
      <c r="KF310" s="22"/>
      <c r="KG310" s="22"/>
      <c r="KH310" s="22"/>
      <c r="KI310" s="22"/>
      <c r="KJ310" s="22"/>
      <c r="KK310" s="22"/>
      <c r="KL310" s="22"/>
      <c r="KM310" s="22"/>
      <c r="KN310" s="22"/>
      <c r="KO310" s="22"/>
      <c r="KP310" s="22"/>
      <c r="KQ310" s="22"/>
      <c r="KR310" s="22"/>
      <c r="KS310" s="22"/>
      <c r="KT310" s="22"/>
      <c r="KU310" s="22"/>
      <c r="KV310" s="22"/>
      <c r="KW310" s="22"/>
      <c r="KX310" s="22"/>
      <c r="KY310" s="22"/>
      <c r="KZ310" s="22"/>
      <c r="LA310" s="22"/>
      <c r="LB310" s="22"/>
      <c r="LC310" s="22"/>
      <c r="LD310" s="22"/>
      <c r="LE310" s="22"/>
      <c r="LF310" s="22"/>
      <c r="LG310" s="22"/>
      <c r="LH310" s="22"/>
      <c r="LI310" s="22"/>
      <c r="LJ310" s="22"/>
      <c r="LK310" s="22"/>
      <c r="LL310" s="22"/>
      <c r="LM310" s="22"/>
      <c r="LN310" s="22"/>
      <c r="LO310" s="22"/>
      <c r="LP310" s="22"/>
      <c r="LQ310" s="22"/>
      <c r="LR310" s="22"/>
      <c r="LS310" s="22"/>
      <c r="LT310" s="22"/>
      <c r="LU310" s="22"/>
      <c r="LV310" s="22"/>
      <c r="LW310" s="22"/>
      <c r="LX310" s="22"/>
      <c r="LY310" s="22"/>
      <c r="LZ310" s="22"/>
      <c r="MA310" s="22"/>
      <c r="MB310" s="22"/>
      <c r="MC310" s="22"/>
      <c r="MD310" s="22"/>
      <c r="ME310" s="22"/>
      <c r="MF310" s="22"/>
      <c r="MG310" s="22"/>
      <c r="MH310" s="22"/>
      <c r="MI310" s="22"/>
      <c r="MJ310" s="22"/>
      <c r="MK310" s="22"/>
      <c r="ML310" s="22"/>
      <c r="MM310" s="22"/>
      <c r="MN310" s="22"/>
      <c r="MO310" s="22"/>
      <c r="MP310" s="22"/>
      <c r="MQ310" s="22"/>
      <c r="MR310" s="22"/>
      <c r="MS310" s="22"/>
      <c r="MT310" s="22"/>
      <c r="MU310" s="22"/>
      <c r="MV310" s="22"/>
      <c r="MW310" s="22"/>
      <c r="MX310" s="22"/>
      <c r="MY310" s="22"/>
      <c r="MZ310" s="22"/>
      <c r="NA310" s="22"/>
      <c r="NB310" s="22"/>
      <c r="NC310" s="22"/>
      <c r="ND310" s="22"/>
      <c r="NE310" s="22"/>
      <c r="NF310" s="22"/>
    </row>
    <row r="311" hidden="1" outlineLevel="1">
      <c r="A311" s="299"/>
      <c r="B311" s="299"/>
      <c r="C311" s="299"/>
      <c r="D311" s="292"/>
      <c r="E311" s="140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  <c r="EB311" s="22"/>
      <c r="EC311" s="22"/>
      <c r="ED311" s="22"/>
      <c r="EE311" s="22"/>
      <c r="EF311" s="22"/>
      <c r="EG311" s="22"/>
      <c r="EH311" s="22"/>
      <c r="EI311" s="22"/>
      <c r="EJ311" s="22"/>
      <c r="EK311" s="22"/>
      <c r="EL311" s="22"/>
      <c r="EM311" s="22"/>
      <c r="EN311" s="22"/>
      <c r="EO311" s="22"/>
      <c r="EP311" s="22"/>
      <c r="EQ311" s="22"/>
      <c r="ER311" s="22"/>
      <c r="ES311" s="22"/>
      <c r="ET311" s="22"/>
      <c r="EU311" s="22"/>
      <c r="EV311" s="22"/>
      <c r="EW311" s="22"/>
      <c r="EX311" s="22"/>
      <c r="EY311" s="22"/>
      <c r="EZ311" s="22"/>
      <c r="FA311" s="22"/>
      <c r="FB311" s="22"/>
      <c r="FC311" s="22"/>
      <c r="FD311" s="22"/>
      <c r="FE311" s="22"/>
      <c r="FF311" s="22"/>
      <c r="FG311" s="22"/>
      <c r="FH311" s="22"/>
      <c r="FI311" s="22"/>
      <c r="FJ311" s="22"/>
      <c r="FK311" s="22"/>
      <c r="FL311" s="22"/>
      <c r="FM311" s="22"/>
      <c r="FN311" s="22"/>
      <c r="FO311" s="22"/>
      <c r="FP311" s="22"/>
      <c r="FQ311" s="22"/>
      <c r="FR311" s="22"/>
      <c r="FS311" s="22"/>
      <c r="FT311" s="22"/>
      <c r="FU311" s="22"/>
      <c r="FV311" s="22"/>
      <c r="FW311" s="22"/>
      <c r="FX311" s="22"/>
      <c r="FY311" s="22"/>
      <c r="FZ311" s="22"/>
      <c r="GA311" s="22"/>
      <c r="GB311" s="22"/>
      <c r="GC311" s="22"/>
      <c r="GD311" s="22"/>
      <c r="GE311" s="22"/>
      <c r="GF311" s="22"/>
      <c r="GG311" s="22"/>
      <c r="GH311" s="22"/>
      <c r="GI311" s="22"/>
      <c r="GJ311" s="22"/>
      <c r="GK311" s="22"/>
      <c r="GL311" s="22"/>
      <c r="GM311" s="22"/>
      <c r="GN311" s="22"/>
      <c r="GO311" s="22"/>
      <c r="GP311" s="22"/>
      <c r="GQ311" s="22"/>
      <c r="GR311" s="22"/>
      <c r="GS311" s="22"/>
      <c r="GT311" s="22"/>
      <c r="GU311" s="22"/>
      <c r="GV311" s="22"/>
      <c r="GW311" s="22"/>
      <c r="GX311" s="22"/>
      <c r="GY311" s="22"/>
      <c r="GZ311" s="22"/>
      <c r="HA311" s="22"/>
      <c r="HB311" s="22"/>
      <c r="HC311" s="22"/>
      <c r="HD311" s="22"/>
      <c r="HE311" s="22"/>
      <c r="HF311" s="22"/>
      <c r="HG311" s="22"/>
      <c r="HH311" s="22"/>
      <c r="HI311" s="22"/>
      <c r="HJ311" s="22"/>
      <c r="HK311" s="22"/>
      <c r="HL311" s="22"/>
      <c r="HM311" s="22"/>
      <c r="HN311" s="22"/>
      <c r="HO311" s="22"/>
      <c r="HP311" s="22"/>
      <c r="HQ311" s="22"/>
      <c r="HR311" s="22"/>
      <c r="HS311" s="22"/>
      <c r="HT311" s="22"/>
      <c r="HU311" s="22"/>
      <c r="HV311" s="22"/>
      <c r="HW311" s="22"/>
      <c r="HX311" s="22"/>
      <c r="HY311" s="22"/>
      <c r="HZ311" s="22"/>
      <c r="IA311" s="22"/>
      <c r="IB311" s="22"/>
      <c r="IC311" s="22"/>
      <c r="ID311" s="22"/>
      <c r="IE311" s="22"/>
      <c r="IF311" s="22"/>
      <c r="IG311" s="22"/>
      <c r="IH311" s="22"/>
      <c r="II311" s="22"/>
      <c r="IJ311" s="22"/>
      <c r="IK311" s="22"/>
      <c r="IL311" s="22"/>
      <c r="IM311" s="22"/>
      <c r="IN311" s="22"/>
      <c r="IO311" s="22"/>
      <c r="IP311" s="22"/>
      <c r="IQ311" s="22"/>
      <c r="IR311" s="22"/>
      <c r="IS311" s="22"/>
      <c r="IT311" s="22"/>
      <c r="IU311" s="22"/>
      <c r="IV311" s="22"/>
      <c r="IW311" s="22"/>
      <c r="IX311" s="22"/>
      <c r="IY311" s="22"/>
      <c r="IZ311" s="22"/>
      <c r="JA311" s="22"/>
      <c r="JB311" s="22"/>
      <c r="JC311" s="22"/>
      <c r="JD311" s="22"/>
      <c r="JE311" s="22"/>
      <c r="JF311" s="22"/>
      <c r="JG311" s="22"/>
      <c r="JH311" s="22"/>
      <c r="JI311" s="22"/>
      <c r="JJ311" s="22"/>
      <c r="JK311" s="22"/>
      <c r="JL311" s="22"/>
      <c r="JM311" s="22"/>
      <c r="JN311" s="22"/>
      <c r="JO311" s="22"/>
      <c r="JP311" s="22"/>
      <c r="JQ311" s="22"/>
      <c r="JR311" s="22"/>
      <c r="JS311" s="22"/>
      <c r="JT311" s="22"/>
      <c r="JU311" s="22"/>
      <c r="JV311" s="22"/>
      <c r="JW311" s="22"/>
      <c r="JX311" s="22"/>
      <c r="JY311" s="22"/>
      <c r="JZ311" s="22"/>
      <c r="KA311" s="22"/>
      <c r="KB311" s="22"/>
      <c r="KC311" s="22"/>
      <c r="KD311" s="22"/>
      <c r="KE311" s="22"/>
      <c r="KF311" s="22"/>
      <c r="KG311" s="22"/>
      <c r="KH311" s="22"/>
      <c r="KI311" s="22"/>
      <c r="KJ311" s="22"/>
      <c r="KK311" s="22"/>
      <c r="KL311" s="22"/>
      <c r="KM311" s="22"/>
      <c r="KN311" s="22"/>
      <c r="KO311" s="22"/>
      <c r="KP311" s="22"/>
      <c r="KQ311" s="22"/>
      <c r="KR311" s="22"/>
      <c r="KS311" s="22"/>
      <c r="KT311" s="22"/>
      <c r="KU311" s="22"/>
      <c r="KV311" s="22"/>
      <c r="KW311" s="22"/>
      <c r="KX311" s="22"/>
      <c r="KY311" s="22"/>
      <c r="KZ311" s="22"/>
      <c r="LA311" s="22"/>
      <c r="LB311" s="22"/>
      <c r="LC311" s="22"/>
      <c r="LD311" s="22"/>
      <c r="LE311" s="22"/>
      <c r="LF311" s="22"/>
      <c r="LG311" s="22"/>
      <c r="LH311" s="22"/>
      <c r="LI311" s="22"/>
      <c r="LJ311" s="22"/>
      <c r="LK311" s="22"/>
      <c r="LL311" s="22"/>
      <c r="LM311" s="22"/>
      <c r="LN311" s="22"/>
      <c r="LO311" s="22"/>
      <c r="LP311" s="22"/>
      <c r="LQ311" s="22"/>
      <c r="LR311" s="22"/>
      <c r="LS311" s="22"/>
      <c r="LT311" s="22"/>
      <c r="LU311" s="22"/>
      <c r="LV311" s="22"/>
      <c r="LW311" s="22"/>
      <c r="LX311" s="22"/>
      <c r="LY311" s="22"/>
      <c r="LZ311" s="22"/>
      <c r="MA311" s="22"/>
      <c r="MB311" s="22"/>
      <c r="MC311" s="22"/>
      <c r="MD311" s="22"/>
      <c r="ME311" s="22"/>
      <c r="MF311" s="22"/>
      <c r="MG311" s="22"/>
      <c r="MH311" s="22"/>
      <c r="MI311" s="22"/>
      <c r="MJ311" s="22"/>
      <c r="MK311" s="22"/>
      <c r="ML311" s="22"/>
      <c r="MM311" s="22"/>
      <c r="MN311" s="22"/>
      <c r="MO311" s="22"/>
      <c r="MP311" s="22"/>
      <c r="MQ311" s="22"/>
      <c r="MR311" s="22"/>
      <c r="MS311" s="22"/>
      <c r="MT311" s="22"/>
      <c r="MU311" s="22"/>
      <c r="MV311" s="22"/>
      <c r="MW311" s="22"/>
      <c r="MX311" s="22"/>
      <c r="MY311" s="22"/>
      <c r="MZ311" s="22"/>
      <c r="NA311" s="22"/>
      <c r="NB311" s="22"/>
      <c r="NC311" s="22"/>
      <c r="ND311" s="22"/>
      <c r="NE311" s="22"/>
      <c r="NF311" s="22"/>
    </row>
    <row r="312" hidden="1" outlineLevel="1">
      <c r="A312" s="299"/>
      <c r="B312" s="299"/>
      <c r="C312" s="299"/>
      <c r="D312" s="292"/>
      <c r="E312" s="140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  <c r="EB312" s="22"/>
      <c r="EC312" s="22"/>
      <c r="ED312" s="22"/>
      <c r="EE312" s="22"/>
      <c r="EF312" s="22"/>
      <c r="EG312" s="22"/>
      <c r="EH312" s="22"/>
      <c r="EI312" s="22"/>
      <c r="EJ312" s="22"/>
      <c r="EK312" s="22"/>
      <c r="EL312" s="22"/>
      <c r="EM312" s="22"/>
      <c r="EN312" s="22"/>
      <c r="EO312" s="22"/>
      <c r="EP312" s="22"/>
      <c r="EQ312" s="22"/>
      <c r="ER312" s="22"/>
      <c r="ES312" s="22"/>
      <c r="ET312" s="22"/>
      <c r="EU312" s="22"/>
      <c r="EV312" s="22"/>
      <c r="EW312" s="22"/>
      <c r="EX312" s="22"/>
      <c r="EY312" s="22"/>
      <c r="EZ312" s="22"/>
      <c r="FA312" s="22"/>
      <c r="FB312" s="22"/>
      <c r="FC312" s="22"/>
      <c r="FD312" s="22"/>
      <c r="FE312" s="22"/>
      <c r="FF312" s="22"/>
      <c r="FG312" s="22"/>
      <c r="FH312" s="22"/>
      <c r="FI312" s="22"/>
      <c r="FJ312" s="22"/>
      <c r="FK312" s="22"/>
      <c r="FL312" s="22"/>
      <c r="FM312" s="22"/>
      <c r="FN312" s="22"/>
      <c r="FO312" s="22"/>
      <c r="FP312" s="22"/>
      <c r="FQ312" s="22"/>
      <c r="FR312" s="22"/>
      <c r="FS312" s="22"/>
      <c r="FT312" s="22"/>
      <c r="FU312" s="22"/>
      <c r="FV312" s="22"/>
      <c r="FW312" s="22"/>
      <c r="FX312" s="22"/>
      <c r="FY312" s="22"/>
      <c r="FZ312" s="22"/>
      <c r="GA312" s="22"/>
      <c r="GB312" s="22"/>
      <c r="GC312" s="22"/>
      <c r="GD312" s="22"/>
      <c r="GE312" s="22"/>
      <c r="GF312" s="22"/>
      <c r="GG312" s="22"/>
      <c r="GH312" s="22"/>
      <c r="GI312" s="22"/>
      <c r="GJ312" s="22"/>
      <c r="GK312" s="22"/>
      <c r="GL312" s="22"/>
      <c r="GM312" s="22"/>
      <c r="GN312" s="22"/>
      <c r="GO312" s="22"/>
      <c r="GP312" s="22"/>
      <c r="GQ312" s="22"/>
      <c r="GR312" s="22"/>
      <c r="GS312" s="22"/>
      <c r="GT312" s="22"/>
      <c r="GU312" s="22"/>
      <c r="GV312" s="22"/>
      <c r="GW312" s="22"/>
      <c r="GX312" s="22"/>
      <c r="GY312" s="22"/>
      <c r="GZ312" s="22"/>
      <c r="HA312" s="22"/>
      <c r="HB312" s="22"/>
      <c r="HC312" s="22"/>
      <c r="HD312" s="22"/>
      <c r="HE312" s="22"/>
      <c r="HF312" s="22"/>
      <c r="HG312" s="22"/>
      <c r="HH312" s="22"/>
      <c r="HI312" s="22"/>
      <c r="HJ312" s="22"/>
      <c r="HK312" s="22"/>
      <c r="HL312" s="22"/>
      <c r="HM312" s="22"/>
      <c r="HN312" s="22"/>
      <c r="HO312" s="22"/>
      <c r="HP312" s="22"/>
      <c r="HQ312" s="22"/>
      <c r="HR312" s="22"/>
      <c r="HS312" s="22"/>
      <c r="HT312" s="22"/>
      <c r="HU312" s="22"/>
      <c r="HV312" s="22"/>
      <c r="HW312" s="22"/>
      <c r="HX312" s="22"/>
      <c r="HY312" s="22"/>
      <c r="HZ312" s="22"/>
      <c r="IA312" s="22"/>
      <c r="IB312" s="22"/>
      <c r="IC312" s="22"/>
      <c r="ID312" s="22"/>
      <c r="IE312" s="22"/>
      <c r="IF312" s="22"/>
      <c r="IG312" s="22"/>
      <c r="IH312" s="22"/>
      <c r="II312" s="22"/>
      <c r="IJ312" s="22"/>
      <c r="IK312" s="22"/>
      <c r="IL312" s="22"/>
      <c r="IM312" s="22"/>
      <c r="IN312" s="22"/>
      <c r="IO312" s="22"/>
      <c r="IP312" s="22"/>
      <c r="IQ312" s="22"/>
      <c r="IR312" s="22"/>
      <c r="IS312" s="22"/>
      <c r="IT312" s="22"/>
      <c r="IU312" s="22"/>
      <c r="IV312" s="22"/>
      <c r="IW312" s="22"/>
      <c r="IX312" s="22"/>
      <c r="IY312" s="22"/>
      <c r="IZ312" s="22"/>
      <c r="JA312" s="22"/>
      <c r="JB312" s="22"/>
      <c r="JC312" s="22"/>
      <c r="JD312" s="22"/>
      <c r="JE312" s="22"/>
      <c r="JF312" s="22"/>
      <c r="JG312" s="22"/>
      <c r="JH312" s="22"/>
      <c r="JI312" s="22"/>
      <c r="JJ312" s="22"/>
      <c r="JK312" s="22"/>
      <c r="JL312" s="22"/>
      <c r="JM312" s="22"/>
      <c r="JN312" s="22"/>
      <c r="JO312" s="22"/>
      <c r="JP312" s="22"/>
      <c r="JQ312" s="22"/>
      <c r="JR312" s="22"/>
      <c r="JS312" s="22"/>
      <c r="JT312" s="22"/>
      <c r="JU312" s="22"/>
      <c r="JV312" s="22"/>
      <c r="JW312" s="22"/>
      <c r="JX312" s="22"/>
      <c r="JY312" s="22"/>
      <c r="JZ312" s="22"/>
      <c r="KA312" s="22"/>
      <c r="KB312" s="22"/>
      <c r="KC312" s="22"/>
      <c r="KD312" s="22"/>
      <c r="KE312" s="22"/>
      <c r="KF312" s="22"/>
      <c r="KG312" s="22"/>
      <c r="KH312" s="22"/>
      <c r="KI312" s="22"/>
      <c r="KJ312" s="22"/>
      <c r="KK312" s="22"/>
      <c r="KL312" s="22"/>
      <c r="KM312" s="22"/>
      <c r="KN312" s="22"/>
      <c r="KO312" s="22"/>
      <c r="KP312" s="22"/>
      <c r="KQ312" s="22"/>
      <c r="KR312" s="22"/>
      <c r="KS312" s="22"/>
      <c r="KT312" s="22"/>
      <c r="KU312" s="22"/>
      <c r="KV312" s="22"/>
      <c r="KW312" s="22"/>
      <c r="KX312" s="22"/>
      <c r="KY312" s="22"/>
      <c r="KZ312" s="22"/>
      <c r="LA312" s="22"/>
      <c r="LB312" s="22"/>
      <c r="LC312" s="22"/>
      <c r="LD312" s="22"/>
      <c r="LE312" s="22"/>
      <c r="LF312" s="22"/>
      <c r="LG312" s="22"/>
      <c r="LH312" s="22"/>
      <c r="LI312" s="22"/>
      <c r="LJ312" s="22"/>
      <c r="LK312" s="22"/>
      <c r="LL312" s="22"/>
      <c r="LM312" s="22"/>
      <c r="LN312" s="22"/>
      <c r="LO312" s="22"/>
      <c r="LP312" s="22"/>
      <c r="LQ312" s="22"/>
      <c r="LR312" s="22"/>
      <c r="LS312" s="22"/>
      <c r="LT312" s="22"/>
      <c r="LU312" s="22"/>
      <c r="LV312" s="22"/>
      <c r="LW312" s="22"/>
      <c r="LX312" s="22"/>
      <c r="LY312" s="22"/>
      <c r="LZ312" s="22"/>
      <c r="MA312" s="22"/>
      <c r="MB312" s="22"/>
      <c r="MC312" s="22"/>
      <c r="MD312" s="22"/>
      <c r="ME312" s="22"/>
      <c r="MF312" s="22"/>
      <c r="MG312" s="22"/>
      <c r="MH312" s="22"/>
      <c r="MI312" s="22"/>
      <c r="MJ312" s="22"/>
      <c r="MK312" s="22"/>
      <c r="ML312" s="22"/>
      <c r="MM312" s="22"/>
      <c r="MN312" s="22"/>
      <c r="MO312" s="22"/>
      <c r="MP312" s="22"/>
      <c r="MQ312" s="22"/>
      <c r="MR312" s="22"/>
      <c r="MS312" s="22"/>
      <c r="MT312" s="22"/>
      <c r="MU312" s="22"/>
      <c r="MV312" s="22"/>
      <c r="MW312" s="22"/>
      <c r="MX312" s="22"/>
      <c r="MY312" s="22"/>
      <c r="MZ312" s="22"/>
      <c r="NA312" s="22"/>
      <c r="NB312" s="22"/>
      <c r="NC312" s="22"/>
      <c r="ND312" s="22"/>
      <c r="NE312" s="22"/>
      <c r="NF312" s="22"/>
    </row>
    <row r="313" hidden="1" outlineLevel="1">
      <c r="A313" s="299"/>
      <c r="B313" s="299"/>
      <c r="C313" s="299"/>
      <c r="D313" s="292"/>
      <c r="E313" s="140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2"/>
      <c r="EE313" s="22"/>
      <c r="EF313" s="22"/>
      <c r="EG313" s="22"/>
      <c r="EH313" s="22"/>
      <c r="EI313" s="22"/>
      <c r="EJ313" s="22"/>
      <c r="EK313" s="22"/>
      <c r="EL313" s="22"/>
      <c r="EM313" s="22"/>
      <c r="EN313" s="22"/>
      <c r="EO313" s="22"/>
      <c r="EP313" s="22"/>
      <c r="EQ313" s="22"/>
      <c r="ER313" s="22"/>
      <c r="ES313" s="22"/>
      <c r="ET313" s="22"/>
      <c r="EU313" s="22"/>
      <c r="EV313" s="22"/>
      <c r="EW313" s="22"/>
      <c r="EX313" s="22"/>
      <c r="EY313" s="22"/>
      <c r="EZ313" s="22"/>
      <c r="FA313" s="22"/>
      <c r="FB313" s="22"/>
      <c r="FC313" s="22"/>
      <c r="FD313" s="22"/>
      <c r="FE313" s="22"/>
      <c r="FF313" s="22"/>
      <c r="FG313" s="22"/>
      <c r="FH313" s="22"/>
      <c r="FI313" s="22"/>
      <c r="FJ313" s="22"/>
      <c r="FK313" s="22"/>
      <c r="FL313" s="22"/>
      <c r="FM313" s="22"/>
      <c r="FN313" s="22"/>
      <c r="FO313" s="22"/>
      <c r="FP313" s="22"/>
      <c r="FQ313" s="22"/>
      <c r="FR313" s="22"/>
      <c r="FS313" s="22"/>
      <c r="FT313" s="22"/>
      <c r="FU313" s="22"/>
      <c r="FV313" s="22"/>
      <c r="FW313" s="22"/>
      <c r="FX313" s="22"/>
      <c r="FY313" s="22"/>
      <c r="FZ313" s="22"/>
      <c r="GA313" s="22"/>
      <c r="GB313" s="22"/>
      <c r="GC313" s="22"/>
      <c r="GD313" s="22"/>
      <c r="GE313" s="22"/>
      <c r="GF313" s="22"/>
      <c r="GG313" s="22"/>
      <c r="GH313" s="22"/>
      <c r="GI313" s="22"/>
      <c r="GJ313" s="22"/>
      <c r="GK313" s="22"/>
      <c r="GL313" s="22"/>
      <c r="GM313" s="22"/>
      <c r="GN313" s="22"/>
      <c r="GO313" s="22"/>
      <c r="GP313" s="22"/>
      <c r="GQ313" s="22"/>
      <c r="GR313" s="22"/>
      <c r="GS313" s="22"/>
      <c r="GT313" s="22"/>
      <c r="GU313" s="22"/>
      <c r="GV313" s="22"/>
      <c r="GW313" s="22"/>
      <c r="GX313" s="22"/>
      <c r="GY313" s="22"/>
      <c r="GZ313" s="22"/>
      <c r="HA313" s="22"/>
      <c r="HB313" s="22"/>
      <c r="HC313" s="22"/>
      <c r="HD313" s="22"/>
      <c r="HE313" s="22"/>
      <c r="HF313" s="22"/>
      <c r="HG313" s="22"/>
      <c r="HH313" s="22"/>
      <c r="HI313" s="22"/>
      <c r="HJ313" s="22"/>
      <c r="HK313" s="22"/>
      <c r="HL313" s="22"/>
      <c r="HM313" s="22"/>
      <c r="HN313" s="22"/>
      <c r="HO313" s="22"/>
      <c r="HP313" s="22"/>
      <c r="HQ313" s="22"/>
      <c r="HR313" s="22"/>
      <c r="HS313" s="22"/>
      <c r="HT313" s="22"/>
      <c r="HU313" s="22"/>
      <c r="HV313" s="22"/>
      <c r="HW313" s="22"/>
      <c r="HX313" s="22"/>
      <c r="HY313" s="22"/>
      <c r="HZ313" s="22"/>
      <c r="IA313" s="22"/>
      <c r="IB313" s="22"/>
      <c r="IC313" s="22"/>
      <c r="ID313" s="22"/>
      <c r="IE313" s="22"/>
      <c r="IF313" s="22"/>
      <c r="IG313" s="22"/>
      <c r="IH313" s="22"/>
      <c r="II313" s="22"/>
      <c r="IJ313" s="22"/>
      <c r="IK313" s="22"/>
      <c r="IL313" s="22"/>
      <c r="IM313" s="22"/>
      <c r="IN313" s="22"/>
      <c r="IO313" s="22"/>
      <c r="IP313" s="22"/>
      <c r="IQ313" s="22"/>
      <c r="IR313" s="22"/>
      <c r="IS313" s="22"/>
      <c r="IT313" s="22"/>
      <c r="IU313" s="22"/>
      <c r="IV313" s="22"/>
      <c r="IW313" s="22"/>
      <c r="IX313" s="22"/>
      <c r="IY313" s="22"/>
      <c r="IZ313" s="22"/>
      <c r="JA313" s="22"/>
      <c r="JB313" s="22"/>
      <c r="JC313" s="22"/>
      <c r="JD313" s="22"/>
      <c r="JE313" s="22"/>
      <c r="JF313" s="22"/>
      <c r="JG313" s="22"/>
      <c r="JH313" s="22"/>
      <c r="JI313" s="22"/>
      <c r="JJ313" s="22"/>
      <c r="JK313" s="22"/>
      <c r="JL313" s="22"/>
      <c r="JM313" s="22"/>
      <c r="JN313" s="22"/>
      <c r="JO313" s="22"/>
      <c r="JP313" s="22"/>
      <c r="JQ313" s="22"/>
      <c r="JR313" s="22"/>
      <c r="JS313" s="22"/>
      <c r="JT313" s="22"/>
      <c r="JU313" s="22"/>
      <c r="JV313" s="22"/>
      <c r="JW313" s="22"/>
      <c r="JX313" s="22"/>
      <c r="JY313" s="22"/>
      <c r="JZ313" s="22"/>
      <c r="KA313" s="22"/>
      <c r="KB313" s="22"/>
      <c r="KC313" s="22"/>
      <c r="KD313" s="22"/>
      <c r="KE313" s="22"/>
      <c r="KF313" s="22"/>
      <c r="KG313" s="22"/>
      <c r="KH313" s="22"/>
      <c r="KI313" s="22"/>
      <c r="KJ313" s="22"/>
      <c r="KK313" s="22"/>
      <c r="KL313" s="22"/>
      <c r="KM313" s="22"/>
      <c r="KN313" s="22"/>
      <c r="KO313" s="22"/>
      <c r="KP313" s="22"/>
      <c r="KQ313" s="22"/>
      <c r="KR313" s="22"/>
      <c r="KS313" s="22"/>
      <c r="KT313" s="22"/>
      <c r="KU313" s="22"/>
      <c r="KV313" s="22"/>
      <c r="KW313" s="22"/>
      <c r="KX313" s="22"/>
      <c r="KY313" s="22"/>
      <c r="KZ313" s="22"/>
      <c r="LA313" s="22"/>
      <c r="LB313" s="22"/>
      <c r="LC313" s="22"/>
      <c r="LD313" s="22"/>
      <c r="LE313" s="22"/>
      <c r="LF313" s="22"/>
      <c r="LG313" s="22"/>
      <c r="LH313" s="22"/>
      <c r="LI313" s="22"/>
      <c r="LJ313" s="22"/>
      <c r="LK313" s="22"/>
      <c r="LL313" s="22"/>
      <c r="LM313" s="22"/>
      <c r="LN313" s="22"/>
      <c r="LO313" s="22"/>
      <c r="LP313" s="22"/>
      <c r="LQ313" s="22"/>
      <c r="LR313" s="22"/>
      <c r="LS313" s="22"/>
      <c r="LT313" s="22"/>
      <c r="LU313" s="22"/>
      <c r="LV313" s="22"/>
      <c r="LW313" s="22"/>
      <c r="LX313" s="22"/>
      <c r="LY313" s="22"/>
      <c r="LZ313" s="22"/>
      <c r="MA313" s="22"/>
      <c r="MB313" s="22"/>
      <c r="MC313" s="22"/>
      <c r="MD313" s="22"/>
      <c r="ME313" s="22"/>
      <c r="MF313" s="22"/>
      <c r="MG313" s="22"/>
      <c r="MH313" s="22"/>
      <c r="MI313" s="22"/>
      <c r="MJ313" s="22"/>
      <c r="MK313" s="22"/>
      <c r="ML313" s="22"/>
      <c r="MM313" s="22"/>
      <c r="MN313" s="22"/>
      <c r="MO313" s="22"/>
      <c r="MP313" s="22"/>
      <c r="MQ313" s="22"/>
      <c r="MR313" s="22"/>
      <c r="MS313" s="22"/>
      <c r="MT313" s="22"/>
      <c r="MU313" s="22"/>
      <c r="MV313" s="22"/>
      <c r="MW313" s="22"/>
      <c r="MX313" s="22"/>
      <c r="MY313" s="22"/>
      <c r="MZ313" s="22"/>
      <c r="NA313" s="22"/>
      <c r="NB313" s="22"/>
      <c r="NC313" s="22"/>
      <c r="ND313" s="22"/>
      <c r="NE313" s="22"/>
      <c r="NF313" s="22"/>
    </row>
    <row r="314" hidden="1" outlineLevel="1">
      <c r="A314" s="299"/>
      <c r="B314" s="299"/>
      <c r="C314" s="299"/>
      <c r="D314" s="292"/>
      <c r="E314" s="140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/>
      <c r="DX314" s="22"/>
      <c r="DY314" s="22"/>
      <c r="DZ314" s="22"/>
      <c r="EA314" s="22"/>
      <c r="EB314" s="22"/>
      <c r="EC314" s="22"/>
      <c r="ED314" s="22"/>
      <c r="EE314" s="22"/>
      <c r="EF314" s="22"/>
      <c r="EG314" s="22"/>
      <c r="EH314" s="22"/>
      <c r="EI314" s="22"/>
      <c r="EJ314" s="22"/>
      <c r="EK314" s="22"/>
      <c r="EL314" s="22"/>
      <c r="EM314" s="22"/>
      <c r="EN314" s="22"/>
      <c r="EO314" s="22"/>
      <c r="EP314" s="22"/>
      <c r="EQ314" s="22"/>
      <c r="ER314" s="22"/>
      <c r="ES314" s="22"/>
      <c r="ET314" s="22"/>
      <c r="EU314" s="22"/>
      <c r="EV314" s="22"/>
      <c r="EW314" s="22"/>
      <c r="EX314" s="22"/>
      <c r="EY314" s="22"/>
      <c r="EZ314" s="22"/>
      <c r="FA314" s="22"/>
      <c r="FB314" s="22"/>
      <c r="FC314" s="22"/>
      <c r="FD314" s="22"/>
      <c r="FE314" s="22"/>
      <c r="FF314" s="22"/>
      <c r="FG314" s="22"/>
      <c r="FH314" s="22"/>
      <c r="FI314" s="22"/>
      <c r="FJ314" s="22"/>
      <c r="FK314" s="22"/>
      <c r="FL314" s="22"/>
      <c r="FM314" s="22"/>
      <c r="FN314" s="22"/>
      <c r="FO314" s="22"/>
      <c r="FP314" s="22"/>
      <c r="FQ314" s="22"/>
      <c r="FR314" s="22"/>
      <c r="FS314" s="22"/>
      <c r="FT314" s="22"/>
      <c r="FU314" s="22"/>
      <c r="FV314" s="22"/>
      <c r="FW314" s="22"/>
      <c r="FX314" s="22"/>
      <c r="FY314" s="22"/>
      <c r="FZ314" s="22"/>
      <c r="GA314" s="22"/>
      <c r="GB314" s="22"/>
      <c r="GC314" s="22"/>
      <c r="GD314" s="22"/>
      <c r="GE314" s="22"/>
      <c r="GF314" s="22"/>
      <c r="GG314" s="22"/>
      <c r="GH314" s="22"/>
      <c r="GI314" s="22"/>
      <c r="GJ314" s="22"/>
      <c r="GK314" s="22"/>
      <c r="GL314" s="22"/>
      <c r="GM314" s="22"/>
      <c r="GN314" s="22"/>
      <c r="GO314" s="22"/>
      <c r="GP314" s="22"/>
      <c r="GQ314" s="22"/>
      <c r="GR314" s="22"/>
      <c r="GS314" s="22"/>
      <c r="GT314" s="22"/>
      <c r="GU314" s="22"/>
      <c r="GV314" s="22"/>
      <c r="GW314" s="22"/>
      <c r="GX314" s="22"/>
      <c r="GY314" s="22"/>
      <c r="GZ314" s="22"/>
      <c r="HA314" s="22"/>
      <c r="HB314" s="22"/>
      <c r="HC314" s="22"/>
      <c r="HD314" s="22"/>
      <c r="HE314" s="22"/>
      <c r="HF314" s="22"/>
      <c r="HG314" s="22"/>
      <c r="HH314" s="22"/>
      <c r="HI314" s="22"/>
      <c r="HJ314" s="22"/>
      <c r="HK314" s="22"/>
      <c r="HL314" s="22"/>
      <c r="HM314" s="22"/>
      <c r="HN314" s="22"/>
      <c r="HO314" s="22"/>
      <c r="HP314" s="22"/>
      <c r="HQ314" s="22"/>
      <c r="HR314" s="22"/>
      <c r="HS314" s="22"/>
      <c r="HT314" s="22"/>
      <c r="HU314" s="22"/>
      <c r="HV314" s="22"/>
      <c r="HW314" s="22"/>
      <c r="HX314" s="22"/>
      <c r="HY314" s="22"/>
      <c r="HZ314" s="22"/>
      <c r="IA314" s="22"/>
      <c r="IB314" s="22"/>
      <c r="IC314" s="22"/>
      <c r="ID314" s="22"/>
      <c r="IE314" s="22"/>
      <c r="IF314" s="22"/>
      <c r="IG314" s="22"/>
      <c r="IH314" s="22"/>
      <c r="II314" s="22"/>
      <c r="IJ314" s="22"/>
      <c r="IK314" s="22"/>
      <c r="IL314" s="22"/>
      <c r="IM314" s="22"/>
      <c r="IN314" s="22"/>
      <c r="IO314" s="22"/>
      <c r="IP314" s="22"/>
      <c r="IQ314" s="22"/>
      <c r="IR314" s="22"/>
      <c r="IS314" s="22"/>
      <c r="IT314" s="22"/>
      <c r="IU314" s="22"/>
      <c r="IV314" s="22"/>
      <c r="IW314" s="22"/>
      <c r="IX314" s="22"/>
      <c r="IY314" s="22"/>
      <c r="IZ314" s="22"/>
      <c r="JA314" s="22"/>
      <c r="JB314" s="22"/>
      <c r="JC314" s="22"/>
      <c r="JD314" s="22"/>
      <c r="JE314" s="22"/>
      <c r="JF314" s="22"/>
      <c r="JG314" s="22"/>
      <c r="JH314" s="22"/>
      <c r="JI314" s="22"/>
      <c r="JJ314" s="22"/>
      <c r="JK314" s="22"/>
      <c r="JL314" s="22"/>
      <c r="JM314" s="22"/>
      <c r="JN314" s="22"/>
      <c r="JO314" s="22"/>
      <c r="JP314" s="22"/>
      <c r="JQ314" s="22"/>
      <c r="JR314" s="22"/>
      <c r="JS314" s="22"/>
      <c r="JT314" s="22"/>
      <c r="JU314" s="22"/>
      <c r="JV314" s="22"/>
      <c r="JW314" s="22"/>
      <c r="JX314" s="22"/>
      <c r="JY314" s="22"/>
      <c r="JZ314" s="22"/>
      <c r="KA314" s="22"/>
      <c r="KB314" s="22"/>
      <c r="KC314" s="22"/>
      <c r="KD314" s="22"/>
      <c r="KE314" s="22"/>
      <c r="KF314" s="22"/>
      <c r="KG314" s="22"/>
      <c r="KH314" s="22"/>
      <c r="KI314" s="22"/>
      <c r="KJ314" s="22"/>
      <c r="KK314" s="22"/>
      <c r="KL314" s="22"/>
      <c r="KM314" s="22"/>
      <c r="KN314" s="22"/>
      <c r="KO314" s="22"/>
      <c r="KP314" s="22"/>
      <c r="KQ314" s="22"/>
      <c r="KR314" s="22"/>
      <c r="KS314" s="22"/>
      <c r="KT314" s="22"/>
      <c r="KU314" s="22"/>
      <c r="KV314" s="22"/>
      <c r="KW314" s="22"/>
      <c r="KX314" s="22"/>
      <c r="KY314" s="22"/>
      <c r="KZ314" s="22"/>
      <c r="LA314" s="22"/>
      <c r="LB314" s="22"/>
      <c r="LC314" s="22"/>
      <c r="LD314" s="22"/>
      <c r="LE314" s="22"/>
      <c r="LF314" s="22"/>
      <c r="LG314" s="22"/>
      <c r="LH314" s="22"/>
      <c r="LI314" s="22"/>
      <c r="LJ314" s="22"/>
      <c r="LK314" s="22"/>
      <c r="LL314" s="22"/>
      <c r="LM314" s="22"/>
      <c r="LN314" s="22"/>
      <c r="LO314" s="22"/>
      <c r="LP314" s="22"/>
      <c r="LQ314" s="22"/>
      <c r="LR314" s="22"/>
      <c r="LS314" s="22"/>
      <c r="LT314" s="22"/>
      <c r="LU314" s="22"/>
      <c r="LV314" s="22"/>
      <c r="LW314" s="22"/>
      <c r="LX314" s="22"/>
      <c r="LY314" s="22"/>
      <c r="LZ314" s="22"/>
      <c r="MA314" s="22"/>
      <c r="MB314" s="22"/>
      <c r="MC314" s="22"/>
      <c r="MD314" s="22"/>
      <c r="ME314" s="22"/>
      <c r="MF314" s="22"/>
      <c r="MG314" s="22"/>
      <c r="MH314" s="22"/>
      <c r="MI314" s="22"/>
      <c r="MJ314" s="22"/>
      <c r="MK314" s="22"/>
      <c r="ML314" s="22"/>
      <c r="MM314" s="22"/>
      <c r="MN314" s="22"/>
      <c r="MO314" s="22"/>
      <c r="MP314" s="22"/>
      <c r="MQ314" s="22"/>
      <c r="MR314" s="22"/>
      <c r="MS314" s="22"/>
      <c r="MT314" s="22"/>
      <c r="MU314" s="22"/>
      <c r="MV314" s="22"/>
      <c r="MW314" s="22"/>
      <c r="MX314" s="22"/>
      <c r="MY314" s="22"/>
      <c r="MZ314" s="22"/>
      <c r="NA314" s="22"/>
      <c r="NB314" s="22"/>
      <c r="NC314" s="22"/>
      <c r="ND314" s="22"/>
      <c r="NE314" s="22"/>
      <c r="NF314" s="22"/>
    </row>
    <row r="315">
      <c r="A315" s="143" t="s">
        <v>457</v>
      </c>
      <c r="B315" s="140"/>
      <c r="C315" s="140"/>
      <c r="D315" s="292"/>
      <c r="E315" s="140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  <c r="EB315" s="22"/>
      <c r="EC315" s="22"/>
      <c r="ED315" s="22"/>
      <c r="EE315" s="22"/>
      <c r="EF315" s="22"/>
      <c r="EG315" s="22"/>
      <c r="EH315" s="22"/>
      <c r="EI315" s="22"/>
      <c r="EJ315" s="22"/>
      <c r="EK315" s="22"/>
      <c r="EL315" s="22"/>
      <c r="EM315" s="22"/>
      <c r="EN315" s="22"/>
      <c r="EO315" s="22"/>
      <c r="EP315" s="22"/>
      <c r="EQ315" s="22"/>
      <c r="ER315" s="22"/>
      <c r="ES315" s="22"/>
      <c r="ET315" s="22"/>
      <c r="EU315" s="22"/>
      <c r="EV315" s="22"/>
      <c r="EW315" s="22"/>
      <c r="EX315" s="22"/>
      <c r="EY315" s="22"/>
      <c r="EZ315" s="22"/>
      <c r="FA315" s="22"/>
      <c r="FB315" s="22"/>
      <c r="FC315" s="22"/>
      <c r="FD315" s="22"/>
      <c r="FE315" s="22"/>
      <c r="FF315" s="22"/>
      <c r="FG315" s="22"/>
      <c r="FH315" s="22"/>
      <c r="FI315" s="22"/>
      <c r="FJ315" s="22"/>
      <c r="FK315" s="22"/>
      <c r="FL315" s="22"/>
      <c r="FM315" s="22"/>
      <c r="FN315" s="22"/>
      <c r="FO315" s="22"/>
      <c r="FP315" s="22"/>
      <c r="FQ315" s="22"/>
      <c r="FR315" s="22"/>
      <c r="FS315" s="22"/>
      <c r="FT315" s="22"/>
      <c r="FU315" s="22"/>
      <c r="FV315" s="22"/>
      <c r="FW315" s="22"/>
      <c r="FX315" s="22"/>
      <c r="FY315" s="22"/>
      <c r="FZ315" s="22"/>
      <c r="GA315" s="22"/>
      <c r="GB315" s="22"/>
      <c r="GC315" s="22"/>
      <c r="GD315" s="22"/>
      <c r="GE315" s="22"/>
      <c r="GF315" s="22"/>
      <c r="GG315" s="22"/>
      <c r="GH315" s="22"/>
      <c r="GI315" s="22"/>
      <c r="GJ315" s="22"/>
      <c r="GK315" s="22"/>
      <c r="GL315" s="22"/>
      <c r="GM315" s="22"/>
      <c r="GN315" s="22"/>
      <c r="GO315" s="22"/>
      <c r="GP315" s="22"/>
      <c r="GQ315" s="22"/>
      <c r="GR315" s="22"/>
      <c r="GS315" s="22"/>
      <c r="GT315" s="22"/>
      <c r="GU315" s="22"/>
      <c r="GV315" s="22"/>
      <c r="GW315" s="22"/>
      <c r="GX315" s="22"/>
      <c r="GY315" s="22"/>
      <c r="GZ315" s="22"/>
      <c r="HA315" s="22"/>
      <c r="HB315" s="22"/>
      <c r="HC315" s="22"/>
      <c r="HD315" s="22"/>
      <c r="HE315" s="22"/>
      <c r="HF315" s="22"/>
      <c r="HG315" s="22"/>
      <c r="HH315" s="22"/>
      <c r="HI315" s="22"/>
      <c r="HJ315" s="22"/>
      <c r="HK315" s="22"/>
      <c r="HL315" s="22"/>
      <c r="HM315" s="22"/>
      <c r="HN315" s="22"/>
      <c r="HO315" s="22"/>
      <c r="HP315" s="22"/>
      <c r="HQ315" s="22"/>
      <c r="HR315" s="22"/>
      <c r="HS315" s="22"/>
      <c r="HT315" s="22"/>
      <c r="HU315" s="22"/>
      <c r="HV315" s="22"/>
      <c r="HW315" s="22"/>
      <c r="HX315" s="22"/>
      <c r="HY315" s="22"/>
      <c r="HZ315" s="22"/>
      <c r="IA315" s="22"/>
      <c r="IB315" s="22"/>
      <c r="IC315" s="22"/>
      <c r="ID315" s="22"/>
      <c r="IE315" s="22"/>
      <c r="IF315" s="22"/>
      <c r="IG315" s="22"/>
      <c r="IH315" s="22"/>
      <c r="II315" s="22"/>
      <c r="IJ315" s="22"/>
      <c r="IK315" s="22"/>
      <c r="IL315" s="22"/>
      <c r="IM315" s="22"/>
      <c r="IN315" s="22"/>
      <c r="IO315" s="22"/>
      <c r="IP315" s="22"/>
      <c r="IQ315" s="22"/>
      <c r="IR315" s="22"/>
      <c r="IS315" s="22"/>
      <c r="IT315" s="22"/>
      <c r="IU315" s="22"/>
      <c r="IV315" s="22"/>
      <c r="IW315" s="22"/>
      <c r="IX315" s="22"/>
      <c r="IY315" s="22"/>
      <c r="IZ315" s="22"/>
      <c r="JA315" s="22"/>
      <c r="JB315" s="22"/>
      <c r="JC315" s="22"/>
      <c r="JD315" s="22"/>
      <c r="JE315" s="22"/>
      <c r="JF315" s="22"/>
      <c r="JG315" s="22"/>
      <c r="JH315" s="22"/>
      <c r="JI315" s="22"/>
      <c r="JJ315" s="22"/>
      <c r="JK315" s="22"/>
      <c r="JL315" s="22"/>
      <c r="JM315" s="22"/>
      <c r="JN315" s="22"/>
      <c r="JO315" s="22"/>
      <c r="JP315" s="22"/>
      <c r="JQ315" s="22"/>
      <c r="JR315" s="22"/>
      <c r="JS315" s="22"/>
      <c r="JT315" s="22"/>
      <c r="JU315" s="22"/>
      <c r="JV315" s="22"/>
      <c r="JW315" s="22"/>
      <c r="JX315" s="22"/>
      <c r="JY315" s="22"/>
      <c r="JZ315" s="22"/>
      <c r="KA315" s="22"/>
      <c r="KB315" s="22"/>
      <c r="KC315" s="22"/>
      <c r="KD315" s="22"/>
      <c r="KE315" s="22"/>
      <c r="KF315" s="22"/>
      <c r="KG315" s="22"/>
      <c r="KH315" s="22"/>
      <c r="KI315" s="22"/>
      <c r="KJ315" s="22"/>
      <c r="KK315" s="22"/>
      <c r="KL315" s="22"/>
      <c r="KM315" s="22"/>
      <c r="KN315" s="22"/>
      <c r="KO315" s="22"/>
      <c r="KP315" s="22"/>
      <c r="KQ315" s="22"/>
      <c r="KR315" s="22"/>
      <c r="KS315" s="22"/>
      <c r="KT315" s="22"/>
      <c r="KU315" s="22"/>
      <c r="KV315" s="22"/>
      <c r="KW315" s="22"/>
      <c r="KX315" s="22"/>
      <c r="KY315" s="22"/>
      <c r="KZ315" s="22"/>
      <c r="LA315" s="22"/>
      <c r="LB315" s="22"/>
      <c r="LC315" s="22"/>
      <c r="LD315" s="22"/>
      <c r="LE315" s="22"/>
      <c r="LF315" s="22"/>
      <c r="LG315" s="22"/>
      <c r="LH315" s="22"/>
      <c r="LI315" s="22"/>
      <c r="LJ315" s="22"/>
      <c r="LK315" s="22"/>
      <c r="LL315" s="22"/>
      <c r="LM315" s="22"/>
      <c r="LN315" s="22"/>
      <c r="LO315" s="22"/>
      <c r="LP315" s="22"/>
      <c r="LQ315" s="22"/>
      <c r="LR315" s="22"/>
      <c r="LS315" s="22"/>
      <c r="LT315" s="22"/>
      <c r="LU315" s="22"/>
      <c r="LV315" s="22"/>
      <c r="LW315" s="22"/>
      <c r="LX315" s="22"/>
      <c r="LY315" s="22"/>
      <c r="LZ315" s="22"/>
      <c r="MA315" s="22"/>
      <c r="MB315" s="22"/>
      <c r="MC315" s="22"/>
      <c r="MD315" s="22"/>
      <c r="ME315" s="22"/>
      <c r="MF315" s="22"/>
      <c r="MG315" s="22"/>
      <c r="MH315" s="22"/>
      <c r="MI315" s="22"/>
      <c r="MJ315" s="22"/>
      <c r="MK315" s="22"/>
      <c r="ML315" s="22"/>
      <c r="MM315" s="22"/>
      <c r="MN315" s="22"/>
      <c r="MO315" s="22"/>
      <c r="MP315" s="22"/>
      <c r="MQ315" s="22"/>
      <c r="MR315" s="22"/>
      <c r="MS315" s="22"/>
      <c r="MT315" s="22"/>
      <c r="MU315" s="22"/>
      <c r="MV315" s="22"/>
      <c r="MW315" s="22"/>
      <c r="MX315" s="22"/>
      <c r="MY315" s="22"/>
      <c r="MZ315" s="22"/>
      <c r="NA315" s="22"/>
      <c r="NB315" s="22"/>
      <c r="NC315" s="22"/>
      <c r="ND315" s="22"/>
      <c r="NE315" s="22"/>
      <c r="NF315" s="22"/>
    </row>
    <row r="316">
      <c r="A316" s="301"/>
      <c r="B316" s="301"/>
      <c r="C316" s="301"/>
      <c r="D316" s="302"/>
      <c r="E316" s="301"/>
      <c r="F316" s="303"/>
      <c r="G316" s="303"/>
      <c r="H316" s="303"/>
      <c r="I316" s="303"/>
      <c r="J316" s="303"/>
      <c r="K316" s="303"/>
      <c r="L316" s="303"/>
      <c r="M316" s="303"/>
      <c r="N316" s="303"/>
      <c r="O316" s="303"/>
      <c r="P316" s="303"/>
      <c r="Q316" s="303"/>
      <c r="R316" s="303"/>
      <c r="S316" s="303"/>
      <c r="T316" s="303"/>
      <c r="U316" s="303"/>
      <c r="V316" s="303"/>
      <c r="W316" s="303"/>
      <c r="X316" s="303"/>
      <c r="Y316" s="303"/>
      <c r="Z316" s="303"/>
      <c r="AA316" s="303"/>
      <c r="AB316" s="303"/>
      <c r="AC316" s="303"/>
      <c r="AD316" s="303"/>
      <c r="AE316" s="303"/>
      <c r="AF316" s="303"/>
      <c r="AG316" s="303"/>
      <c r="AH316" s="303"/>
      <c r="AI316" s="303"/>
      <c r="AJ316" s="303"/>
      <c r="AK316" s="303"/>
      <c r="AL316" s="303"/>
      <c r="AM316" s="303"/>
      <c r="AN316" s="303"/>
      <c r="AO316" s="303"/>
      <c r="AP316" s="303"/>
      <c r="AQ316" s="303"/>
      <c r="AR316" s="303"/>
      <c r="AS316" s="303"/>
      <c r="AT316" s="303"/>
      <c r="AU316" s="303"/>
      <c r="AV316" s="303"/>
      <c r="AW316" s="303"/>
      <c r="AX316" s="303"/>
      <c r="AY316" s="303"/>
      <c r="AZ316" s="303"/>
      <c r="BA316" s="303"/>
      <c r="BB316" s="303"/>
      <c r="BC316" s="303"/>
      <c r="BD316" s="303"/>
      <c r="BE316" s="303"/>
      <c r="BF316" s="303"/>
      <c r="BG316" s="303"/>
      <c r="BH316" s="303"/>
      <c r="BI316" s="303"/>
      <c r="BJ316" s="303"/>
      <c r="BK316" s="303"/>
      <c r="BL316" s="303"/>
      <c r="BM316" s="303"/>
      <c r="BN316" s="303"/>
      <c r="BO316" s="303"/>
      <c r="BP316" s="303"/>
      <c r="BQ316" s="303"/>
      <c r="BR316" s="303"/>
      <c r="BS316" s="303"/>
      <c r="BT316" s="303"/>
      <c r="BU316" s="303"/>
      <c r="BV316" s="303"/>
      <c r="BW316" s="303"/>
      <c r="BX316" s="303"/>
      <c r="BY316" s="303"/>
      <c r="BZ316" s="303"/>
      <c r="CA316" s="303"/>
      <c r="CB316" s="303"/>
      <c r="CC316" s="303"/>
      <c r="CD316" s="303"/>
      <c r="CE316" s="303"/>
      <c r="CF316" s="303"/>
      <c r="CG316" s="303"/>
      <c r="CH316" s="303"/>
      <c r="CI316" s="303"/>
      <c r="CJ316" s="303"/>
      <c r="CK316" s="303"/>
      <c r="CL316" s="303"/>
      <c r="CM316" s="303"/>
      <c r="CN316" s="303"/>
      <c r="CO316" s="303"/>
      <c r="CP316" s="303"/>
      <c r="CQ316" s="303"/>
      <c r="CR316" s="303"/>
      <c r="CS316" s="303"/>
      <c r="CT316" s="303"/>
      <c r="CU316" s="303"/>
      <c r="CV316" s="303"/>
      <c r="CW316" s="303"/>
      <c r="CX316" s="303"/>
      <c r="CY316" s="303"/>
      <c r="CZ316" s="303"/>
      <c r="DA316" s="303"/>
      <c r="DB316" s="303"/>
      <c r="DC316" s="303"/>
      <c r="DD316" s="303"/>
      <c r="DE316" s="303"/>
      <c r="DF316" s="303"/>
      <c r="DG316" s="303"/>
      <c r="DH316" s="303"/>
      <c r="DI316" s="303"/>
      <c r="DJ316" s="303"/>
      <c r="DK316" s="303"/>
      <c r="DL316" s="303"/>
      <c r="DM316" s="303"/>
      <c r="DN316" s="303"/>
      <c r="DO316" s="303"/>
      <c r="DP316" s="303"/>
      <c r="DQ316" s="303"/>
      <c r="DR316" s="303"/>
      <c r="DS316" s="303"/>
      <c r="DT316" s="303"/>
      <c r="DU316" s="303"/>
      <c r="DV316" s="303"/>
      <c r="DW316" s="303"/>
      <c r="DX316" s="303"/>
      <c r="DY316" s="303"/>
      <c r="DZ316" s="303"/>
      <c r="EA316" s="303"/>
      <c r="EB316" s="303"/>
      <c r="EC316" s="303"/>
      <c r="ED316" s="303"/>
      <c r="EE316" s="303"/>
      <c r="EF316" s="303"/>
      <c r="EG316" s="303"/>
      <c r="EH316" s="303"/>
      <c r="EI316" s="303"/>
      <c r="EJ316" s="303"/>
      <c r="EK316" s="303"/>
      <c r="EL316" s="303"/>
      <c r="EM316" s="303"/>
      <c r="EN316" s="303"/>
      <c r="EO316" s="303"/>
      <c r="EP316" s="303"/>
      <c r="EQ316" s="303"/>
      <c r="ER316" s="303"/>
      <c r="ES316" s="303"/>
      <c r="ET316" s="303"/>
      <c r="EU316" s="303"/>
      <c r="EV316" s="303"/>
      <c r="EW316" s="303"/>
      <c r="EX316" s="303"/>
      <c r="EY316" s="303"/>
      <c r="EZ316" s="303"/>
      <c r="FA316" s="303"/>
      <c r="FB316" s="303"/>
      <c r="FC316" s="303"/>
      <c r="FD316" s="303"/>
      <c r="FE316" s="303"/>
      <c r="FF316" s="303"/>
      <c r="FG316" s="303"/>
      <c r="FH316" s="303"/>
      <c r="FI316" s="303"/>
      <c r="FJ316" s="303"/>
      <c r="FK316" s="303"/>
      <c r="FL316" s="303"/>
      <c r="FM316" s="303"/>
      <c r="FN316" s="303"/>
      <c r="FO316" s="303"/>
      <c r="FP316" s="303"/>
      <c r="FQ316" s="303"/>
      <c r="FR316" s="303"/>
      <c r="FS316" s="303"/>
      <c r="FT316" s="303"/>
      <c r="FU316" s="303"/>
      <c r="FV316" s="303"/>
      <c r="FW316" s="303"/>
      <c r="FX316" s="303"/>
      <c r="FY316" s="303"/>
      <c r="FZ316" s="303"/>
      <c r="GA316" s="303"/>
      <c r="GB316" s="303"/>
      <c r="GC316" s="303"/>
      <c r="GD316" s="303"/>
      <c r="GE316" s="303"/>
      <c r="GF316" s="303"/>
      <c r="GG316" s="303"/>
      <c r="GH316" s="303"/>
      <c r="GI316" s="303"/>
      <c r="GJ316" s="303"/>
      <c r="GK316" s="303"/>
      <c r="GL316" s="303"/>
      <c r="GM316" s="303"/>
      <c r="GN316" s="303"/>
      <c r="GO316" s="303"/>
      <c r="GP316" s="303"/>
      <c r="GQ316" s="303"/>
      <c r="GR316" s="303"/>
      <c r="GS316" s="303"/>
      <c r="GT316" s="303"/>
      <c r="GU316" s="303"/>
      <c r="GV316" s="303"/>
      <c r="GW316" s="303"/>
      <c r="GX316" s="303"/>
      <c r="GY316" s="303"/>
      <c r="GZ316" s="303"/>
      <c r="HA316" s="303"/>
      <c r="HB316" s="303"/>
      <c r="HC316" s="303"/>
      <c r="HD316" s="303"/>
      <c r="HE316" s="303"/>
      <c r="HF316" s="303"/>
      <c r="HG316" s="303"/>
      <c r="HH316" s="303"/>
      <c r="HI316" s="303"/>
      <c r="HJ316" s="303"/>
      <c r="HK316" s="303"/>
      <c r="HL316" s="303"/>
      <c r="HM316" s="303"/>
      <c r="HN316" s="303"/>
      <c r="HO316" s="303"/>
      <c r="HP316" s="303"/>
      <c r="HQ316" s="303"/>
      <c r="HR316" s="303"/>
      <c r="HS316" s="303"/>
      <c r="HT316" s="303"/>
      <c r="HU316" s="303"/>
      <c r="HV316" s="303"/>
      <c r="HW316" s="303"/>
      <c r="HX316" s="303"/>
      <c r="HY316" s="303"/>
      <c r="HZ316" s="303"/>
      <c r="IA316" s="303"/>
      <c r="IB316" s="303"/>
      <c r="IC316" s="303"/>
      <c r="ID316" s="303"/>
      <c r="IE316" s="303"/>
      <c r="IF316" s="303"/>
      <c r="IG316" s="303"/>
      <c r="IH316" s="303"/>
      <c r="II316" s="303"/>
      <c r="IJ316" s="303"/>
      <c r="IK316" s="303"/>
      <c r="IL316" s="303"/>
      <c r="IM316" s="303"/>
      <c r="IN316" s="303"/>
      <c r="IO316" s="303"/>
      <c r="IP316" s="303"/>
      <c r="IQ316" s="303"/>
      <c r="IR316" s="303"/>
      <c r="IS316" s="303"/>
      <c r="IT316" s="303"/>
      <c r="IU316" s="303"/>
      <c r="IV316" s="303"/>
      <c r="IW316" s="303"/>
      <c r="IX316" s="303"/>
      <c r="IY316" s="303"/>
      <c r="IZ316" s="303"/>
      <c r="JA316" s="303"/>
      <c r="JB316" s="303"/>
      <c r="JC316" s="303"/>
      <c r="JD316" s="303"/>
      <c r="JE316" s="303"/>
      <c r="JF316" s="303"/>
      <c r="JG316" s="303"/>
      <c r="JH316" s="303"/>
      <c r="JI316" s="303"/>
      <c r="JJ316" s="303"/>
      <c r="JK316" s="303"/>
      <c r="JL316" s="303"/>
      <c r="JM316" s="303"/>
      <c r="JN316" s="303"/>
      <c r="JO316" s="303"/>
      <c r="JP316" s="303"/>
      <c r="JQ316" s="303"/>
      <c r="JR316" s="303"/>
      <c r="JS316" s="303"/>
      <c r="JT316" s="303"/>
      <c r="JU316" s="303"/>
      <c r="JV316" s="303"/>
      <c r="JW316" s="303"/>
      <c r="JX316" s="303"/>
      <c r="JY316" s="303"/>
      <c r="JZ316" s="303"/>
      <c r="KA316" s="303"/>
      <c r="KB316" s="303"/>
      <c r="KC316" s="303"/>
      <c r="KD316" s="303"/>
      <c r="KE316" s="303"/>
      <c r="KF316" s="303"/>
      <c r="KG316" s="303"/>
      <c r="KH316" s="303"/>
      <c r="KI316" s="303"/>
      <c r="KJ316" s="303"/>
      <c r="KK316" s="303"/>
      <c r="KL316" s="303"/>
      <c r="KM316" s="303"/>
      <c r="KN316" s="303"/>
      <c r="KO316" s="303"/>
      <c r="KP316" s="303"/>
      <c r="KQ316" s="303"/>
      <c r="KR316" s="303"/>
      <c r="KS316" s="303"/>
      <c r="KT316" s="303"/>
      <c r="KU316" s="303"/>
      <c r="KV316" s="303"/>
      <c r="KW316" s="303"/>
      <c r="KX316" s="303"/>
      <c r="KY316" s="303"/>
      <c r="KZ316" s="303"/>
      <c r="LA316" s="303"/>
      <c r="LB316" s="303"/>
      <c r="LC316" s="303"/>
      <c r="LD316" s="303"/>
      <c r="LE316" s="303"/>
      <c r="LF316" s="303"/>
      <c r="LG316" s="303"/>
      <c r="LH316" s="303"/>
      <c r="LI316" s="303"/>
      <c r="LJ316" s="303"/>
      <c r="LK316" s="303"/>
      <c r="LL316" s="303"/>
      <c r="LM316" s="303"/>
      <c r="LN316" s="303"/>
      <c r="LO316" s="303"/>
      <c r="LP316" s="303"/>
      <c r="LQ316" s="303"/>
      <c r="LR316" s="303"/>
      <c r="LS316" s="303"/>
      <c r="LT316" s="303"/>
      <c r="LU316" s="303"/>
      <c r="LV316" s="303"/>
      <c r="LW316" s="303"/>
      <c r="LX316" s="303"/>
      <c r="LY316" s="303"/>
      <c r="LZ316" s="303"/>
      <c r="MA316" s="303"/>
      <c r="MB316" s="303"/>
      <c r="MC316" s="303"/>
      <c r="MD316" s="303"/>
      <c r="ME316" s="303"/>
      <c r="MF316" s="303"/>
      <c r="MG316" s="303"/>
      <c r="MH316" s="303"/>
      <c r="MI316" s="303"/>
      <c r="MJ316" s="303"/>
      <c r="MK316" s="303"/>
      <c r="ML316" s="303"/>
      <c r="MM316" s="303"/>
      <c r="MN316" s="303"/>
      <c r="MO316" s="303"/>
      <c r="MP316" s="303"/>
      <c r="MQ316" s="303"/>
      <c r="MR316" s="303"/>
      <c r="MS316" s="303"/>
      <c r="MT316" s="303"/>
      <c r="MU316" s="303"/>
      <c r="MV316" s="303"/>
      <c r="MW316" s="303"/>
      <c r="MX316" s="303"/>
      <c r="MY316" s="303"/>
      <c r="MZ316" s="303"/>
      <c r="NA316" s="303"/>
      <c r="NB316" s="303"/>
      <c r="NC316" s="303"/>
      <c r="ND316" s="303"/>
      <c r="NE316" s="303"/>
      <c r="NF316" s="303"/>
    </row>
  </sheetData>
  <customSheetViews>
    <customSheetView guid="{92AA7D3B-5D19-4974-BB09-5B6B38E6ABC9}" filter="1" showAutoFilter="1">
      <autoFilter ref="$A$31:$E$292"/>
    </customSheetView>
  </customSheetViews>
  <mergeCells count="12">
    <mergeCell ref="HJ28:IN28"/>
    <mergeCell ref="IO28:JR28"/>
    <mergeCell ref="JS28:KW28"/>
    <mergeCell ref="KX28:MA28"/>
    <mergeCell ref="MB28:NF28"/>
    <mergeCell ref="F28:AJ28"/>
    <mergeCell ref="AK28:BL28"/>
    <mergeCell ref="BM28:CQ28"/>
    <mergeCell ref="CR28:DU28"/>
    <mergeCell ref="DV28:EZ28"/>
    <mergeCell ref="FA28:GD28"/>
    <mergeCell ref="GE28:HI28"/>
  </mergeCells>
  <conditionalFormatting sqref="F30:NF316">
    <cfRule type="expression" dxfId="16" priority="1">
      <formula>F$31=$C30</formula>
    </cfRule>
  </conditionalFormatting>
  <conditionalFormatting sqref="F30:NF316">
    <cfRule type="expression" dxfId="17" priority="2">
      <formula>match(F$30,$B$5:$B$27,0)&gt;=1</formula>
    </cfRule>
  </conditionalFormatting>
  <conditionalFormatting sqref="F30:NF316">
    <cfRule type="expression" dxfId="18" priority="3">
      <formula>WEEKDAY(F$30)=7</formula>
    </cfRule>
  </conditionalFormatting>
  <conditionalFormatting sqref="F30:NF316">
    <cfRule type="expression" dxfId="19" priority="4">
      <formula>WEEKDAY(F$30)=1</formula>
    </cfRule>
  </conditionalFormatting>
  <conditionalFormatting sqref="F30:NF316">
    <cfRule type="expression" dxfId="20" priority="5">
      <formula>(IF((F$31=TODAY()),1,2)=1)</formula>
    </cfRule>
  </conditionalFormatting>
  <conditionalFormatting sqref="F30:NF316">
    <cfRule type="expression" dxfId="21" priority="6">
      <formula>match(F$30,$A$300:$A$314,0)&gt;=1</formula>
    </cfRule>
  </conditionalFormatting>
  <conditionalFormatting sqref="F30:NF316">
    <cfRule type="expression" dxfId="22" priority="7">
      <formula>match(F$30,$B$300:$B$314,0)&gt;=1</formula>
    </cfRule>
  </conditionalFormatting>
  <conditionalFormatting sqref="F30:NF316">
    <cfRule type="expression" dxfId="3" priority="8">
      <formula>match(F$30,$C$300:$C$314,0)&gt;=1</formula>
    </cfRule>
  </conditionalFormatting>
  <conditionalFormatting sqref="A32:E316">
    <cfRule type="expression" dxfId="23" priority="9">
      <formula>$E32="예정"</formula>
    </cfRule>
  </conditionalFormatting>
  <conditionalFormatting sqref="A32:E316">
    <cfRule type="expression" dxfId="24" priority="10">
      <formula>$E32="보류"</formula>
    </cfRule>
  </conditionalFormatting>
  <conditionalFormatting sqref="A32:E316">
    <cfRule type="expression" dxfId="25" priority="11">
      <formula>$E32="진행"</formula>
    </cfRule>
  </conditionalFormatting>
  <conditionalFormatting sqref="A32:E316">
    <cfRule type="expression" dxfId="26" priority="12">
      <formula>$E32="검수요청"</formula>
    </cfRule>
  </conditionalFormatting>
  <conditionalFormatting sqref="A32:E316">
    <cfRule type="expression" dxfId="27" priority="13">
      <formula>$E32="반영대기"</formula>
    </cfRule>
  </conditionalFormatting>
  <conditionalFormatting sqref="A32:E316">
    <cfRule type="expression" dxfId="28" priority="14">
      <formula>$E32="완료"</formula>
    </cfRule>
  </conditionalFormatting>
  <dataValidations>
    <dataValidation type="list" allowBlank="1" sqref="E32:E291">
      <formula1>'구분'!$H$2:$H$11</formula1>
    </dataValidation>
  </dataValidations>
  <hyperlinks>
    <hyperlink r:id="rId2" ref="B32"/>
    <hyperlink r:id="rId3" ref="B34"/>
    <hyperlink r:id="rId4" ref="B35"/>
    <hyperlink r:id="rId5" ref="B36"/>
    <hyperlink r:id="rId6" ref="B37"/>
    <hyperlink r:id="rId7" ref="B38"/>
    <hyperlink r:id="rId8" ref="B39"/>
    <hyperlink r:id="rId9" ref="B41"/>
    <hyperlink r:id="rId10" ref="B42"/>
    <hyperlink r:id="rId11" ref="B105"/>
    <hyperlink r:id="rId12" ref="B175"/>
    <hyperlink r:id="rId13" ref="D176"/>
    <hyperlink r:id="rId14" ref="D177"/>
    <hyperlink r:id="rId15" ref="D178"/>
    <hyperlink r:id="rId16" ref="D179"/>
    <hyperlink r:id="rId17" ref="D180"/>
    <hyperlink r:id="rId18" ref="D181"/>
    <hyperlink r:id="rId19" ref="D182"/>
    <hyperlink r:id="rId20" ref="D183"/>
    <hyperlink r:id="rId21" ref="D184"/>
    <hyperlink r:id="rId22" ref="D185"/>
    <hyperlink r:id="rId23" ref="D186"/>
    <hyperlink r:id="rId24" ref="D187"/>
    <hyperlink r:id="rId25" ref="D188"/>
    <hyperlink r:id="rId26" ref="D189"/>
    <hyperlink r:id="rId27" ref="D190"/>
    <hyperlink r:id="rId28" ref="D191"/>
    <hyperlink r:id="rId29" ref="D192"/>
    <hyperlink r:id="rId30" ref="D193"/>
    <hyperlink r:id="rId31" ref="D194"/>
    <hyperlink r:id="rId32" ref="D195"/>
    <hyperlink r:id="rId33" ref="D196"/>
    <hyperlink r:id="rId34" ref="D198"/>
    <hyperlink r:id="rId35" ref="D199"/>
    <hyperlink r:id="rId36" ref="D200"/>
    <hyperlink r:id="rId37" ref="D201"/>
    <hyperlink r:id="rId38" ref="D202"/>
    <hyperlink r:id="rId39" ref="D203"/>
    <hyperlink r:id="rId40" ref="D204"/>
    <hyperlink r:id="rId41" ref="D205"/>
    <hyperlink r:id="rId42" ref="D206"/>
    <hyperlink r:id="rId43" ref="D207"/>
    <hyperlink r:id="rId44" ref="D208"/>
    <hyperlink r:id="rId45" ref="D209"/>
    <hyperlink r:id="rId46" ref="D210"/>
    <hyperlink r:id="rId47" ref="D211"/>
    <hyperlink r:id="rId48" ref="D212"/>
    <hyperlink r:id="rId49" ref="D213"/>
    <hyperlink r:id="rId50" ref="D214"/>
    <hyperlink r:id="rId51" ref="D215"/>
    <hyperlink r:id="rId52" ref="D216"/>
    <hyperlink r:id="rId53" ref="D217"/>
    <hyperlink r:id="rId54" ref="D218"/>
    <hyperlink r:id="rId55" ref="D219"/>
    <hyperlink r:id="rId56" ref="D220"/>
    <hyperlink r:id="rId57" ref="D221"/>
    <hyperlink r:id="rId58" ref="D222"/>
    <hyperlink r:id="rId59" ref="D223"/>
    <hyperlink r:id="rId60" ref="D224"/>
    <hyperlink r:id="rId61" ref="D225"/>
    <hyperlink r:id="rId62" ref="D226"/>
    <hyperlink r:id="rId63" ref="D227"/>
    <hyperlink r:id="rId64" ref="D228"/>
    <hyperlink r:id="rId65" ref="D229"/>
    <hyperlink r:id="rId66" ref="D230"/>
    <hyperlink r:id="rId67" ref="D231"/>
    <hyperlink r:id="rId68" ref="D232"/>
    <hyperlink r:id="rId69" ref="D233"/>
    <hyperlink r:id="rId70" ref="D234"/>
    <hyperlink r:id="rId71" ref="D235"/>
    <hyperlink r:id="rId72" ref="D236"/>
    <hyperlink r:id="rId73" ref="D237"/>
    <hyperlink r:id="rId74" ref="D238"/>
    <hyperlink r:id="rId75" ref="D239"/>
    <hyperlink r:id="rId76" ref="D240"/>
    <hyperlink r:id="rId77" ref="D241"/>
    <hyperlink r:id="rId78" ref="D242"/>
    <hyperlink r:id="rId79" ref="D243"/>
    <hyperlink r:id="rId80" ref="D244"/>
    <hyperlink r:id="rId81" ref="D245"/>
    <hyperlink r:id="rId82" ref="D246"/>
    <hyperlink r:id="rId83" ref="D247"/>
    <hyperlink r:id="rId84" ref="D248"/>
    <hyperlink r:id="rId85" ref="D249"/>
    <hyperlink r:id="rId86" ref="D250"/>
    <hyperlink r:id="rId87" ref="D251"/>
    <hyperlink r:id="rId88" ref="D252"/>
    <hyperlink r:id="rId89" ref="D253"/>
    <hyperlink r:id="rId90" ref="D254"/>
    <hyperlink r:id="rId91" ref="D255"/>
    <hyperlink r:id="rId92" ref="D256"/>
    <hyperlink r:id="rId93" ref="D257"/>
    <hyperlink r:id="rId94" ref="D258"/>
    <hyperlink r:id="rId95" ref="D259"/>
    <hyperlink r:id="rId96" ref="D260"/>
    <hyperlink r:id="rId97" ref="D261"/>
    <hyperlink r:id="rId98" ref="D262"/>
    <hyperlink r:id="rId99" ref="D263"/>
    <hyperlink r:id="rId100" ref="D264"/>
    <hyperlink r:id="rId101" ref="D265"/>
    <hyperlink r:id="rId102" ref="D266"/>
    <hyperlink r:id="rId103" ref="D267"/>
    <hyperlink r:id="rId104" ref="D268"/>
  </hyperlinks>
  <drawing r:id="rId105"/>
  <legacyDrawing r:id="rId106"/>
  <tableParts count="1">
    <tablePart r:id="rId10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1.38"/>
    <col customWidth="1" min="3" max="3" width="59.0"/>
  </cols>
  <sheetData>
    <row r="1">
      <c r="A1" s="1">
        <v>1.0</v>
      </c>
      <c r="B1" s="1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1" t="s">
        <v>10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3" t="s">
        <v>15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1" t="s">
        <v>17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2.0</v>
      </c>
      <c r="B5" s="1" t="s">
        <v>24</v>
      </c>
      <c r="C5" s="3" t="s">
        <v>26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3.0</v>
      </c>
      <c r="B7" s="1" t="s">
        <v>36</v>
      </c>
      <c r="C7" s="3" t="s">
        <v>38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1.75"/>
    <col customWidth="1" min="2" max="2" width="46.5"/>
    <col customWidth="1" min="3" max="3" width="55.5"/>
    <col customWidth="1" min="4" max="4" width="42.0"/>
  </cols>
  <sheetData>
    <row r="1">
      <c r="A1" s="89" t="s">
        <v>113</v>
      </c>
    </row>
    <row r="2">
      <c r="A2" s="90" t="s">
        <v>115</v>
      </c>
      <c r="B2" s="91"/>
      <c r="C2" s="91"/>
      <c r="D2" s="91"/>
      <c r="E2" s="92"/>
      <c r="F2" s="92"/>
      <c r="G2" s="92"/>
    </row>
    <row r="3">
      <c r="A3" s="93" t="s">
        <v>116</v>
      </c>
      <c r="B3" s="93" t="s">
        <v>117</v>
      </c>
      <c r="C3" s="93" t="s">
        <v>118</v>
      </c>
      <c r="D3" s="93" t="s">
        <v>119</v>
      </c>
      <c r="E3" s="93" t="s">
        <v>120</v>
      </c>
      <c r="F3" s="94"/>
      <c r="G3" s="93" t="s">
        <v>121</v>
      </c>
    </row>
    <row r="4">
      <c r="A4" s="95" t="s">
        <v>122</v>
      </c>
      <c r="B4" s="95" t="s">
        <v>123</v>
      </c>
      <c r="C4" s="95" t="s">
        <v>124</v>
      </c>
      <c r="D4" s="95" t="s">
        <v>125</v>
      </c>
      <c r="E4" s="96">
        <v>46325.0</v>
      </c>
      <c r="F4" s="97" t="s">
        <v>126</v>
      </c>
      <c r="G4" s="97">
        <v>30.0</v>
      </c>
    </row>
    <row r="5">
      <c r="A5" s="95" t="s">
        <v>127</v>
      </c>
      <c r="B5" s="95" t="s">
        <v>128</v>
      </c>
      <c r="C5" s="95" t="s">
        <v>129</v>
      </c>
      <c r="D5" s="95" t="s">
        <v>130</v>
      </c>
      <c r="E5" s="96">
        <v>46325.0</v>
      </c>
      <c r="F5" s="97" t="s">
        <v>131</v>
      </c>
      <c r="G5" s="97">
        <v>20.0</v>
      </c>
    </row>
    <row r="6">
      <c r="A6" s="95" t="s">
        <v>132</v>
      </c>
      <c r="B6" s="95" t="s">
        <v>133</v>
      </c>
      <c r="C6" s="95" t="s">
        <v>134</v>
      </c>
      <c r="D6" s="95" t="s">
        <v>135</v>
      </c>
      <c r="E6" s="96">
        <v>46325.0</v>
      </c>
      <c r="F6" s="97" t="s">
        <v>131</v>
      </c>
      <c r="G6" s="97">
        <v>20.0</v>
      </c>
    </row>
    <row r="7">
      <c r="A7" s="95" t="s">
        <v>136</v>
      </c>
      <c r="B7" s="95" t="s">
        <v>137</v>
      </c>
      <c r="C7" s="95" t="s">
        <v>138</v>
      </c>
      <c r="D7" s="95" t="s">
        <v>139</v>
      </c>
      <c r="E7" s="96">
        <v>46325.0</v>
      </c>
      <c r="F7" s="97" t="s">
        <v>131</v>
      </c>
      <c r="G7" s="97">
        <v>15.0</v>
      </c>
    </row>
    <row r="8">
      <c r="A8" s="98" t="s">
        <v>140</v>
      </c>
      <c r="B8" s="98" t="s">
        <v>141</v>
      </c>
      <c r="C8" s="98" t="s">
        <v>142</v>
      </c>
      <c r="D8" s="98" t="s">
        <v>143</v>
      </c>
      <c r="E8" s="99" t="s">
        <v>144</v>
      </c>
      <c r="F8" s="100" t="s">
        <v>131</v>
      </c>
      <c r="G8" s="100">
        <v>15.0</v>
      </c>
    </row>
    <row r="28">
      <c r="A28" s="90" t="s">
        <v>145</v>
      </c>
      <c r="B28" s="91"/>
      <c r="C28" s="91"/>
      <c r="D28" s="91"/>
      <c r="E28" s="92"/>
      <c r="F28" s="92"/>
    </row>
    <row r="29">
      <c r="A29" s="93" t="s">
        <v>116</v>
      </c>
      <c r="B29" s="93" t="s">
        <v>117</v>
      </c>
      <c r="C29" s="93" t="s">
        <v>118</v>
      </c>
      <c r="D29" s="93" t="s">
        <v>119</v>
      </c>
      <c r="E29" s="93" t="s">
        <v>120</v>
      </c>
      <c r="F29" s="93" t="s">
        <v>121</v>
      </c>
    </row>
    <row r="30">
      <c r="A30" s="101" t="s">
        <v>122</v>
      </c>
      <c r="B30" s="101" t="s">
        <v>146</v>
      </c>
      <c r="C30" s="101" t="s">
        <v>147</v>
      </c>
      <c r="D30" s="101" t="s">
        <v>148</v>
      </c>
      <c r="E30" s="102">
        <v>46325.0</v>
      </c>
      <c r="F30" s="103">
        <v>30.0</v>
      </c>
    </row>
    <row r="31">
      <c r="A31" s="101" t="s">
        <v>149</v>
      </c>
      <c r="B31" s="101" t="s">
        <v>128</v>
      </c>
      <c r="C31" s="101" t="s">
        <v>129</v>
      </c>
      <c r="D31" s="101" t="s">
        <v>130</v>
      </c>
      <c r="E31" s="102">
        <v>46325.0</v>
      </c>
      <c r="F31" s="103">
        <v>20.0</v>
      </c>
    </row>
    <row r="32">
      <c r="A32" s="101" t="s">
        <v>132</v>
      </c>
      <c r="B32" s="101" t="s">
        <v>133</v>
      </c>
      <c r="C32" s="101" t="s">
        <v>134</v>
      </c>
      <c r="D32" s="101" t="s">
        <v>135</v>
      </c>
      <c r="E32" s="102">
        <v>46325.0</v>
      </c>
      <c r="F32" s="103">
        <v>20.0</v>
      </c>
    </row>
    <row r="33">
      <c r="A33" s="101" t="s">
        <v>150</v>
      </c>
      <c r="B33" s="101" t="s">
        <v>151</v>
      </c>
      <c r="C33" s="101" t="s">
        <v>138</v>
      </c>
      <c r="D33" s="101" t="s">
        <v>152</v>
      </c>
      <c r="E33" s="102">
        <v>46325.0</v>
      </c>
      <c r="F33" s="103">
        <v>15.0</v>
      </c>
    </row>
    <row r="34">
      <c r="A34" s="104" t="s">
        <v>140</v>
      </c>
      <c r="B34" s="104" t="s">
        <v>141</v>
      </c>
      <c r="C34" s="104" t="s">
        <v>153</v>
      </c>
      <c r="D34" s="104" t="s">
        <v>143</v>
      </c>
      <c r="E34" s="106" t="s">
        <v>144</v>
      </c>
      <c r="F34" s="106">
        <v>0.15</v>
      </c>
    </row>
    <row r="38">
      <c r="A38" s="93" t="s">
        <v>116</v>
      </c>
      <c r="B38" s="93" t="s">
        <v>117</v>
      </c>
      <c r="C38" s="93" t="s">
        <v>118</v>
      </c>
      <c r="D38" s="93" t="s">
        <v>119</v>
      </c>
    </row>
    <row r="39">
      <c r="A39" s="95" t="s">
        <v>122</v>
      </c>
      <c r="B39" s="95" t="s">
        <v>123</v>
      </c>
      <c r="C39" s="95" t="s">
        <v>124</v>
      </c>
      <c r="D39" s="95" t="s">
        <v>125</v>
      </c>
    </row>
    <row r="40">
      <c r="A40" s="107" t="s">
        <v>154</v>
      </c>
      <c r="B40" s="95" t="s">
        <v>128</v>
      </c>
      <c r="C40" s="95" t="s">
        <v>129</v>
      </c>
      <c r="D40" s="95" t="s">
        <v>130</v>
      </c>
    </row>
    <row r="41">
      <c r="A41" s="107" t="s">
        <v>155</v>
      </c>
      <c r="B41" s="95" t="s">
        <v>133</v>
      </c>
      <c r="C41" s="95" t="s">
        <v>134</v>
      </c>
      <c r="D41" s="95" t="s">
        <v>135</v>
      </c>
    </row>
    <row r="42">
      <c r="A42" s="95" t="s">
        <v>150</v>
      </c>
      <c r="B42" s="95" t="s">
        <v>151</v>
      </c>
      <c r="C42" s="95" t="s">
        <v>138</v>
      </c>
      <c r="D42" s="95" t="s">
        <v>139</v>
      </c>
    </row>
    <row r="43">
      <c r="A43" s="98" t="s">
        <v>140</v>
      </c>
      <c r="B43" s="98" t="s">
        <v>141</v>
      </c>
      <c r="C43" s="98" t="s">
        <v>153</v>
      </c>
      <c r="D43" s="98" t="s">
        <v>143</v>
      </c>
    </row>
    <row r="49">
      <c r="A49" s="90" t="s">
        <v>156</v>
      </c>
      <c r="B49" s="91"/>
      <c r="C49" s="91"/>
      <c r="D49" s="91"/>
      <c r="E49" s="92"/>
      <c r="F49" s="92"/>
      <c r="G49" s="92"/>
    </row>
    <row r="50">
      <c r="A50" s="93" t="s">
        <v>116</v>
      </c>
      <c r="B50" s="93" t="s">
        <v>117</v>
      </c>
      <c r="C50" s="93" t="s">
        <v>118</v>
      </c>
      <c r="D50" s="93" t="s">
        <v>119</v>
      </c>
      <c r="E50" s="93" t="s">
        <v>120</v>
      </c>
      <c r="F50" s="94"/>
      <c r="G50" s="93" t="s">
        <v>121</v>
      </c>
    </row>
    <row r="51">
      <c r="A51" s="95" t="s">
        <v>122</v>
      </c>
      <c r="B51" s="95" t="s">
        <v>123</v>
      </c>
      <c r="C51" s="95" t="s">
        <v>124</v>
      </c>
      <c r="D51" s="95" t="s">
        <v>125</v>
      </c>
      <c r="E51" s="96">
        <v>46325.0</v>
      </c>
      <c r="F51" s="97" t="s">
        <v>126</v>
      </c>
      <c r="G51" s="97">
        <v>30.0</v>
      </c>
    </row>
    <row r="52">
      <c r="A52" s="95" t="s">
        <v>127</v>
      </c>
      <c r="B52" s="95" t="s">
        <v>128</v>
      </c>
      <c r="C52" s="95" t="s">
        <v>129</v>
      </c>
      <c r="D52" s="95" t="s">
        <v>130</v>
      </c>
      <c r="E52" s="96">
        <v>46325.0</v>
      </c>
      <c r="F52" s="97" t="s">
        <v>131</v>
      </c>
      <c r="G52" s="97">
        <v>20.0</v>
      </c>
    </row>
    <row r="53">
      <c r="A53" s="95" t="s">
        <v>132</v>
      </c>
      <c r="B53" s="95" t="s">
        <v>133</v>
      </c>
      <c r="C53" s="95" t="s">
        <v>134</v>
      </c>
      <c r="D53" s="95" t="s">
        <v>135</v>
      </c>
      <c r="E53" s="96">
        <v>46325.0</v>
      </c>
      <c r="F53" s="97" t="s">
        <v>131</v>
      </c>
      <c r="G53" s="97">
        <v>20.0</v>
      </c>
    </row>
    <row r="54">
      <c r="A54" s="95" t="s">
        <v>136</v>
      </c>
      <c r="B54" s="95" t="s">
        <v>137</v>
      </c>
      <c r="C54" s="95" t="s">
        <v>138</v>
      </c>
      <c r="D54" s="95" t="s">
        <v>139</v>
      </c>
      <c r="E54" s="96">
        <v>46325.0</v>
      </c>
      <c r="F54" s="97" t="s">
        <v>131</v>
      </c>
      <c r="G54" s="97">
        <v>15.0</v>
      </c>
    </row>
    <row r="55">
      <c r="A55" s="98" t="s">
        <v>140</v>
      </c>
      <c r="B55" s="98" t="s">
        <v>141</v>
      </c>
      <c r="C55" s="98" t="s">
        <v>142</v>
      </c>
      <c r="D55" s="98" t="s">
        <v>143</v>
      </c>
      <c r="E55" s="99" t="s">
        <v>144</v>
      </c>
      <c r="F55" s="100" t="s">
        <v>131</v>
      </c>
      <c r="G55" s="100">
        <v>15.0</v>
      </c>
    </row>
  </sheetData>
  <drawing r:id="rId1"/>
</worksheet>
</file>